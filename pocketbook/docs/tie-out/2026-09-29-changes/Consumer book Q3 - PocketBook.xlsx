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 name="_dots" sheetId="23" state="hidden" r:id="rId23"/>
  </sheets>
  <definedNames>
    <definedName name="answers_needed">Control!$J$15:$J$30</definedName>
    <definedName name="Status">Control!$H$24:$H$43</definedName>
    <definedName name="waiting_words">Control!$K$24:$K$43</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sel_measure">'Pockets'!$C$18</definedName>
    <definedName name="pk_sel_kind">'Pockets'!$D$18</definedName>
    <definedName name="pk_sel_show">'Pockets'!$E$18</definedName>
    <definedName name="_xlnm.Print_Area" localSheetId="1">'Control'!$B$1:$P$43</definedName>
    <definedName name="_xlnm.Print_Area" localSheetId="3">'Look'!$A$1:$Q$105</definedName>
    <definedName name="_xlnm.Print_Area" localSheetId="8">'Record'!$B$1:$G$87</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3">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0">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spPr>
            <a:ln w="19050">
              <a:solidFill>
                <a:srgbClr val="CC0000"/>
              </a:solidFill>
              <a:prstDash val="dash"/>
            </a:ln>
          </spPr>
          <marker>
            <symbol val="none"/>
            <spPr>
              <a:ln>
                <a:prstDash val="solid"/>
              </a:ln>
            </spPr>
          </marker>
          <xVal>
            <numRef>
              <f>'_look'!$K$4:$K$5</f>
            </numRef>
          </xVal>
          <yVal>
            <numRef>
              <f>'_look'!$L$4:$L$5</f>
            </numRef>
          </yVal>
          <smooth val="0"/>
        </ser>
        <ser>
          <idx val="2"/>
          <order val="2"/>
          <spPr>
            <a:ln w="19050">
              <a:solidFill>
                <a:srgbClr val="CC0000"/>
              </a:solidFill>
              <a:prstDash val="dash"/>
            </a:ln>
          </spPr>
          <marker>
            <symbol val="none"/>
            <spPr>
              <a:ln>
                <a:prstDash val="solid"/>
              </a:ln>
            </spPr>
          </marker>
          <xVal>
            <numRef>
              <f>'_look'!$K$6:$K$7</f>
            </numRef>
          </xVal>
          <yVal>
            <numRef>
              <f>'_look'!$L$6:$L$7</f>
            </numRef>
          </yVal>
          <smooth val="0"/>
        </ser>
        <ser>
          <idx val="3"/>
          <order val="3"/>
          <spPr>
            <a:ln w="19050">
              <a:solidFill>
                <a:srgbClr val="CC0000"/>
              </a:solidFill>
              <a:prstDash val="dash"/>
            </a:ln>
          </spPr>
          <marker>
            <symbol val="none"/>
            <spPr>
              <a:ln>
                <a:prstDash val="solid"/>
              </a:ln>
            </spPr>
          </marker>
          <xVal>
            <numRef>
              <f>'_look'!$K$8:$K$9</f>
            </numRef>
          </xVal>
          <yVal>
            <numRef>
              <f>'_look'!$L$8:$L$9</f>
            </numRef>
          </yVal>
          <smooth val="0"/>
        </ser>
        <ser>
          <idx val="4"/>
          <order val="4"/>
          <spPr>
            <a:ln w="19050">
              <a:solidFill>
                <a:srgbClr val="CC0000"/>
              </a:solidFill>
              <a:prstDash val="dash"/>
            </a:ln>
          </spPr>
          <marker>
            <symbol val="none"/>
            <spPr>
              <a:ln>
                <a:prstDash val="solid"/>
              </a:ln>
            </spPr>
          </marker>
          <xVal>
            <numRef>
              <f>'_look'!$K$10:$K$11</f>
            </numRef>
          </xVal>
          <yVal>
            <numRef>
              <f>'_look'!$L$10:$L$11</f>
            </numRef>
          </yVal>
          <smooth val="0"/>
        </ser>
        <ser>
          <idx val="5"/>
          <order val="5"/>
          <spPr>
            <a:ln w="19050">
              <a:solidFill>
                <a:srgbClr val="CC0000"/>
              </a:solidFill>
              <a:prstDash val="dash"/>
            </a:ln>
          </spPr>
          <marker>
            <symbol val="none"/>
            <spPr>
              <a:ln>
                <a:prstDash val="solid"/>
              </a:ln>
            </spPr>
          </marker>
          <xVal>
            <numRef>
              <f>'_look'!$K$12:$K$13</f>
            </numRef>
          </xVal>
          <yVal>
            <numRef>
              <f>'_look'!$L$12:$L$13</f>
            </numRef>
          </yVal>
          <smooth val="0"/>
        </ser>
        <ser>
          <idx val="6"/>
          <order val="6"/>
          <spPr>
            <a:ln w="19050">
              <a:solidFill>
                <a:srgbClr val="CC0000"/>
              </a:solidFill>
              <a:prstDash val="dash"/>
            </a:ln>
          </spPr>
          <marker>
            <symbol val="none"/>
            <spPr>
              <a:ln>
                <a:prstDash val="solid"/>
              </a:ln>
            </spPr>
          </marker>
          <xVal>
            <numRef>
              <f>'_look'!$K$14:$K$15</f>
            </numRef>
          </xVal>
          <yVal>
            <numRef>
              <f>'_look'!$L$14:$L$15</f>
            </numRef>
          </yVal>
          <smooth val="0"/>
        </ser>
        <ser>
          <idx val="7"/>
          <order val="7"/>
          <spPr>
            <a:ln w="19050">
              <a:solidFill>
                <a:srgbClr val="CC0000"/>
              </a:solidFill>
              <a:prstDash val="dash"/>
            </a:ln>
          </spPr>
          <marker>
            <symbol val="none"/>
            <spPr>
              <a:ln>
                <a:prstDash val="solid"/>
              </a:ln>
            </spPr>
          </marker>
          <xVal>
            <numRef>
              <f>'_look'!$K$16:$K$17</f>
            </numRef>
          </xVal>
          <yVal>
            <numRef>
              <f>'_look'!$L$16:$L$17</f>
            </numRef>
          </yVal>
          <smooth val="0"/>
        </ser>
        <ser>
          <idx val="8"/>
          <order val="8"/>
          <spPr>
            <a:ln w="19050">
              <a:solidFill>
                <a:srgbClr val="CC0000"/>
              </a:solidFill>
              <a:prstDash val="dash"/>
            </a:ln>
          </spPr>
          <marker>
            <symbol val="none"/>
            <spPr>
              <a:ln>
                <a:prstDash val="solid"/>
              </a:ln>
            </spPr>
          </marker>
          <xVal>
            <numRef>
              <f>'_look'!$K$18:$K$19</f>
            </numRef>
          </xVal>
          <yVal>
            <numRef>
              <f>'_look'!$L$18:$L$19</f>
            </numRef>
          </yVal>
          <smooth val="0"/>
        </ser>
        <ser>
          <idx val="9"/>
          <order val="9"/>
          <spPr>
            <a:ln w="19050">
              <a:solidFill>
                <a:srgbClr val="CC0000"/>
              </a:solidFill>
              <a:prstDash val="dash"/>
            </a:ln>
          </spPr>
          <marker>
            <symbol val="none"/>
            <spPr>
              <a:ln>
                <a:prstDash val="solid"/>
              </a:ln>
            </spPr>
          </marker>
          <xVal>
            <numRef>
              <f>'_look'!$K$20:$K$21</f>
            </numRef>
          </xVal>
          <yVal>
            <numRef>
              <f>'_look'!$L$20:$L$21</f>
            </numRef>
          </yVal>
          <smooth val="0"/>
        </ser>
        <ser>
          <idx val="10"/>
          <order val="10"/>
          <spPr>
            <a:ln w="19050">
              <a:solidFill>
                <a:srgbClr val="CC0000"/>
              </a:solidFill>
              <a:prstDash val="dash"/>
            </a:ln>
          </spPr>
          <marker>
            <symbol val="none"/>
            <spPr>
              <a:ln>
                <a:prstDash val="solid"/>
              </a:ln>
            </spPr>
          </marker>
          <xVal>
            <numRef>
              <f>'_look'!$K$22:$K$23</f>
            </numRef>
          </xVal>
          <yVal>
            <numRef>
              <f>'_look'!$L$22:$L$23</f>
            </numRef>
          </yVal>
          <smooth val="0"/>
        </ser>
        <ser>
          <idx val="11"/>
          <order val="11"/>
          <spPr>
            <a:ln w="19050">
              <a:solidFill>
                <a:srgbClr val="CC0000"/>
              </a:solidFill>
              <a:prstDash val="dash"/>
            </a:ln>
          </spPr>
          <marker>
            <symbol val="none"/>
            <spPr>
              <a:ln>
                <a:prstDash val="solid"/>
              </a:ln>
            </spPr>
          </marker>
          <xVal>
            <numRef>
              <f>'_look'!$K$24:$K$25</f>
            </numRef>
          </xVal>
          <yVal>
            <numRef>
              <f>'_look'!$L$24:$L$25</f>
            </numRef>
          </yVal>
          <smooth val="0"/>
        </ser>
        <ser>
          <idx val="12"/>
          <order val="12"/>
          <spPr>
            <a:ln w="19050">
              <a:solidFill>
                <a:srgbClr val="CC0000"/>
              </a:solidFill>
              <a:prstDash val="dash"/>
            </a:ln>
          </spPr>
          <marker>
            <symbol val="none"/>
            <spPr>
              <a:ln>
                <a:prstDash val="solid"/>
              </a:ln>
            </spPr>
          </marker>
          <xVal>
            <numRef>
              <f>'_look'!$K$26:$K$27</f>
            </numRef>
          </xVal>
          <yVal>
            <numRef>
              <f>'_look'!$L$26:$L$27</f>
            </numRef>
          </yVal>
          <smooth val="0"/>
        </ser>
        <ser>
          <idx val="13"/>
          <order val="13"/>
          <spPr>
            <a:ln w="19050">
              <a:solidFill>
                <a:srgbClr val="CC0000"/>
              </a:solidFill>
              <a:prstDash val="dash"/>
            </a:ln>
          </spPr>
          <marker>
            <symbol val="none"/>
            <spPr>
              <a:ln>
                <a:prstDash val="solid"/>
              </a:ln>
            </spPr>
          </marker>
          <xVal>
            <numRef>
              <f>'_look'!$K$28:$K$29</f>
            </numRef>
          </xVal>
          <yVal>
            <numRef>
              <f>'_look'!$L$28:$L$29</f>
            </numRef>
          </yVal>
          <smooth val="0"/>
        </ser>
        <ser>
          <idx val="14"/>
          <order val="14"/>
          <spPr>
            <a:ln w="19050">
              <a:solidFill>
                <a:srgbClr val="CC0000"/>
              </a:solidFill>
              <a:prstDash val="dash"/>
            </a:ln>
          </spPr>
          <marker>
            <symbol val="none"/>
            <spPr>
              <a:ln>
                <a:prstDash val="solid"/>
              </a:ln>
            </spPr>
          </marker>
          <xVal>
            <numRef>
              <f>'_look'!$K$30:$K$31</f>
            </numRef>
          </xVal>
          <yVal>
            <numRef>
              <f>'_look'!$L$30:$L$31</f>
            </numRef>
          </yVal>
          <smooth val="0"/>
        </ser>
        <ser>
          <idx val="15"/>
          <order val="15"/>
          <spPr>
            <a:ln w="19050">
              <a:solidFill>
                <a:srgbClr val="CC0000"/>
              </a:solidFill>
              <a:prstDash val="dash"/>
            </a:ln>
          </spPr>
          <marker>
            <symbol val="none"/>
            <spPr>
              <a:ln>
                <a:prstDash val="solid"/>
              </a:ln>
            </spPr>
          </marker>
          <xVal>
            <numRef>
              <f>'_look'!$K$32:$K$33</f>
            </numRef>
          </xVal>
          <yVal>
            <numRef>
              <f>'_look'!$L$32:$L$33</f>
            </numRef>
          </yVal>
          <smooth val="0"/>
        </ser>
        <ser>
          <idx val="16"/>
          <order val="16"/>
          <spPr>
            <a:ln w="19050">
              <a:solidFill>
                <a:srgbClr val="CC0000"/>
              </a:solidFill>
              <a:prstDash val="dash"/>
            </a:ln>
          </spPr>
          <marker>
            <symbol val="none"/>
            <spPr>
              <a:ln>
                <a:prstDash val="solid"/>
              </a:ln>
            </spPr>
          </marker>
          <xVal>
            <numRef>
              <f>'_look'!$K$34:$K$35</f>
            </numRef>
          </xVal>
          <yVal>
            <numRef>
              <f>'_look'!$L$34:$L$35</f>
            </numRef>
          </yVal>
          <smooth val="0"/>
        </ser>
        <ser>
          <idx val="17"/>
          <order val="17"/>
          <spPr>
            <a:ln w="19050">
              <a:solidFill>
                <a:srgbClr val="CC0000"/>
              </a:solidFill>
              <a:prstDash val="dash"/>
            </a:ln>
          </spPr>
          <marker>
            <symbol val="none"/>
            <spPr>
              <a:ln>
                <a:prstDash val="solid"/>
              </a:ln>
            </spPr>
          </marker>
          <xVal>
            <numRef>
              <f>'_look'!$K$36:$K$37</f>
            </numRef>
          </xVal>
          <yVal>
            <numRef>
              <f>'_look'!$L$36:$L$37</f>
            </numRef>
          </yVal>
          <smooth val="0"/>
        </ser>
        <ser>
          <idx val="18"/>
          <order val="18"/>
          <spPr>
            <a:ln w="19050">
              <a:solidFill>
                <a:srgbClr val="CC0000"/>
              </a:solidFill>
              <a:prstDash val="dash"/>
            </a:ln>
          </spPr>
          <marker>
            <symbol val="none"/>
            <spPr>
              <a:ln>
                <a:prstDash val="solid"/>
              </a:ln>
            </spPr>
          </marker>
          <xVal>
            <numRef>
              <f>'_look'!$K$38:$K$39</f>
            </numRef>
          </xVal>
          <yVal>
            <numRef>
              <f>'_look'!$L$38:$L$39</f>
            </numRef>
          </yVal>
          <smooth val="0"/>
        </ser>
        <ser>
          <idx val="19"/>
          <order val="19"/>
          <spPr>
            <a:ln w="19050">
              <a:solidFill>
                <a:srgbClr val="CC0000"/>
              </a:solidFill>
              <a:prstDash val="dash"/>
            </a:ln>
          </spPr>
          <marker>
            <symbol val="none"/>
            <spPr>
              <a:ln>
                <a:prstDash val="solid"/>
              </a:ln>
            </spPr>
          </marker>
          <xVal>
            <numRef>
              <f>'_look'!$K$40:$K$41</f>
            </numRef>
          </xVal>
          <yVal>
            <numRef>
              <f>'_look'!$L$40:$L$41</f>
            </numRef>
          </yVal>
          <smooth val="0"/>
        </ser>
        <ser>
          <idx val="20"/>
          <order val="20"/>
          <spPr>
            <a:ln w="19050">
              <a:solidFill>
                <a:srgbClr val="CC0000"/>
              </a:solidFill>
              <a:prstDash val="dash"/>
            </a:ln>
          </spPr>
          <marker>
            <symbol val="none"/>
            <spPr>
              <a:ln>
                <a:prstDash val="solid"/>
              </a:ln>
            </spPr>
          </marker>
          <xVal>
            <numRef>
              <f>'_look'!$K$42:$K$43</f>
            </numRef>
          </xVal>
          <yVal>
            <numRef>
              <f>'_look'!$L$42:$L$43</f>
            </numRef>
          </yVal>
          <smooth val="0"/>
        </ser>
        <ser>
          <idx val="21"/>
          <order val="21"/>
          <spPr>
            <a:ln w="19050">
              <a:solidFill>
                <a:srgbClr val="CC0000"/>
              </a:solidFill>
              <a:prstDash val="dash"/>
            </a:ln>
          </spPr>
          <marker>
            <symbol val="none"/>
            <spPr>
              <a:ln>
                <a:prstDash val="solid"/>
              </a:ln>
            </spPr>
          </marker>
          <xVal>
            <numRef>
              <f>'_look'!$K$44:$K$45</f>
            </numRef>
          </xVal>
          <yVal>
            <numRef>
              <f>'_look'!$L$44:$L$45</f>
            </numRef>
          </yVal>
          <smooth val="0"/>
        </ser>
        <ser>
          <idx val="22"/>
          <order val="22"/>
          <spPr>
            <a:ln w="19050">
              <a:solidFill>
                <a:srgbClr val="CC0000"/>
              </a:solidFill>
              <a:prstDash val="dash"/>
            </a:ln>
          </spPr>
          <marker>
            <symbol val="none"/>
            <spPr>
              <a:ln>
                <a:prstDash val="solid"/>
              </a:ln>
            </spPr>
          </marker>
          <xVal>
            <numRef>
              <f>'_look'!$K$46:$K$47</f>
            </numRef>
          </xVal>
          <yVal>
            <numRef>
              <f>'_look'!$L$46:$L$47</f>
            </numRef>
          </yVal>
          <smooth val="0"/>
        </ser>
        <ser>
          <idx val="23"/>
          <order val="23"/>
          <spPr>
            <a:ln w="19050">
              <a:solidFill>
                <a:srgbClr val="CC0000"/>
              </a:solidFill>
              <a:prstDash val="dash"/>
            </a:ln>
          </spPr>
          <marker>
            <symbol val="none"/>
            <spPr>
              <a:ln>
                <a:prstDash val="solid"/>
              </a:ln>
            </spPr>
          </marker>
          <xVal>
            <numRef>
              <f>'_look'!$K$48:$K$49</f>
            </numRef>
          </xVal>
          <yVal>
            <numRef>
              <f>'_look'!$L$48:$L$49</f>
            </numRef>
          </yVal>
          <smooth val="0"/>
        </ser>
        <ser>
          <idx val="24"/>
          <order val="24"/>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spPr>
            <a:ln w="19050">
              <a:solidFill>
                <a:srgbClr val="CC0000"/>
              </a:solidFill>
              <a:prstDash val="dash"/>
            </a:ln>
          </spPr>
          <marker>
            <symbol val="none"/>
            <spPr>
              <a:ln>
                <a:prstDash val="solid"/>
              </a:ln>
            </spPr>
          </marker>
          <xVal>
            <numRef>
              <f>'_look'!$X$4:$X$5</f>
            </numRef>
          </xVal>
          <yVal>
            <numRef>
              <f>'_look'!$Y$4:$Y$5</f>
            </numRef>
          </yVal>
          <smooth val="0"/>
        </ser>
        <ser>
          <idx val="2"/>
          <order val="2"/>
          <spPr>
            <a:ln w="19050">
              <a:solidFill>
                <a:srgbClr val="CC0000"/>
              </a:solidFill>
              <a:prstDash val="dash"/>
            </a:ln>
          </spPr>
          <marker>
            <symbol val="none"/>
            <spPr>
              <a:ln>
                <a:prstDash val="solid"/>
              </a:ln>
            </spPr>
          </marker>
          <xVal>
            <numRef>
              <f>'_look'!$X$6:$X$7</f>
            </numRef>
          </xVal>
          <yVal>
            <numRef>
              <f>'_look'!$Y$6:$Y$7</f>
            </numRef>
          </yVal>
          <smooth val="0"/>
        </ser>
        <ser>
          <idx val="3"/>
          <order val="3"/>
          <spPr>
            <a:ln w="19050">
              <a:solidFill>
                <a:srgbClr val="CC0000"/>
              </a:solidFill>
              <a:prstDash val="dash"/>
            </a:ln>
          </spPr>
          <marker>
            <symbol val="none"/>
            <spPr>
              <a:ln>
                <a:prstDash val="solid"/>
              </a:ln>
            </spPr>
          </marker>
          <xVal>
            <numRef>
              <f>'_look'!$X$8:$X$9</f>
            </numRef>
          </xVal>
          <yVal>
            <numRef>
              <f>'_look'!$Y$8:$Y$9</f>
            </numRef>
          </yVal>
          <smooth val="0"/>
        </ser>
        <ser>
          <idx val="4"/>
          <order val="4"/>
          <spPr>
            <a:ln w="19050">
              <a:solidFill>
                <a:srgbClr val="CC0000"/>
              </a:solidFill>
              <a:prstDash val="dash"/>
            </a:ln>
          </spPr>
          <marker>
            <symbol val="none"/>
            <spPr>
              <a:ln>
                <a:prstDash val="solid"/>
              </a:ln>
            </spPr>
          </marker>
          <xVal>
            <numRef>
              <f>'_look'!$X$10:$X$11</f>
            </numRef>
          </xVal>
          <yVal>
            <numRef>
              <f>'_look'!$Y$10:$Y$11</f>
            </numRef>
          </yVal>
          <smooth val="0"/>
        </ser>
        <ser>
          <idx val="5"/>
          <order val="5"/>
          <spPr>
            <a:ln w="19050">
              <a:solidFill>
                <a:srgbClr val="CC0000"/>
              </a:solidFill>
              <a:prstDash val="dash"/>
            </a:ln>
          </spPr>
          <marker>
            <symbol val="none"/>
            <spPr>
              <a:ln>
                <a:prstDash val="solid"/>
              </a:ln>
            </spPr>
          </marker>
          <xVal>
            <numRef>
              <f>'_look'!$X$12:$X$13</f>
            </numRef>
          </xVal>
          <yVal>
            <numRef>
              <f>'_look'!$Y$12:$Y$13</f>
            </numRef>
          </yVal>
          <smooth val="0"/>
        </ser>
        <ser>
          <idx val="6"/>
          <order val="6"/>
          <spPr>
            <a:ln w="19050">
              <a:solidFill>
                <a:srgbClr val="CC0000"/>
              </a:solidFill>
              <a:prstDash val="dash"/>
            </a:ln>
          </spPr>
          <marker>
            <symbol val="none"/>
            <spPr>
              <a:ln>
                <a:prstDash val="solid"/>
              </a:ln>
            </spPr>
          </marker>
          <xVal>
            <numRef>
              <f>'_look'!$X$14:$X$15</f>
            </numRef>
          </xVal>
          <yVal>
            <numRef>
              <f>'_look'!$Y$14:$Y$15</f>
            </numRef>
          </yVal>
          <smooth val="0"/>
        </ser>
        <ser>
          <idx val="7"/>
          <order val="7"/>
          <spPr>
            <a:ln w="19050">
              <a:solidFill>
                <a:srgbClr val="CC0000"/>
              </a:solidFill>
              <a:prstDash val="dash"/>
            </a:ln>
          </spPr>
          <marker>
            <symbol val="none"/>
            <spPr>
              <a:ln>
                <a:prstDash val="solid"/>
              </a:ln>
            </spPr>
          </marker>
          <xVal>
            <numRef>
              <f>'_look'!$X$16:$X$17</f>
            </numRef>
          </xVal>
          <yVal>
            <numRef>
              <f>'_look'!$Y$16:$Y$17</f>
            </numRef>
          </yVal>
          <smooth val="0"/>
        </ser>
        <ser>
          <idx val="8"/>
          <order val="8"/>
          <spPr>
            <a:ln w="19050">
              <a:solidFill>
                <a:srgbClr val="CC0000"/>
              </a:solidFill>
              <a:prstDash val="dash"/>
            </a:ln>
          </spPr>
          <marker>
            <symbol val="none"/>
            <spPr>
              <a:ln>
                <a:prstDash val="solid"/>
              </a:ln>
            </spPr>
          </marker>
          <xVal>
            <numRef>
              <f>'_look'!$X$18:$X$19</f>
            </numRef>
          </xVal>
          <yVal>
            <numRef>
              <f>'_look'!$Y$18:$Y$19</f>
            </numRef>
          </yVal>
          <smooth val="0"/>
        </ser>
        <ser>
          <idx val="9"/>
          <order val="9"/>
          <spPr>
            <a:ln w="19050">
              <a:solidFill>
                <a:srgbClr val="CC0000"/>
              </a:solidFill>
              <a:prstDash val="dash"/>
            </a:ln>
          </spPr>
          <marker>
            <symbol val="none"/>
            <spPr>
              <a:ln>
                <a:prstDash val="solid"/>
              </a:ln>
            </spPr>
          </marker>
          <xVal>
            <numRef>
              <f>'_look'!$X$20:$X$21</f>
            </numRef>
          </xVal>
          <yVal>
            <numRef>
              <f>'_look'!$Y$20:$Y$21</f>
            </numRef>
          </yVal>
          <smooth val="0"/>
        </ser>
        <ser>
          <idx val="10"/>
          <order val="10"/>
          <spPr>
            <a:ln w="19050">
              <a:solidFill>
                <a:srgbClr val="CC0000"/>
              </a:solidFill>
              <a:prstDash val="dash"/>
            </a:ln>
          </spPr>
          <marker>
            <symbol val="none"/>
            <spPr>
              <a:ln>
                <a:prstDash val="solid"/>
              </a:ln>
            </spPr>
          </marker>
          <xVal>
            <numRef>
              <f>'_look'!$X$22:$X$23</f>
            </numRef>
          </xVal>
          <yVal>
            <numRef>
              <f>'_look'!$Y$22:$Y$23</f>
            </numRef>
          </yVal>
          <smooth val="0"/>
        </ser>
        <ser>
          <idx val="11"/>
          <order val="11"/>
          <spPr>
            <a:ln w="19050">
              <a:solidFill>
                <a:srgbClr val="CC0000"/>
              </a:solidFill>
              <a:prstDash val="dash"/>
            </a:ln>
          </spPr>
          <marker>
            <symbol val="none"/>
            <spPr>
              <a:ln>
                <a:prstDash val="solid"/>
              </a:ln>
            </spPr>
          </marker>
          <xVal>
            <numRef>
              <f>'_look'!$X$24:$X$25</f>
            </numRef>
          </xVal>
          <yVal>
            <numRef>
              <f>'_look'!$Y$24:$Y$25</f>
            </numRef>
          </yVal>
          <smooth val="0"/>
        </ser>
        <ser>
          <idx val="12"/>
          <order val="12"/>
          <spPr>
            <a:ln w="19050">
              <a:solidFill>
                <a:srgbClr val="CC0000"/>
              </a:solidFill>
              <a:prstDash val="dash"/>
            </a:ln>
          </spPr>
          <marker>
            <symbol val="none"/>
            <spPr>
              <a:ln>
                <a:prstDash val="solid"/>
              </a:ln>
            </spPr>
          </marker>
          <xVal>
            <numRef>
              <f>'_look'!$X$26:$X$27</f>
            </numRef>
          </xVal>
          <yVal>
            <numRef>
              <f>'_look'!$Y$26:$Y$27</f>
            </numRef>
          </yVal>
          <smooth val="0"/>
        </ser>
        <ser>
          <idx val="13"/>
          <order val="13"/>
          <spPr>
            <a:ln w="19050">
              <a:solidFill>
                <a:srgbClr val="CC0000"/>
              </a:solidFill>
              <a:prstDash val="dash"/>
            </a:ln>
          </spPr>
          <marker>
            <symbol val="none"/>
            <spPr>
              <a:ln>
                <a:prstDash val="solid"/>
              </a:ln>
            </spPr>
          </marker>
          <xVal>
            <numRef>
              <f>'_look'!$X$28:$X$29</f>
            </numRef>
          </xVal>
          <yVal>
            <numRef>
              <f>'_look'!$Y$28:$Y$29</f>
            </numRef>
          </yVal>
          <smooth val="0"/>
        </ser>
        <ser>
          <idx val="14"/>
          <order val="14"/>
          <spPr>
            <a:ln w="19050">
              <a:solidFill>
                <a:srgbClr val="CC0000"/>
              </a:solidFill>
              <a:prstDash val="dash"/>
            </a:ln>
          </spPr>
          <marker>
            <symbol val="none"/>
            <spPr>
              <a:ln>
                <a:prstDash val="solid"/>
              </a:ln>
            </spPr>
          </marker>
          <xVal>
            <numRef>
              <f>'_look'!$X$30:$X$31</f>
            </numRef>
          </xVal>
          <yVal>
            <numRef>
              <f>'_look'!$Y$30:$Y$31</f>
            </numRef>
          </yVal>
          <smooth val="0"/>
        </ser>
        <ser>
          <idx val="15"/>
          <order val="15"/>
          <spPr>
            <a:ln w="19050">
              <a:solidFill>
                <a:srgbClr val="CC0000"/>
              </a:solidFill>
              <a:prstDash val="dash"/>
            </a:ln>
          </spPr>
          <marker>
            <symbol val="none"/>
            <spPr>
              <a:ln>
                <a:prstDash val="solid"/>
              </a:ln>
            </spPr>
          </marker>
          <xVal>
            <numRef>
              <f>'_look'!$X$32:$X$33</f>
            </numRef>
          </xVal>
          <yVal>
            <numRef>
              <f>'_look'!$Y$32:$Y$33</f>
            </numRef>
          </yVal>
          <smooth val="0"/>
        </ser>
        <ser>
          <idx val="16"/>
          <order val="16"/>
          <spPr>
            <a:ln w="19050">
              <a:solidFill>
                <a:srgbClr val="CC0000"/>
              </a:solidFill>
              <a:prstDash val="dash"/>
            </a:ln>
          </spPr>
          <marker>
            <symbol val="none"/>
            <spPr>
              <a:ln>
                <a:prstDash val="solid"/>
              </a:ln>
            </spPr>
          </marker>
          <xVal>
            <numRef>
              <f>'_look'!$X$34:$X$35</f>
            </numRef>
          </xVal>
          <yVal>
            <numRef>
              <f>'_look'!$Y$34:$Y$35</f>
            </numRef>
          </yVal>
          <smooth val="0"/>
        </ser>
        <ser>
          <idx val="17"/>
          <order val="17"/>
          <spPr>
            <a:ln w="19050">
              <a:solidFill>
                <a:srgbClr val="CC0000"/>
              </a:solidFill>
              <a:prstDash val="dash"/>
            </a:ln>
          </spPr>
          <marker>
            <symbol val="none"/>
            <spPr>
              <a:ln>
                <a:prstDash val="solid"/>
              </a:ln>
            </spPr>
          </marker>
          <xVal>
            <numRef>
              <f>'_look'!$X$36:$X$37</f>
            </numRef>
          </xVal>
          <yVal>
            <numRef>
              <f>'_look'!$Y$36:$Y$37</f>
            </numRef>
          </yVal>
          <smooth val="0"/>
        </ser>
        <ser>
          <idx val="18"/>
          <order val="18"/>
          <spPr>
            <a:ln w="19050">
              <a:solidFill>
                <a:srgbClr val="CC0000"/>
              </a:solidFill>
              <a:prstDash val="dash"/>
            </a:ln>
          </spPr>
          <marker>
            <symbol val="none"/>
            <spPr>
              <a:ln>
                <a:prstDash val="solid"/>
              </a:ln>
            </spPr>
          </marker>
          <xVal>
            <numRef>
              <f>'_look'!$X$38:$X$39</f>
            </numRef>
          </xVal>
          <yVal>
            <numRef>
              <f>'_look'!$Y$38:$Y$39</f>
            </numRef>
          </yVal>
          <smooth val="0"/>
        </ser>
        <ser>
          <idx val="19"/>
          <order val="19"/>
          <spPr>
            <a:ln w="19050">
              <a:solidFill>
                <a:srgbClr val="CC0000"/>
              </a:solidFill>
              <a:prstDash val="dash"/>
            </a:ln>
          </spPr>
          <marker>
            <symbol val="none"/>
            <spPr>
              <a:ln>
                <a:prstDash val="solid"/>
              </a:ln>
            </spPr>
          </marker>
          <xVal>
            <numRef>
              <f>'_look'!$X$40:$X$41</f>
            </numRef>
          </xVal>
          <yVal>
            <numRef>
              <f>'_look'!$Y$40:$Y$41</f>
            </numRef>
          </yVal>
          <smooth val="0"/>
        </ser>
        <ser>
          <idx val="20"/>
          <order val="20"/>
          <spPr>
            <a:ln w="19050">
              <a:solidFill>
                <a:srgbClr val="CC0000"/>
              </a:solidFill>
              <a:prstDash val="dash"/>
            </a:ln>
          </spPr>
          <marker>
            <symbol val="none"/>
            <spPr>
              <a:ln>
                <a:prstDash val="solid"/>
              </a:ln>
            </spPr>
          </marker>
          <xVal>
            <numRef>
              <f>'_look'!$X$42:$X$43</f>
            </numRef>
          </xVal>
          <yVal>
            <numRef>
              <f>'_look'!$Y$42:$Y$43</f>
            </numRef>
          </yVal>
          <smooth val="0"/>
        </ser>
        <ser>
          <idx val="21"/>
          <order val="21"/>
          <spPr>
            <a:ln w="19050">
              <a:solidFill>
                <a:srgbClr val="CC0000"/>
              </a:solidFill>
              <a:prstDash val="dash"/>
            </a:ln>
          </spPr>
          <marker>
            <symbol val="none"/>
            <spPr>
              <a:ln>
                <a:prstDash val="solid"/>
              </a:ln>
            </spPr>
          </marker>
          <xVal>
            <numRef>
              <f>'_look'!$X$44:$X$45</f>
            </numRef>
          </xVal>
          <yVal>
            <numRef>
              <f>'_look'!$Y$44:$Y$45</f>
            </numRef>
          </yVal>
          <smooth val="0"/>
        </ser>
        <ser>
          <idx val="22"/>
          <order val="22"/>
          <spPr>
            <a:ln w="19050">
              <a:solidFill>
                <a:srgbClr val="CC0000"/>
              </a:solidFill>
              <a:prstDash val="dash"/>
            </a:ln>
          </spPr>
          <marker>
            <symbol val="none"/>
            <spPr>
              <a:ln>
                <a:prstDash val="solid"/>
              </a:ln>
            </spPr>
          </marker>
          <xVal>
            <numRef>
              <f>'_look'!$X$46:$X$47</f>
            </numRef>
          </xVal>
          <yVal>
            <numRef>
              <f>'_look'!$Y$46:$Y$47</f>
            </numRef>
          </yVal>
          <smooth val="0"/>
        </ser>
        <ser>
          <idx val="23"/>
          <order val="23"/>
          <spPr>
            <a:ln w="19050">
              <a:solidFill>
                <a:srgbClr val="CC0000"/>
              </a:solidFill>
              <a:prstDash val="dash"/>
            </a:ln>
          </spPr>
          <marker>
            <symbol val="none"/>
            <spPr>
              <a:ln>
                <a:prstDash val="solid"/>
              </a:ln>
            </spPr>
          </marker>
          <xVal>
            <numRef>
              <f>'_look'!$X$48:$X$49</f>
            </numRef>
          </xVal>
          <yVal>
            <numRef>
              <f>'_look'!$Y$48:$Y$49</f>
            </numRef>
          </yVal>
          <smooth val="0"/>
        </ser>
        <ser>
          <idx val="24"/>
          <order val="24"/>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spPr>
            <a:ln w="19050">
              <a:solidFill>
                <a:srgbClr val="CC0000"/>
              </a:solidFill>
              <a:prstDash val="dash"/>
            </a:ln>
          </spPr>
          <marker>
            <symbol val="none"/>
            <spPr>
              <a:ln>
                <a:prstDash val="solid"/>
              </a:ln>
            </spPr>
          </marker>
          <xVal>
            <numRef>
              <f>'_look'!$AK$4:$AK$5</f>
            </numRef>
          </xVal>
          <yVal>
            <numRef>
              <f>'_look'!$AL$4:$AL$5</f>
            </numRef>
          </yVal>
          <smooth val="0"/>
        </ser>
        <ser>
          <idx val="2"/>
          <order val="2"/>
          <spPr>
            <a:ln w="19050">
              <a:solidFill>
                <a:srgbClr val="CC0000"/>
              </a:solidFill>
              <a:prstDash val="dash"/>
            </a:ln>
          </spPr>
          <marker>
            <symbol val="none"/>
            <spPr>
              <a:ln>
                <a:prstDash val="solid"/>
              </a:ln>
            </spPr>
          </marker>
          <xVal>
            <numRef>
              <f>'_look'!$AK$6:$AK$7</f>
            </numRef>
          </xVal>
          <yVal>
            <numRef>
              <f>'_look'!$AL$6:$AL$7</f>
            </numRef>
          </yVal>
          <smooth val="0"/>
        </ser>
        <ser>
          <idx val="3"/>
          <order val="3"/>
          <spPr>
            <a:ln w="19050">
              <a:solidFill>
                <a:srgbClr val="CC0000"/>
              </a:solidFill>
              <a:prstDash val="dash"/>
            </a:ln>
          </spPr>
          <marker>
            <symbol val="none"/>
            <spPr>
              <a:ln>
                <a:prstDash val="solid"/>
              </a:ln>
            </spPr>
          </marker>
          <xVal>
            <numRef>
              <f>'_look'!$AK$8:$AK$9</f>
            </numRef>
          </xVal>
          <yVal>
            <numRef>
              <f>'_look'!$AL$8:$AL$9</f>
            </numRef>
          </yVal>
          <smooth val="0"/>
        </ser>
        <ser>
          <idx val="4"/>
          <order val="4"/>
          <spPr>
            <a:ln w="19050">
              <a:solidFill>
                <a:srgbClr val="CC0000"/>
              </a:solidFill>
              <a:prstDash val="dash"/>
            </a:ln>
          </spPr>
          <marker>
            <symbol val="none"/>
            <spPr>
              <a:ln>
                <a:prstDash val="solid"/>
              </a:ln>
            </spPr>
          </marker>
          <xVal>
            <numRef>
              <f>'_look'!$AK$10:$AK$11</f>
            </numRef>
          </xVal>
          <yVal>
            <numRef>
              <f>'_look'!$AL$10:$AL$11</f>
            </numRef>
          </yVal>
          <smooth val="0"/>
        </ser>
        <ser>
          <idx val="5"/>
          <order val="5"/>
          <spPr>
            <a:ln w="19050">
              <a:solidFill>
                <a:srgbClr val="CC0000"/>
              </a:solidFill>
              <a:prstDash val="dash"/>
            </a:ln>
          </spPr>
          <marker>
            <symbol val="none"/>
            <spPr>
              <a:ln>
                <a:prstDash val="solid"/>
              </a:ln>
            </spPr>
          </marker>
          <xVal>
            <numRef>
              <f>'_look'!$AK$12:$AK$13</f>
            </numRef>
          </xVal>
          <yVal>
            <numRef>
              <f>'_look'!$AL$12:$AL$13</f>
            </numRef>
          </yVal>
          <smooth val="0"/>
        </ser>
        <ser>
          <idx val="6"/>
          <order val="6"/>
          <spPr>
            <a:ln w="19050">
              <a:solidFill>
                <a:srgbClr val="CC0000"/>
              </a:solidFill>
              <a:prstDash val="dash"/>
            </a:ln>
          </spPr>
          <marker>
            <symbol val="none"/>
            <spPr>
              <a:ln>
                <a:prstDash val="solid"/>
              </a:ln>
            </spPr>
          </marker>
          <xVal>
            <numRef>
              <f>'_look'!$AK$14:$AK$15</f>
            </numRef>
          </xVal>
          <yVal>
            <numRef>
              <f>'_look'!$AL$14:$AL$15</f>
            </numRef>
          </yVal>
          <smooth val="0"/>
        </ser>
        <ser>
          <idx val="7"/>
          <order val="7"/>
          <spPr>
            <a:ln w="19050">
              <a:solidFill>
                <a:srgbClr val="CC0000"/>
              </a:solidFill>
              <a:prstDash val="dash"/>
            </a:ln>
          </spPr>
          <marker>
            <symbol val="none"/>
            <spPr>
              <a:ln>
                <a:prstDash val="solid"/>
              </a:ln>
            </spPr>
          </marker>
          <xVal>
            <numRef>
              <f>'_look'!$AK$16:$AK$17</f>
            </numRef>
          </xVal>
          <yVal>
            <numRef>
              <f>'_look'!$AL$16:$AL$17</f>
            </numRef>
          </yVal>
          <smooth val="0"/>
        </ser>
        <ser>
          <idx val="8"/>
          <order val="8"/>
          <spPr>
            <a:ln w="19050">
              <a:solidFill>
                <a:srgbClr val="CC0000"/>
              </a:solidFill>
              <a:prstDash val="dash"/>
            </a:ln>
          </spPr>
          <marker>
            <symbol val="none"/>
            <spPr>
              <a:ln>
                <a:prstDash val="solid"/>
              </a:ln>
            </spPr>
          </marker>
          <xVal>
            <numRef>
              <f>'_look'!$AK$18:$AK$19</f>
            </numRef>
          </xVal>
          <yVal>
            <numRef>
              <f>'_look'!$AL$18:$AL$19</f>
            </numRef>
          </yVal>
          <smooth val="0"/>
        </ser>
        <ser>
          <idx val="9"/>
          <order val="9"/>
          <spPr>
            <a:ln w="19050">
              <a:solidFill>
                <a:srgbClr val="CC0000"/>
              </a:solidFill>
              <a:prstDash val="dash"/>
            </a:ln>
          </spPr>
          <marker>
            <symbol val="none"/>
            <spPr>
              <a:ln>
                <a:prstDash val="solid"/>
              </a:ln>
            </spPr>
          </marker>
          <xVal>
            <numRef>
              <f>'_look'!$AK$20:$AK$21</f>
            </numRef>
          </xVal>
          <yVal>
            <numRef>
              <f>'_look'!$AL$20:$AL$21</f>
            </numRef>
          </yVal>
          <smooth val="0"/>
        </ser>
        <ser>
          <idx val="10"/>
          <order val="10"/>
          <spPr>
            <a:ln w="19050">
              <a:solidFill>
                <a:srgbClr val="CC0000"/>
              </a:solidFill>
              <a:prstDash val="dash"/>
            </a:ln>
          </spPr>
          <marker>
            <symbol val="none"/>
            <spPr>
              <a:ln>
                <a:prstDash val="solid"/>
              </a:ln>
            </spPr>
          </marker>
          <xVal>
            <numRef>
              <f>'_look'!$AK$22:$AK$23</f>
            </numRef>
          </xVal>
          <yVal>
            <numRef>
              <f>'_look'!$AL$22:$AL$23</f>
            </numRef>
          </yVal>
          <smooth val="0"/>
        </ser>
        <ser>
          <idx val="11"/>
          <order val="11"/>
          <spPr>
            <a:ln w="19050">
              <a:solidFill>
                <a:srgbClr val="CC0000"/>
              </a:solidFill>
              <a:prstDash val="dash"/>
            </a:ln>
          </spPr>
          <marker>
            <symbol val="none"/>
            <spPr>
              <a:ln>
                <a:prstDash val="solid"/>
              </a:ln>
            </spPr>
          </marker>
          <xVal>
            <numRef>
              <f>'_look'!$AK$24:$AK$25</f>
            </numRef>
          </xVal>
          <yVal>
            <numRef>
              <f>'_look'!$AL$24:$AL$25</f>
            </numRef>
          </yVal>
          <smooth val="0"/>
        </ser>
        <ser>
          <idx val="12"/>
          <order val="12"/>
          <spPr>
            <a:ln w="19050">
              <a:solidFill>
                <a:srgbClr val="CC0000"/>
              </a:solidFill>
              <a:prstDash val="dash"/>
            </a:ln>
          </spPr>
          <marker>
            <symbol val="none"/>
            <spPr>
              <a:ln>
                <a:prstDash val="solid"/>
              </a:ln>
            </spPr>
          </marker>
          <xVal>
            <numRef>
              <f>'_look'!$AK$26:$AK$27</f>
            </numRef>
          </xVal>
          <yVal>
            <numRef>
              <f>'_look'!$AL$26:$AL$27</f>
            </numRef>
          </yVal>
          <smooth val="0"/>
        </ser>
        <ser>
          <idx val="13"/>
          <order val="13"/>
          <spPr>
            <a:ln w="19050">
              <a:solidFill>
                <a:srgbClr val="CC0000"/>
              </a:solidFill>
              <a:prstDash val="dash"/>
            </a:ln>
          </spPr>
          <marker>
            <symbol val="none"/>
            <spPr>
              <a:ln>
                <a:prstDash val="solid"/>
              </a:ln>
            </spPr>
          </marker>
          <xVal>
            <numRef>
              <f>'_look'!$AK$28:$AK$29</f>
            </numRef>
          </xVal>
          <yVal>
            <numRef>
              <f>'_look'!$AL$28:$AL$29</f>
            </numRef>
          </yVal>
          <smooth val="0"/>
        </ser>
        <ser>
          <idx val="14"/>
          <order val="14"/>
          <spPr>
            <a:ln w="19050">
              <a:solidFill>
                <a:srgbClr val="CC0000"/>
              </a:solidFill>
              <a:prstDash val="dash"/>
            </a:ln>
          </spPr>
          <marker>
            <symbol val="none"/>
            <spPr>
              <a:ln>
                <a:prstDash val="solid"/>
              </a:ln>
            </spPr>
          </marker>
          <xVal>
            <numRef>
              <f>'_look'!$AK$30:$AK$31</f>
            </numRef>
          </xVal>
          <yVal>
            <numRef>
              <f>'_look'!$AL$30:$AL$31</f>
            </numRef>
          </yVal>
          <smooth val="0"/>
        </ser>
        <ser>
          <idx val="15"/>
          <order val="15"/>
          <spPr>
            <a:ln w="19050">
              <a:solidFill>
                <a:srgbClr val="CC0000"/>
              </a:solidFill>
              <a:prstDash val="dash"/>
            </a:ln>
          </spPr>
          <marker>
            <symbol val="none"/>
            <spPr>
              <a:ln>
                <a:prstDash val="solid"/>
              </a:ln>
            </spPr>
          </marker>
          <xVal>
            <numRef>
              <f>'_look'!$AK$32:$AK$33</f>
            </numRef>
          </xVal>
          <yVal>
            <numRef>
              <f>'_look'!$AL$32:$AL$33</f>
            </numRef>
          </yVal>
          <smooth val="0"/>
        </ser>
        <ser>
          <idx val="16"/>
          <order val="16"/>
          <spPr>
            <a:ln w="19050">
              <a:solidFill>
                <a:srgbClr val="CC0000"/>
              </a:solidFill>
              <a:prstDash val="dash"/>
            </a:ln>
          </spPr>
          <marker>
            <symbol val="none"/>
            <spPr>
              <a:ln>
                <a:prstDash val="solid"/>
              </a:ln>
            </spPr>
          </marker>
          <xVal>
            <numRef>
              <f>'_look'!$AK$34:$AK$35</f>
            </numRef>
          </xVal>
          <yVal>
            <numRef>
              <f>'_look'!$AL$34:$AL$35</f>
            </numRef>
          </yVal>
          <smooth val="0"/>
        </ser>
        <ser>
          <idx val="17"/>
          <order val="17"/>
          <spPr>
            <a:ln w="19050">
              <a:solidFill>
                <a:srgbClr val="CC0000"/>
              </a:solidFill>
              <a:prstDash val="dash"/>
            </a:ln>
          </spPr>
          <marker>
            <symbol val="none"/>
            <spPr>
              <a:ln>
                <a:prstDash val="solid"/>
              </a:ln>
            </spPr>
          </marker>
          <xVal>
            <numRef>
              <f>'_look'!$AK$36:$AK$37</f>
            </numRef>
          </xVal>
          <yVal>
            <numRef>
              <f>'_look'!$AL$36:$AL$37</f>
            </numRef>
          </yVal>
          <smooth val="0"/>
        </ser>
        <ser>
          <idx val="18"/>
          <order val="18"/>
          <spPr>
            <a:ln w="19050">
              <a:solidFill>
                <a:srgbClr val="CC0000"/>
              </a:solidFill>
              <a:prstDash val="dash"/>
            </a:ln>
          </spPr>
          <marker>
            <symbol val="none"/>
            <spPr>
              <a:ln>
                <a:prstDash val="solid"/>
              </a:ln>
            </spPr>
          </marker>
          <xVal>
            <numRef>
              <f>'_look'!$AK$38:$AK$39</f>
            </numRef>
          </xVal>
          <yVal>
            <numRef>
              <f>'_look'!$AL$38:$AL$39</f>
            </numRef>
          </yVal>
          <smooth val="0"/>
        </ser>
        <ser>
          <idx val="19"/>
          <order val="19"/>
          <spPr>
            <a:ln w="19050">
              <a:solidFill>
                <a:srgbClr val="CC0000"/>
              </a:solidFill>
              <a:prstDash val="dash"/>
            </a:ln>
          </spPr>
          <marker>
            <symbol val="none"/>
            <spPr>
              <a:ln>
                <a:prstDash val="solid"/>
              </a:ln>
            </spPr>
          </marker>
          <xVal>
            <numRef>
              <f>'_look'!$AK$40:$AK$41</f>
            </numRef>
          </xVal>
          <yVal>
            <numRef>
              <f>'_look'!$AL$40:$AL$41</f>
            </numRef>
          </yVal>
          <smooth val="0"/>
        </ser>
        <ser>
          <idx val="20"/>
          <order val="20"/>
          <spPr>
            <a:ln w="19050">
              <a:solidFill>
                <a:srgbClr val="CC0000"/>
              </a:solidFill>
              <a:prstDash val="dash"/>
            </a:ln>
          </spPr>
          <marker>
            <symbol val="none"/>
            <spPr>
              <a:ln>
                <a:prstDash val="solid"/>
              </a:ln>
            </spPr>
          </marker>
          <xVal>
            <numRef>
              <f>'_look'!$AK$42:$AK$43</f>
            </numRef>
          </xVal>
          <yVal>
            <numRef>
              <f>'_look'!$AL$42:$AL$43</f>
            </numRef>
          </yVal>
          <smooth val="0"/>
        </ser>
        <ser>
          <idx val="21"/>
          <order val="21"/>
          <spPr>
            <a:ln w="19050">
              <a:solidFill>
                <a:srgbClr val="CC0000"/>
              </a:solidFill>
              <a:prstDash val="dash"/>
            </a:ln>
          </spPr>
          <marker>
            <symbol val="none"/>
            <spPr>
              <a:ln>
                <a:prstDash val="solid"/>
              </a:ln>
            </spPr>
          </marker>
          <xVal>
            <numRef>
              <f>'_look'!$AK$44:$AK$45</f>
            </numRef>
          </xVal>
          <yVal>
            <numRef>
              <f>'_look'!$AL$44:$AL$45</f>
            </numRef>
          </yVal>
          <smooth val="0"/>
        </ser>
        <ser>
          <idx val="22"/>
          <order val="22"/>
          <spPr>
            <a:ln w="19050">
              <a:solidFill>
                <a:srgbClr val="CC0000"/>
              </a:solidFill>
              <a:prstDash val="dash"/>
            </a:ln>
          </spPr>
          <marker>
            <symbol val="none"/>
            <spPr>
              <a:ln>
                <a:prstDash val="solid"/>
              </a:ln>
            </spPr>
          </marker>
          <xVal>
            <numRef>
              <f>'_look'!$AK$46:$AK$47</f>
            </numRef>
          </xVal>
          <yVal>
            <numRef>
              <f>'_look'!$AL$46:$AL$47</f>
            </numRef>
          </yVal>
          <smooth val="0"/>
        </ser>
        <ser>
          <idx val="23"/>
          <order val="23"/>
          <spPr>
            <a:ln w="19050">
              <a:solidFill>
                <a:srgbClr val="CC0000"/>
              </a:solidFill>
              <a:prstDash val="dash"/>
            </a:ln>
          </spPr>
          <marker>
            <symbol val="none"/>
            <spPr>
              <a:ln>
                <a:prstDash val="solid"/>
              </a:ln>
            </spPr>
          </marker>
          <xVal>
            <numRef>
              <f>'_look'!$AK$48:$AK$49</f>
            </numRef>
          </xVal>
          <yVal>
            <numRef>
              <f>'_look'!$AL$48:$AL$49</f>
            </numRef>
          </yVal>
          <smooth val="0"/>
        </ser>
        <ser>
          <idx val="24"/>
          <order val="24"/>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0" sourceLinked="0"/>
        <majorTickMark val="none"/>
        <minorTickMark val="none"/>
        <crossAx val="10"/>
        <majorUnit val="10000"/>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REV_DEBT against ORIG_BAL</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60000"/>
          <min val="0"/>
        </scaling>
        <delete val="0"/>
        <axPos val="l"/>
        <majorGridlines/>
        <title>
          <tx>
            <rich>
              <a:bodyPr/>
              <a:p>
                <a:pPr>
                  <a:defRPr/>
                </a:pPr>
                <a:r>
                  <a:t>ORIG_BAL</a:t>
                </a:r>
              </a:p>
            </rich>
          </tx>
        </title>
        <numFmt formatCode="#,##0" sourceLinked="0"/>
        <majorTickMark val="none"/>
        <minorTickMark val="none"/>
        <crossAx val="20"/>
        <majorUnit val="10000"/>
      </valAx>
      <valAx>
        <axId val="20"/>
        <scaling>
          <orientation val="minMax"/>
          <max val="40000"/>
          <min val="0"/>
        </scaling>
        <delete val="0"/>
        <axPos val="l"/>
        <majorGridlines/>
        <title>
          <tx>
            <rich>
              <a:bodyPr/>
              <a:p>
                <a:pPr>
                  <a:defRPr/>
                </a:pPr>
                <a:r>
                  <a:t>REV_DEBT</a:t>
                </a:r>
              </a:p>
            </rich>
          </tx>
        </title>
        <numFmt formatCode="#,##0" sourceLinked="0"/>
        <majorTickMark val="none"/>
        <minorTickMark val="none"/>
        <crossAx val="10"/>
        <majorUnit val="5000"/>
      </valAx>
    </plotArea>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_rels/drawing2.xml.rels><Relationships xmlns="http://schemas.openxmlformats.org/package/2006/relationships"><Relationship Type="http://schemas.openxmlformats.org/officeDocument/2006/relationships/chart" Target="/xl/charts/chart6.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29</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48</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67</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86</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2" customWidth="1" min="2" max="2"/>
    <col width="16" customWidth="1" min="3" max="3"/>
    <col width="16" customWidth="1" min="4" max="4"/>
    <col width="16" customWidth="1" min="5" max="5"/>
    <col width="16"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Consumer book Q3.csv · 8,000 loans · 10 columns · last Run 2026-09-29 21:04</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COUNTIFS(Columns!$S$13:$S$22,"?*",Columns!$H$13:$H$22,"")</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81","")</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IF($K20="","",INDEX('_found'!$C$6:$C$46,$K20))</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IF($K21="","",INDEX('_found'!$C$6:$C$46,$K21))</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IF($K22="","",INDEX('_found'!$C$6:$C$46,$K22))</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IF($K23="","",INDEX('_found'!$C$6:$C$46,$K23))</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IF($K24="","",INDEX('_found'!$C$6:$C$46,$K24))</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3"/>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0" customWidth="1" min="2" max="2"/>
    <col width="66" customWidth="1" min="3" max="3"/>
    <col width="12" customWidth="1" min="4" max="4"/>
    <col width="14" customWidth="1" min="5" max="5"/>
    <col width="44" customWidth="1" min="6" max="6"/>
    <col hidden="1" width="12" customWidth="1" min="7" max="7"/>
    <col width="22" customWidth="1" min="8" max="8"/>
    <col width="50"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idden="1" ht="18" customHeight="1">
      <c r="B38" s="49" t="inlineStr">
        <is>
          <t>Tested against</t>
        </is>
      </c>
      <c r="C38" s="50" t="n"/>
      <c r="D38" s="51" t="n"/>
      <c r="E38" s="51" t="n"/>
      <c r="F38" s="51" t="n"/>
      <c r="G38" s="35" t="inlineStr">
        <is>
          <t>launcher|outcome</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Inputs tested</t>
        </is>
      </c>
      <c r="C39" s="50" t="n"/>
      <c r="D39" s="51" t="n"/>
      <c r="E39" s="51" t="n"/>
      <c r="F39" s="51" t="n"/>
      <c r="G39" s="35" t="inlineStr">
        <is>
          <t>launcher|test</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Held fixed</t>
        </is>
      </c>
      <c r="C40" s="50" t="n"/>
      <c r="D40" s="51" t="n"/>
      <c r="E40" s="51" t="n"/>
      <c r="F40" s="51" t="n"/>
      <c r="G40" s="35" t="inlineStr">
        <is>
          <t>launcher|hold</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Saved shortlist (pre-spec file)</t>
        </is>
      </c>
      <c r="C41" s="50" t="n"/>
      <c r="D41" s="51" t="n"/>
      <c r="E41" s="51" t="n"/>
      <c r="F41" s="51" t="n"/>
      <c r="G41" s="35" t="inlineStr">
        <is>
          <t>prespec</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t="18" customHeight="1">
      <c r="B42" s="49" t="inlineStr">
        <is>
          <t>Number columns: this many values or fewer is a category; more is cut into bands</t>
        </is>
      </c>
      <c r="C42" s="50" t="inlineStr">
        <is>
          <t>12 values</t>
        </is>
      </c>
      <c r="D42" s="51" t="n"/>
      <c r="E42" s="51" t="n"/>
      <c r="F42" s="51" t="n"/>
      <c r="G42" s="35" t="inlineStr">
        <is>
          <t>few_values</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Text columns: more values than this is too many to cut by (text is never cut into bands)</t>
        </is>
      </c>
      <c r="C43" s="50" t="inlineStr">
        <is>
          <t>50 values</t>
        </is>
      </c>
      <c r="D43" s="51" t="n"/>
      <c r="E43" s="51" t="n"/>
      <c r="F43" s="51" t="n"/>
      <c r="G43" s="35" t="inlineStr">
        <is>
          <t>many_values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3">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0"/>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2" customWidth="1" min="2" max="2"/>
    <col width="26" customWidth="1" min="3" max="3"/>
    <col width="20" customWidth="1" min="4" max="4"/>
    <col width="51.3" customWidth="1" min="5" max="5"/>
    <col width="7" customWidth="1" min="6" max="6"/>
    <col width="20" customWidth="1" min="7" max="7"/>
    <col width="11" customWidth="1" min="8" max="8"/>
    <col width="16" customWidth="1" min="9" max="9"/>
    <col width="13" customWidth="1" min="10" max="10"/>
    <col width="9" customWidth="1" min="11" max="11"/>
    <col width="60" customWidth="1" min="12" max="12"/>
    <col width="12" customWidth="1" min="13" max="13"/>
    <col width="15"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c r="S23" t="inlineStr">
        <is>
          <t>table|end</t>
        </is>
      </c>
    </row>
    <row r="24"/>
    <row r="25" ht="20" customHeight="1">
      <c r="B25" s="25" t="inlineStr">
        <is>
          <t>Add a column: one divided by another</t>
        </is>
      </c>
      <c r="C25" s="26" t="n"/>
      <c r="D25" s="26" t="n"/>
      <c r="E25" s="26" t="n"/>
      <c r="F25" s="26" t="n"/>
      <c r="S25" t="inlineStr">
        <is>
          <t>derived|head</t>
        </is>
      </c>
    </row>
    <row r="26">
      <c r="B26" s="41" t="inlineStr">
        <is>
          <t>Shows here and on Look, and in Choose tests, once you press Set up again. Blank where the bottom is zero or blank.</t>
        </is>
      </c>
      <c r="S26" t="inlineStr">
        <is>
          <t>derived|note</t>
        </is>
      </c>
    </row>
    <row r="27">
      <c r="B27" s="29" t="inlineStr">
        <is>
          <t>New column name ↻</t>
        </is>
      </c>
      <c r="C27" s="29" t="inlineStr">
        <is>
          <t>Top (divided)</t>
        </is>
      </c>
      <c r="D27" s="29" t="inlineStr">
        <is>
          <t>Bottom (divided by)</t>
        </is>
      </c>
      <c r="E27" s="29" t="inlineStr">
        <is>
          <t>What it makes</t>
        </is>
      </c>
      <c r="S27" t="inlineStr">
        <is>
          <t>derived|cols</t>
        </is>
      </c>
    </row>
    <row r="28" ht="18" customHeight="1">
      <c r="B28" s="61" t="n"/>
      <c r="C28" s="61" t="n"/>
      <c r="D28" s="61" t="n"/>
      <c r="E28" s="62">
        <f>IF(COUNTA(B28:D28)=0,"",IF(COUNTA(B28:D28)&lt;3,"Needs a name, a top and a bottom.",B28&amp;" = "&amp;C28&amp;" ÷ "&amp;D28&amp;" on each loan."))</f>
        <v/>
      </c>
      <c r="F28" s="63" t="n"/>
      <c r="S28" t="inlineStr">
        <is>
          <t>derived|1</t>
        </is>
      </c>
    </row>
    <row r="29" ht="18" customHeight="1">
      <c r="B29" s="61" t="n"/>
      <c r="C29" s="61" t="n"/>
      <c r="D29" s="61" t="n"/>
      <c r="E29" s="62">
        <f>IF(COUNTA(B29:D29)=0,"",IF(COUNTA(B29:D29)&lt;3,"Needs a name, a top and a bottom.",B29&amp;" = "&amp;C29&amp;" ÷ "&amp;D29&amp;" on each loan."))</f>
        <v/>
      </c>
      <c r="F29" s="63" t="n"/>
      <c r="S29" t="inlineStr">
        <is>
          <t>derived|2</t>
        </is>
      </c>
    </row>
    <row r="30" ht="18" customHeight="1">
      <c r="B30" s="61" t="n"/>
      <c r="C30" s="61" t="n"/>
      <c r="D30" s="61" t="n"/>
      <c r="E30" s="62">
        <f>IF(COUNTA(B30:D30)=0,"",IF(COUNTA(B30:D30)&lt;3,"Needs a name, a top and a bottom.",B30&amp;" = "&amp;C30&amp;" ÷ "&amp;D30&amp;" on each loan."))</f>
        <v/>
      </c>
      <c r="F30" s="63" t="n"/>
      <c r="S30"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2">
    <cfRule type="expression" priority="2" dxfId="2">
      <formula>AND($S13&lt;&gt;"",$H13="")</formula>
    </cfRule>
  </conditionalFormatting>
  <conditionalFormatting sqref="L13:L22">
    <cfRule type="expression" priority="3" dxfId="2">
      <formula>L13&lt;&gt;""</formula>
    </cfRule>
  </conditionalFormatting>
  <conditionalFormatting sqref="B28:D28">
    <cfRule type="expression" priority="4" dxfId="2">
      <formula>AND(B28="",COUNTA($B28:$D28)&gt;0)</formula>
    </cfRule>
  </conditionalFormatting>
  <conditionalFormatting sqref="B29:D29">
    <cfRule type="expression" priority="5" dxfId="2">
      <formula>AND(B29="",COUNTA($B29:$D29)&gt;0)</formula>
    </cfRule>
  </conditionalFormatting>
  <conditionalFormatting sqref="B30:D30">
    <cfRule type="expression" priority="6" dxfId="2">
      <formula>AND(B30="",COUNTA($B30:$D30)&gt;0)</formula>
    </cfRule>
  </conditionalFormatting>
  <dataValidations count="7">
    <dataValidation sqref="C3" showDropDown="0" showInputMessage="0" showErrorMessage="1" allowBlank="1" type="list">
      <formula1>"Yes,No"</formula1>
    </dataValidation>
    <dataValidation sqref="D13 D14 D15 D16 D17 D18 D19 D20 D21 D22" showDropDown="0" showInputMessage="0" showErrorMessage="1" allowBlank="0" error="Pick one of the meanings in the list." type="list">
      <formula1>='_meanings'!$A$1:$A$19</formula1>
    </dataValidation>
    <dataValidation sqref="N13 N14 N15 N16 N17 N18 N19 N20 N21 N22" showDropDown="0" showInputMessage="0" showErrorMessage="1" allowBlank="1" type="list">
      <formula1>"median,average"</formula1>
    </dataValidation>
    <dataValidation sqref="O13 O14 O15 O16 O17 O18 O19 O20 O21 O22"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showDropDown="0" showInputMessage="0" showErrorMessage="1" allowBlank="1" type="list">
      <formula1>"No,Yes"</formula1>
    </dataValidation>
    <dataValidation sqref="C28 C29 C30 D28 D29 D30"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90"/>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26"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17" customHeight="1">
      <c r="B6" s="6" t="inlineStr">
        <is>
          <t>Red dashed lines</t>
        </is>
      </c>
      <c r="C6" s="7" t="inlineStr">
        <is>
          <t>The band edges typed on Columns. They follow that tab as you type, so you can try edges here before the next Run. Blank edges are cut at the Run, so no lines show.</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9" ht="18" customHeight="1">
      <c r="B29" s="64" t="inlineStr">
        <is>
          <t>ORIG_BAL</t>
        </is>
      </c>
      <c r="C29" s="65" t="n"/>
      <c r="D29" s="65" t="n"/>
      <c r="H29" s="41">
        <f>IF('_look'!$S$20="","ORIG_BAL · no edges on Columns yet","ORIG_BAL · edges now "&amp;'_look'!$S$20)</f>
        <v/>
      </c>
    </row>
    <row r="30">
      <c r="B30" s="21" t="inlineStr">
        <is>
          <t>Loans</t>
        </is>
      </c>
      <c r="C30" s="66" t="n">
        <v>8000</v>
      </c>
    </row>
    <row r="31">
      <c r="B31" s="21" t="inlineStr">
        <is>
          <t>Blank</t>
        </is>
      </c>
      <c r="C31" s="66" t="n">
        <v>1</v>
      </c>
      <c r="D31" s="67" t="n">
        <v>0.000125</v>
      </c>
    </row>
    <row r="32">
      <c r="B32" s="21" t="inlineStr">
        <is>
          <t>Not a number</t>
        </is>
      </c>
      <c r="C32" s="66" t="n">
        <v>0</v>
      </c>
      <c r="D32" s="67" t="n">
        <v>0</v>
      </c>
    </row>
    <row r="33">
      <c r="B33" s="21" t="inlineStr">
        <is>
          <t>Likely a code</t>
        </is>
      </c>
      <c r="C33" s="66" t="inlineStr">
        <is>
          <t>none found</t>
        </is>
      </c>
    </row>
    <row r="34">
      <c r="B34" s="21" t="inlineStr">
        <is>
          <t>Smallest</t>
        </is>
      </c>
      <c r="C34" s="66" t="n">
        <v>5005.32</v>
      </c>
    </row>
    <row r="35">
      <c r="B35" s="21" t="inlineStr">
        <is>
          <t>Median</t>
        </is>
      </c>
      <c r="C35" s="66" t="n">
        <v>32112.83</v>
      </c>
    </row>
    <row r="36">
      <c r="B36" s="21" t="inlineStr">
        <is>
          <t>Mean</t>
        </is>
      </c>
      <c r="C36" s="66" t="n">
        <v>32262.58857732217</v>
      </c>
    </row>
    <row r="37">
      <c r="B37" s="21" t="inlineStr">
        <is>
          <t>Largest</t>
        </is>
      </c>
      <c r="C37" s="66" t="n">
        <v>59983.86</v>
      </c>
    </row>
    <row r="39">
      <c r="B39" s="21" t="inlineStr">
        <is>
          <t>Bars</t>
        </is>
      </c>
      <c r="C39" s="68" t="n">
        <v>20</v>
      </c>
    </row>
    <row r="40">
      <c r="B40" s="21" t="inlineStr">
        <is>
          <t>From</t>
        </is>
      </c>
      <c r="C40" s="69" t="n">
        <v>0</v>
      </c>
    </row>
    <row r="41">
      <c r="B41" s="21" t="inlineStr">
        <is>
          <t>To</t>
        </is>
      </c>
      <c r="C41" s="69" t="n">
        <v>60000</v>
      </c>
    </row>
    <row r="48" ht="18" customHeight="1">
      <c r="B48" s="64" t="inlineStr">
        <is>
          <t>REV_DEBT</t>
        </is>
      </c>
      <c r="C48" s="65" t="n"/>
      <c r="D48" s="65" t="n"/>
      <c r="H48" s="41">
        <f>IF('_look'!$AF$20="","REV_DEBT · no edges on Columns yet","REV_DEBT · edges now "&amp;'_look'!$AF$20)</f>
        <v/>
      </c>
    </row>
    <row r="49">
      <c r="B49" s="21" t="inlineStr">
        <is>
          <t>Loans</t>
        </is>
      </c>
      <c r="C49" s="66" t="n">
        <v>8000</v>
      </c>
    </row>
    <row r="50">
      <c r="B50" s="21" t="inlineStr">
        <is>
          <t>Blank</t>
        </is>
      </c>
      <c r="C50" s="66" t="n">
        <v>0</v>
      </c>
      <c r="D50" s="67" t="n">
        <v>0</v>
      </c>
    </row>
    <row r="51">
      <c r="B51" s="21" t="inlineStr">
        <is>
          <t>Not a number</t>
        </is>
      </c>
      <c r="C51" s="66" t="n">
        <v>0</v>
      </c>
      <c r="D51" s="67" t="n">
        <v>0</v>
      </c>
    </row>
    <row r="52">
      <c r="B52" s="21" t="inlineStr">
        <is>
          <t>Likely a code</t>
        </is>
      </c>
      <c r="C52" s="66" t="inlineStr">
        <is>
          <t>none found</t>
        </is>
      </c>
    </row>
    <row r="53">
      <c r="B53" s="21" t="inlineStr">
        <is>
          <t>Smallest</t>
        </is>
      </c>
      <c r="C53" s="66" t="n">
        <v>0</v>
      </c>
    </row>
    <row r="54">
      <c r="B54" s="21" t="inlineStr">
        <is>
          <t>Median</t>
        </is>
      </c>
      <c r="C54" s="66" t="n">
        <v>11392.84</v>
      </c>
    </row>
    <row r="55">
      <c r="B55" s="21" t="inlineStr">
        <is>
          <t>Mean</t>
        </is>
      </c>
      <c r="C55" s="66" t="n">
        <v>12064.48326875</v>
      </c>
    </row>
    <row r="56">
      <c r="B56" s="21" t="inlineStr">
        <is>
          <t>Largest</t>
        </is>
      </c>
      <c r="C56" s="66" t="n">
        <v>48521.79</v>
      </c>
    </row>
    <row r="58">
      <c r="B58" s="21" t="inlineStr">
        <is>
          <t>Bars</t>
        </is>
      </c>
      <c r="C58" s="68" t="n">
        <v>20</v>
      </c>
    </row>
    <row r="59">
      <c r="B59" s="21" t="inlineStr">
        <is>
          <t>From</t>
        </is>
      </c>
      <c r="C59" s="69" t="n">
        <v>0</v>
      </c>
    </row>
    <row r="60">
      <c r="B60" s="21" t="inlineStr">
        <is>
          <t>To</t>
        </is>
      </c>
      <c r="C60" s="69" t="n">
        <v>30000</v>
      </c>
    </row>
    <row r="67" ht="18" customHeight="1">
      <c r="B67" s="64" t="inlineStr">
        <is>
          <t>REV_DEBT against FICO</t>
        </is>
      </c>
      <c r="C67" s="65" t="n"/>
      <c r="D67" s="65" t="n"/>
    </row>
    <row r="68">
      <c r="B68" s="21" t="inlineStr">
        <is>
          <t>Loans with both values</t>
        </is>
      </c>
      <c r="C68" s="66" t="n">
        <v>7839</v>
      </c>
    </row>
    <row r="69">
      <c r="B69" s="21" t="inlineStr">
        <is>
          <t>Dots shown</t>
        </is>
      </c>
      <c r="C69" s="66" t="n">
        <v>2000</v>
      </c>
    </row>
    <row r="70">
      <c r="B70" s="21" t="inlineStr">
        <is>
          <t>Moves together (correlation)</t>
        </is>
      </c>
      <c r="C70" s="71" t="n">
        <v>-0.53</v>
      </c>
    </row>
    <row r="71">
      <c r="B71" s="14" t="inlineStr">
        <is>
          <t>A random sample of 2,000: the same loans every time.</t>
        </is>
      </c>
    </row>
    <row r="86" ht="18" customHeight="1">
      <c r="B86" s="64" t="inlineStr">
        <is>
          <t>REV_DEBT against ORIG_BAL</t>
        </is>
      </c>
      <c r="C86" s="65" t="n"/>
      <c r="D86" s="65" t="n"/>
    </row>
    <row r="87">
      <c r="B87" s="21" t="inlineStr">
        <is>
          <t>Loans with both values</t>
        </is>
      </c>
      <c r="C87" s="66" t="n">
        <v>7999</v>
      </c>
    </row>
    <row r="88">
      <c r="B88" s="21" t="inlineStr">
        <is>
          <t>Dots shown</t>
        </is>
      </c>
      <c r="C88" s="66" t="n">
        <v>2000</v>
      </c>
    </row>
    <row r="89">
      <c r="B89" s="21" t="inlineStr">
        <is>
          <t>Moves together (correlation)</t>
        </is>
      </c>
      <c r="C89" s="71" t="n">
        <v>-0.02</v>
      </c>
    </row>
    <row r="90">
      <c r="B90" s="14" t="inlineStr">
        <is>
          <t>A random sample of 2,000: the same loans every time.</t>
        </is>
      </c>
    </row>
  </sheetData>
  <mergeCells count="5">
    <mergeCell ref="C7:Q7"/>
    <mergeCell ref="C6:Q6"/>
    <mergeCell ref="C5:Q5"/>
    <mergeCell ref="C8:Q8"/>
    <mergeCell ref="C4:Q4"/>
  </mergeCells>
  <dataValidations count="1">
    <dataValidation sqref="C20 C39 C58"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6" min="0" max="16383" man="1"/>
    <brk id="65"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22"/>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24" customWidth="1" min="3" max="3"/>
    <col width="20" customWidth="1" min="4" max="4"/>
    <col width="18" customWidth="1" min="5" max="5"/>
    <col width="9" customWidth="1" min="6" max="6"/>
    <col width="11" customWidth="1" min="7" max="7"/>
    <col width="12" customWidth="1" min="8" max="8"/>
    <col width="14" customWidth="1" min="9" max="9"/>
    <col width="22" customWidth="1" min="10" max="10"/>
    <col width="14" customWidth="1" min="11" max="11"/>
    <col width="12" customWidth="1" min="12" max="12"/>
    <col width="11" customWidth="1" min="13" max="13"/>
    <col width="16" customWidth="1" min="14" max="14"/>
    <col width="26"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2026-09-29 21:04.</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IFERROR(COUNTIFS('_list'!$A$2:$A$652,'Pockets'!$D$18,'_list'!$B$2:$B$652,'Pockets'!$C$18,'_list'!$K$2:$K$652,"Yes",'_list'!$L$2:$L$652,"Yes")&amp;" worse and material · "&amp;COUNTIFS('_list'!$A$2:$A$652,'Pockets'!$D$18,'_list'!$B$2:$B$652,'Pockets'!$C$18,'_list'!$K$2:$K$652,"Yes")&amp;" worse · "&amp;SUM('_list'!$M$2:$M$652)&amp;"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IF($R21="","",IF(INDEX('_list'!$D$2:$D$652,$R21)="","",INDEX('_list'!$D$2:$D$652,$R21)))</f>
        <v/>
      </c>
      <c r="D21" s="113">
        <f>IF($R21="","",IF(INDEX('_list'!$E$2:$E$652,$R21)="","",INDEX('_list'!$E$2:$E$652,$R21)))</f>
        <v/>
      </c>
      <c r="E21" s="113">
        <f>IF($R21="","",IF(INDEX('_list'!$F$2:$F$652,$R21)="","",INDEX('_list'!$F$2:$F$652,$R21)))</f>
        <v/>
      </c>
      <c r="F21" s="114">
        <f>IF($R21="","",IF(INDEX('_list'!$G$2:$G$652,$R21)="","",INDEX('_list'!$G$2:$G$652,$R21)))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IF($R21="","",IF(INDEX('_list'!$K$2:$K$652,$R21)="","",INDEX('_list'!$K$2:$K$652,$R21)))</f>
        <v/>
      </c>
      <c r="L21" s="118">
        <f>IF($S21="","",IF(INDEX('_pockets'!$AC:$AC,$S21)="","",INDEX('_pockets'!$AC:$AC,$S21)))</f>
        <v/>
      </c>
      <c r="M21" s="117">
        <f>IF($R21="","",IF(INDEX('_list'!$L$2:$L$652,$R21)="","",INDEX('_list'!$L$2:$L$652,$R21)))</f>
        <v/>
      </c>
      <c r="N21" s="116">
        <f>IF($R21="","",IF(INDEX('_list'!$H$2:$H$652,$R21)="","",INDEX('_list'!$H$2:$H$652,$R21)))</f>
        <v/>
      </c>
      <c r="O21" s="113">
        <f>IF($R21="","",IF(INDEX('_list'!$I$2:$I$652,$R21)="","",INDEX('_list'!$I$2:$I$652,$R21)))</f>
        <v/>
      </c>
      <c r="R21">
        <f>IFERROR(MATCH(1,'_list'!$N$2:$N$652,0),"")</f>
        <v/>
      </c>
      <c r="S21">
        <f>IF($R21="","",INDEX('_list'!$C$2:$C$652,$R21))</f>
        <v/>
      </c>
    </row>
    <row r="22" ht="16" customHeight="1">
      <c r="B22" s="112">
        <f>IF($R22="","",2)</f>
        <v/>
      </c>
      <c r="C22" s="113">
        <f>IF($R22="","",IF(INDEX('_list'!$D$2:$D$652,$R22)="","",INDEX('_list'!$D$2:$D$652,$R22)))</f>
        <v/>
      </c>
      <c r="D22" s="113">
        <f>IF($R22="","",IF(INDEX('_list'!$E$2:$E$652,$R22)="","",INDEX('_list'!$E$2:$E$652,$R22)))</f>
        <v/>
      </c>
      <c r="E22" s="113">
        <f>IF($R22="","",IF(INDEX('_list'!$F$2:$F$652,$R22)="","",INDEX('_list'!$F$2:$F$652,$R22)))</f>
        <v/>
      </c>
      <c r="F22" s="114">
        <f>IF($R22="","",IF(INDEX('_list'!$G$2:$G$652,$R22)="","",INDEX('_list'!$G$2:$G$652,$R22)))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IF($R22="","",IF(INDEX('_list'!$K$2:$K$652,$R22)="","",INDEX('_list'!$K$2:$K$652,$R22)))</f>
        <v/>
      </c>
      <c r="L22" s="118">
        <f>IF($S22="","",IF(INDEX('_pockets'!$AC:$AC,$S22)="","",INDEX('_pockets'!$AC:$AC,$S22)))</f>
        <v/>
      </c>
      <c r="M22" s="117">
        <f>IF($R22="","",IF(INDEX('_list'!$L$2:$L$652,$R22)="","",INDEX('_list'!$L$2:$L$652,$R22)))</f>
        <v/>
      </c>
      <c r="N22" s="116">
        <f>IF($R22="","",IF(INDEX('_list'!$H$2:$H$652,$R22)="","",INDEX('_list'!$H$2:$H$652,$R22)))</f>
        <v/>
      </c>
      <c r="O22" s="113">
        <f>IF($R22="","",IF(INDEX('_list'!$I$2:$I$652,$R22)="","",INDEX('_list'!$I$2:$I$652,$R22)))</f>
        <v/>
      </c>
      <c r="R22">
        <f>IFERROR(MATCH(2,'_list'!$N$2:$N$652,0),"")</f>
        <v/>
      </c>
      <c r="S22">
        <f>IF($R22="","",INDEX('_list'!$C$2:$C$652,$R22))</f>
        <v/>
      </c>
    </row>
    <row r="23" ht="16" customHeight="1">
      <c r="B23" s="112">
        <f>IF($R23="","",3)</f>
        <v/>
      </c>
      <c r="C23" s="113">
        <f>IF($R23="","",IF(INDEX('_list'!$D$2:$D$652,$R23)="","",INDEX('_list'!$D$2:$D$652,$R23)))</f>
        <v/>
      </c>
      <c r="D23" s="113">
        <f>IF($R23="","",IF(INDEX('_list'!$E$2:$E$652,$R23)="","",INDEX('_list'!$E$2:$E$652,$R23)))</f>
        <v/>
      </c>
      <c r="E23" s="113">
        <f>IF($R23="","",IF(INDEX('_list'!$F$2:$F$652,$R23)="","",INDEX('_list'!$F$2:$F$652,$R23)))</f>
        <v/>
      </c>
      <c r="F23" s="114">
        <f>IF($R23="","",IF(INDEX('_list'!$G$2:$G$652,$R23)="","",INDEX('_list'!$G$2:$G$652,$R23)))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IF($R23="","",IF(INDEX('_list'!$K$2:$K$652,$R23)="","",INDEX('_list'!$K$2:$K$652,$R23)))</f>
        <v/>
      </c>
      <c r="L23" s="118">
        <f>IF($S23="","",IF(INDEX('_pockets'!$AC:$AC,$S23)="","",INDEX('_pockets'!$AC:$AC,$S23)))</f>
        <v/>
      </c>
      <c r="M23" s="117">
        <f>IF($R23="","",IF(INDEX('_list'!$L$2:$L$652,$R23)="","",INDEX('_list'!$L$2:$L$652,$R23)))</f>
        <v/>
      </c>
      <c r="N23" s="116">
        <f>IF($R23="","",IF(INDEX('_list'!$H$2:$H$652,$R23)="","",INDEX('_list'!$H$2:$H$652,$R23)))</f>
        <v/>
      </c>
      <c r="O23" s="113">
        <f>IF($R23="","",IF(INDEX('_list'!$I$2:$I$652,$R23)="","",INDEX('_list'!$I$2:$I$652,$R23)))</f>
        <v/>
      </c>
      <c r="R23">
        <f>IFERROR(MATCH(3,'_list'!$N$2:$N$652,0),"")</f>
        <v/>
      </c>
      <c r="S23">
        <f>IF($R23="","",INDEX('_list'!$C$2:$C$652,$R23))</f>
        <v/>
      </c>
    </row>
    <row r="24" ht="16" customHeight="1">
      <c r="B24" s="112">
        <f>IF($R24="","",4)</f>
        <v/>
      </c>
      <c r="C24" s="113">
        <f>IF($R24="","",IF(INDEX('_list'!$D$2:$D$652,$R24)="","",INDEX('_list'!$D$2:$D$652,$R24)))</f>
        <v/>
      </c>
      <c r="D24" s="113">
        <f>IF($R24="","",IF(INDEX('_list'!$E$2:$E$652,$R24)="","",INDEX('_list'!$E$2:$E$652,$R24)))</f>
        <v/>
      </c>
      <c r="E24" s="113">
        <f>IF($R24="","",IF(INDEX('_list'!$F$2:$F$652,$R24)="","",INDEX('_list'!$F$2:$F$652,$R24)))</f>
        <v/>
      </c>
      <c r="F24" s="114">
        <f>IF($R24="","",IF(INDEX('_list'!$G$2:$G$652,$R24)="","",INDEX('_list'!$G$2:$G$652,$R24)))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IF($R24="","",IF(INDEX('_list'!$K$2:$K$652,$R24)="","",INDEX('_list'!$K$2:$K$652,$R24)))</f>
        <v/>
      </c>
      <c r="L24" s="118">
        <f>IF($S24="","",IF(INDEX('_pockets'!$AC:$AC,$S24)="","",INDEX('_pockets'!$AC:$AC,$S24)))</f>
        <v/>
      </c>
      <c r="M24" s="117">
        <f>IF($R24="","",IF(INDEX('_list'!$L$2:$L$652,$R24)="","",INDEX('_list'!$L$2:$L$652,$R24)))</f>
        <v/>
      </c>
      <c r="N24" s="116">
        <f>IF($R24="","",IF(INDEX('_list'!$H$2:$H$652,$R24)="","",INDEX('_list'!$H$2:$H$652,$R24)))</f>
        <v/>
      </c>
      <c r="O24" s="113">
        <f>IF($R24="","",IF(INDEX('_list'!$I$2:$I$652,$R24)="","",INDEX('_list'!$I$2:$I$652,$R24)))</f>
        <v/>
      </c>
      <c r="R24">
        <f>IFERROR(MATCH(4,'_list'!$N$2:$N$652,0),"")</f>
        <v/>
      </c>
      <c r="S24">
        <f>IF($R24="","",INDEX('_list'!$C$2:$C$652,$R24))</f>
        <v/>
      </c>
    </row>
    <row r="25" ht="16" customHeight="1">
      <c r="B25" s="112">
        <f>IF($R25="","",5)</f>
        <v/>
      </c>
      <c r="C25" s="113">
        <f>IF($R25="","",IF(INDEX('_list'!$D$2:$D$652,$R25)="","",INDEX('_list'!$D$2:$D$652,$R25)))</f>
        <v/>
      </c>
      <c r="D25" s="113">
        <f>IF($R25="","",IF(INDEX('_list'!$E$2:$E$652,$R25)="","",INDEX('_list'!$E$2:$E$652,$R25)))</f>
        <v/>
      </c>
      <c r="E25" s="113">
        <f>IF($R25="","",IF(INDEX('_list'!$F$2:$F$652,$R25)="","",INDEX('_list'!$F$2:$F$652,$R25)))</f>
        <v/>
      </c>
      <c r="F25" s="114">
        <f>IF($R25="","",IF(INDEX('_list'!$G$2:$G$652,$R25)="","",INDEX('_list'!$G$2:$G$652,$R25)))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IF($R25="","",IF(INDEX('_list'!$K$2:$K$652,$R25)="","",INDEX('_list'!$K$2:$K$652,$R25)))</f>
        <v/>
      </c>
      <c r="L25" s="118">
        <f>IF($S25="","",IF(INDEX('_pockets'!$AC:$AC,$S25)="","",INDEX('_pockets'!$AC:$AC,$S25)))</f>
        <v/>
      </c>
      <c r="M25" s="117">
        <f>IF($R25="","",IF(INDEX('_list'!$L$2:$L$652,$R25)="","",INDEX('_list'!$L$2:$L$652,$R25)))</f>
        <v/>
      </c>
      <c r="N25" s="116">
        <f>IF($R25="","",IF(INDEX('_list'!$H$2:$H$652,$R25)="","",INDEX('_list'!$H$2:$H$652,$R25)))</f>
        <v/>
      </c>
      <c r="O25" s="113">
        <f>IF($R25="","",IF(INDEX('_list'!$I$2:$I$652,$R25)="","",INDEX('_list'!$I$2:$I$652,$R25)))</f>
        <v/>
      </c>
      <c r="R25">
        <f>IFERROR(MATCH(5,'_list'!$N$2:$N$652,0),"")</f>
        <v/>
      </c>
      <c r="S25">
        <f>IF($R25="","",INDEX('_list'!$C$2:$C$652,$R25))</f>
        <v/>
      </c>
    </row>
    <row r="26" ht="16" customHeight="1">
      <c r="B26" s="112">
        <f>IF($R26="","",6)</f>
        <v/>
      </c>
      <c r="C26" s="113">
        <f>IF($R26="","",IF(INDEX('_list'!$D$2:$D$652,$R26)="","",INDEX('_list'!$D$2:$D$652,$R26)))</f>
        <v/>
      </c>
      <c r="D26" s="113">
        <f>IF($R26="","",IF(INDEX('_list'!$E$2:$E$652,$R26)="","",INDEX('_list'!$E$2:$E$652,$R26)))</f>
        <v/>
      </c>
      <c r="E26" s="113">
        <f>IF($R26="","",IF(INDEX('_list'!$F$2:$F$652,$R26)="","",INDEX('_list'!$F$2:$F$652,$R26)))</f>
        <v/>
      </c>
      <c r="F26" s="114">
        <f>IF($R26="","",IF(INDEX('_list'!$G$2:$G$652,$R26)="","",INDEX('_list'!$G$2:$G$652,$R26)))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IF($R26="","",IF(INDEX('_list'!$K$2:$K$652,$R26)="","",INDEX('_list'!$K$2:$K$652,$R26)))</f>
        <v/>
      </c>
      <c r="L26" s="118">
        <f>IF($S26="","",IF(INDEX('_pockets'!$AC:$AC,$S26)="","",INDEX('_pockets'!$AC:$AC,$S26)))</f>
        <v/>
      </c>
      <c r="M26" s="117">
        <f>IF($R26="","",IF(INDEX('_list'!$L$2:$L$652,$R26)="","",INDEX('_list'!$L$2:$L$652,$R26)))</f>
        <v/>
      </c>
      <c r="N26" s="116">
        <f>IF($R26="","",IF(INDEX('_list'!$H$2:$H$652,$R26)="","",INDEX('_list'!$H$2:$H$652,$R26)))</f>
        <v/>
      </c>
      <c r="O26" s="113">
        <f>IF($R26="","",IF(INDEX('_list'!$I$2:$I$652,$R26)="","",INDEX('_list'!$I$2:$I$652,$R26)))</f>
        <v/>
      </c>
      <c r="R26">
        <f>IFERROR(MATCH(6,'_list'!$N$2:$N$652,0),"")</f>
        <v/>
      </c>
      <c r="S26">
        <f>IF($R26="","",INDEX('_list'!$C$2:$C$652,$R26))</f>
        <v/>
      </c>
    </row>
    <row r="27" ht="16" customHeight="1">
      <c r="B27" s="112">
        <f>IF($R27="","",7)</f>
        <v/>
      </c>
      <c r="C27" s="113">
        <f>IF($R27="","",IF(INDEX('_list'!$D$2:$D$652,$R27)="","",INDEX('_list'!$D$2:$D$652,$R27)))</f>
        <v/>
      </c>
      <c r="D27" s="113">
        <f>IF($R27="","",IF(INDEX('_list'!$E$2:$E$652,$R27)="","",INDEX('_list'!$E$2:$E$652,$R27)))</f>
        <v/>
      </c>
      <c r="E27" s="113">
        <f>IF($R27="","",IF(INDEX('_list'!$F$2:$F$652,$R27)="","",INDEX('_list'!$F$2:$F$652,$R27)))</f>
        <v/>
      </c>
      <c r="F27" s="114">
        <f>IF($R27="","",IF(INDEX('_list'!$G$2:$G$652,$R27)="","",INDEX('_list'!$G$2:$G$652,$R27)))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IF($R27="","",IF(INDEX('_list'!$K$2:$K$652,$R27)="","",INDEX('_list'!$K$2:$K$652,$R27)))</f>
        <v/>
      </c>
      <c r="L27" s="118">
        <f>IF($S27="","",IF(INDEX('_pockets'!$AC:$AC,$S27)="","",INDEX('_pockets'!$AC:$AC,$S27)))</f>
        <v/>
      </c>
      <c r="M27" s="117">
        <f>IF($R27="","",IF(INDEX('_list'!$L$2:$L$652,$R27)="","",INDEX('_list'!$L$2:$L$652,$R27)))</f>
        <v/>
      </c>
      <c r="N27" s="116">
        <f>IF($R27="","",IF(INDEX('_list'!$H$2:$H$652,$R27)="","",INDEX('_list'!$H$2:$H$652,$R27)))</f>
        <v/>
      </c>
      <c r="O27" s="113">
        <f>IF($R27="","",IF(INDEX('_list'!$I$2:$I$652,$R27)="","",INDEX('_list'!$I$2:$I$652,$R27)))</f>
        <v/>
      </c>
      <c r="R27">
        <f>IFERROR(MATCH(7,'_list'!$N$2:$N$652,0),"")</f>
        <v/>
      </c>
      <c r="S27">
        <f>IF($R27="","",INDEX('_list'!$C$2:$C$652,$R27))</f>
        <v/>
      </c>
    </row>
    <row r="28" ht="16" customHeight="1">
      <c r="B28" s="112">
        <f>IF($R28="","",8)</f>
        <v/>
      </c>
      <c r="C28" s="113">
        <f>IF($R28="","",IF(INDEX('_list'!$D$2:$D$652,$R28)="","",INDEX('_list'!$D$2:$D$652,$R28)))</f>
        <v/>
      </c>
      <c r="D28" s="113">
        <f>IF($R28="","",IF(INDEX('_list'!$E$2:$E$652,$R28)="","",INDEX('_list'!$E$2:$E$652,$R28)))</f>
        <v/>
      </c>
      <c r="E28" s="113">
        <f>IF($R28="","",IF(INDEX('_list'!$F$2:$F$652,$R28)="","",INDEX('_list'!$F$2:$F$652,$R28)))</f>
        <v/>
      </c>
      <c r="F28" s="114">
        <f>IF($R28="","",IF(INDEX('_list'!$G$2:$G$652,$R28)="","",INDEX('_list'!$G$2:$G$652,$R28)))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IF($R28="","",IF(INDEX('_list'!$K$2:$K$652,$R28)="","",INDEX('_list'!$K$2:$K$652,$R28)))</f>
        <v/>
      </c>
      <c r="L28" s="118">
        <f>IF($S28="","",IF(INDEX('_pockets'!$AC:$AC,$S28)="","",INDEX('_pockets'!$AC:$AC,$S28)))</f>
        <v/>
      </c>
      <c r="M28" s="117">
        <f>IF($R28="","",IF(INDEX('_list'!$L$2:$L$652,$R28)="","",INDEX('_list'!$L$2:$L$652,$R28)))</f>
        <v/>
      </c>
      <c r="N28" s="116">
        <f>IF($R28="","",IF(INDEX('_list'!$H$2:$H$652,$R28)="","",INDEX('_list'!$H$2:$H$652,$R28)))</f>
        <v/>
      </c>
      <c r="O28" s="113">
        <f>IF($R28="","",IF(INDEX('_list'!$I$2:$I$652,$R28)="","",INDEX('_list'!$I$2:$I$652,$R28)))</f>
        <v/>
      </c>
      <c r="R28">
        <f>IFERROR(MATCH(8,'_list'!$N$2:$N$652,0),"")</f>
        <v/>
      </c>
      <c r="S28">
        <f>IF($R28="","",INDEX('_list'!$C$2:$C$652,$R28))</f>
        <v/>
      </c>
    </row>
    <row r="29" ht="16" customHeight="1">
      <c r="B29" s="112">
        <f>IF($R29="","",9)</f>
        <v/>
      </c>
      <c r="C29" s="113">
        <f>IF($R29="","",IF(INDEX('_list'!$D$2:$D$652,$R29)="","",INDEX('_list'!$D$2:$D$652,$R29)))</f>
        <v/>
      </c>
      <c r="D29" s="113">
        <f>IF($R29="","",IF(INDEX('_list'!$E$2:$E$652,$R29)="","",INDEX('_list'!$E$2:$E$652,$R29)))</f>
        <v/>
      </c>
      <c r="E29" s="113">
        <f>IF($R29="","",IF(INDEX('_list'!$F$2:$F$652,$R29)="","",INDEX('_list'!$F$2:$F$652,$R29)))</f>
        <v/>
      </c>
      <c r="F29" s="114">
        <f>IF($R29="","",IF(INDEX('_list'!$G$2:$G$652,$R29)="","",INDEX('_list'!$G$2:$G$652,$R29)))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IF($R29="","",IF(INDEX('_list'!$K$2:$K$652,$R29)="","",INDEX('_list'!$K$2:$K$652,$R29)))</f>
        <v/>
      </c>
      <c r="L29" s="118">
        <f>IF($S29="","",IF(INDEX('_pockets'!$AC:$AC,$S29)="","",INDEX('_pockets'!$AC:$AC,$S29)))</f>
        <v/>
      </c>
      <c r="M29" s="117">
        <f>IF($R29="","",IF(INDEX('_list'!$L$2:$L$652,$R29)="","",INDEX('_list'!$L$2:$L$652,$R29)))</f>
        <v/>
      </c>
      <c r="N29" s="116">
        <f>IF($R29="","",IF(INDEX('_list'!$H$2:$H$652,$R29)="","",INDEX('_list'!$H$2:$H$652,$R29)))</f>
        <v/>
      </c>
      <c r="O29" s="113">
        <f>IF($R29="","",IF(INDEX('_list'!$I$2:$I$652,$R29)="","",INDEX('_list'!$I$2:$I$652,$R29)))</f>
        <v/>
      </c>
      <c r="R29">
        <f>IFERROR(MATCH(9,'_list'!$N$2:$N$652,0),"")</f>
        <v/>
      </c>
      <c r="S29">
        <f>IF($R29="","",INDEX('_list'!$C$2:$C$652,$R29))</f>
        <v/>
      </c>
    </row>
    <row r="30" ht="16" customHeight="1">
      <c r="B30" s="112">
        <f>IF($R30="","",10)</f>
        <v/>
      </c>
      <c r="C30" s="113">
        <f>IF($R30="","",IF(INDEX('_list'!$D$2:$D$652,$R30)="","",INDEX('_list'!$D$2:$D$652,$R30)))</f>
        <v/>
      </c>
      <c r="D30" s="113">
        <f>IF($R30="","",IF(INDEX('_list'!$E$2:$E$652,$R30)="","",INDEX('_list'!$E$2:$E$652,$R30)))</f>
        <v/>
      </c>
      <c r="E30" s="113">
        <f>IF($R30="","",IF(INDEX('_list'!$F$2:$F$652,$R30)="","",INDEX('_list'!$F$2:$F$652,$R30)))</f>
        <v/>
      </c>
      <c r="F30" s="114">
        <f>IF($R30="","",IF(INDEX('_list'!$G$2:$G$652,$R30)="","",INDEX('_list'!$G$2:$G$652,$R30)))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IF($R30="","",IF(INDEX('_list'!$K$2:$K$652,$R30)="","",INDEX('_list'!$K$2:$K$652,$R30)))</f>
        <v/>
      </c>
      <c r="L30" s="118">
        <f>IF($S30="","",IF(INDEX('_pockets'!$AC:$AC,$S30)="","",INDEX('_pockets'!$AC:$AC,$S30)))</f>
        <v/>
      </c>
      <c r="M30" s="117">
        <f>IF($R30="","",IF(INDEX('_list'!$L$2:$L$652,$R30)="","",INDEX('_list'!$L$2:$L$652,$R30)))</f>
        <v/>
      </c>
      <c r="N30" s="116">
        <f>IF($R30="","",IF(INDEX('_list'!$H$2:$H$652,$R30)="","",INDEX('_list'!$H$2:$H$652,$R30)))</f>
        <v/>
      </c>
      <c r="O30" s="113">
        <f>IF($R30="","",IF(INDEX('_list'!$I$2:$I$652,$R30)="","",INDEX('_list'!$I$2:$I$652,$R30)))</f>
        <v/>
      </c>
      <c r="R30">
        <f>IFERROR(MATCH(10,'_list'!$N$2:$N$652,0),"")</f>
        <v/>
      </c>
      <c r="S30">
        <f>IF($R30="","",INDEX('_list'!$C$2:$C$652,$R30))</f>
        <v/>
      </c>
    </row>
    <row r="31" ht="16" customHeight="1">
      <c r="B31" s="112">
        <f>IF($R31="","",11)</f>
        <v/>
      </c>
      <c r="C31" s="113">
        <f>IF($R31="","",IF(INDEX('_list'!$D$2:$D$652,$R31)="","",INDEX('_list'!$D$2:$D$652,$R31)))</f>
        <v/>
      </c>
      <c r="D31" s="113">
        <f>IF($R31="","",IF(INDEX('_list'!$E$2:$E$652,$R31)="","",INDEX('_list'!$E$2:$E$652,$R31)))</f>
        <v/>
      </c>
      <c r="E31" s="113">
        <f>IF($R31="","",IF(INDEX('_list'!$F$2:$F$652,$R31)="","",INDEX('_list'!$F$2:$F$652,$R31)))</f>
        <v/>
      </c>
      <c r="F31" s="114">
        <f>IF($R31="","",IF(INDEX('_list'!$G$2:$G$652,$R31)="","",INDEX('_list'!$G$2:$G$652,$R31)))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IF($R31="","",IF(INDEX('_list'!$K$2:$K$652,$R31)="","",INDEX('_list'!$K$2:$K$652,$R31)))</f>
        <v/>
      </c>
      <c r="L31" s="118">
        <f>IF($S31="","",IF(INDEX('_pockets'!$AC:$AC,$S31)="","",INDEX('_pockets'!$AC:$AC,$S31)))</f>
        <v/>
      </c>
      <c r="M31" s="117">
        <f>IF($R31="","",IF(INDEX('_list'!$L$2:$L$652,$R31)="","",INDEX('_list'!$L$2:$L$652,$R31)))</f>
        <v/>
      </c>
      <c r="N31" s="116">
        <f>IF($R31="","",IF(INDEX('_list'!$H$2:$H$652,$R31)="","",INDEX('_list'!$H$2:$H$652,$R31)))</f>
        <v/>
      </c>
      <c r="O31" s="113">
        <f>IF($R31="","",IF(INDEX('_list'!$I$2:$I$652,$R31)="","",INDEX('_list'!$I$2:$I$652,$R31)))</f>
        <v/>
      </c>
      <c r="R31">
        <f>IFERROR(MATCH(11,'_list'!$N$2:$N$652,0),"")</f>
        <v/>
      </c>
      <c r="S31">
        <f>IF($R31="","",INDEX('_list'!$C$2:$C$652,$R31))</f>
        <v/>
      </c>
    </row>
    <row r="32" ht="16" customHeight="1">
      <c r="B32" s="112">
        <f>IF($R32="","",12)</f>
        <v/>
      </c>
      <c r="C32" s="113">
        <f>IF($R32="","",IF(INDEX('_list'!$D$2:$D$652,$R32)="","",INDEX('_list'!$D$2:$D$652,$R32)))</f>
        <v/>
      </c>
      <c r="D32" s="113">
        <f>IF($R32="","",IF(INDEX('_list'!$E$2:$E$652,$R32)="","",INDEX('_list'!$E$2:$E$652,$R32)))</f>
        <v/>
      </c>
      <c r="E32" s="113">
        <f>IF($R32="","",IF(INDEX('_list'!$F$2:$F$652,$R32)="","",INDEX('_list'!$F$2:$F$652,$R32)))</f>
        <v/>
      </c>
      <c r="F32" s="114">
        <f>IF($R32="","",IF(INDEX('_list'!$G$2:$G$652,$R32)="","",INDEX('_list'!$G$2:$G$652,$R32)))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IF($R32="","",IF(INDEX('_list'!$K$2:$K$652,$R32)="","",INDEX('_list'!$K$2:$K$652,$R32)))</f>
        <v/>
      </c>
      <c r="L32" s="118">
        <f>IF($S32="","",IF(INDEX('_pockets'!$AC:$AC,$S32)="","",INDEX('_pockets'!$AC:$AC,$S32)))</f>
        <v/>
      </c>
      <c r="M32" s="117">
        <f>IF($R32="","",IF(INDEX('_list'!$L$2:$L$652,$R32)="","",INDEX('_list'!$L$2:$L$652,$R32)))</f>
        <v/>
      </c>
      <c r="N32" s="116">
        <f>IF($R32="","",IF(INDEX('_list'!$H$2:$H$652,$R32)="","",INDEX('_list'!$H$2:$H$652,$R32)))</f>
        <v/>
      </c>
      <c r="O32" s="113">
        <f>IF($R32="","",IF(INDEX('_list'!$I$2:$I$652,$R32)="","",INDEX('_list'!$I$2:$I$652,$R32)))</f>
        <v/>
      </c>
      <c r="R32">
        <f>IFERROR(MATCH(12,'_list'!$N$2:$N$652,0),"")</f>
        <v/>
      </c>
      <c r="S32">
        <f>IF($R32="","",INDEX('_list'!$C$2:$C$652,$R32))</f>
        <v/>
      </c>
    </row>
    <row r="33" ht="16" customHeight="1">
      <c r="B33" s="112">
        <f>IF($R33="","",13)</f>
        <v/>
      </c>
      <c r="C33" s="113">
        <f>IF($R33="","",IF(INDEX('_list'!$D$2:$D$652,$R33)="","",INDEX('_list'!$D$2:$D$652,$R33)))</f>
        <v/>
      </c>
      <c r="D33" s="113">
        <f>IF($R33="","",IF(INDEX('_list'!$E$2:$E$652,$R33)="","",INDEX('_list'!$E$2:$E$652,$R33)))</f>
        <v/>
      </c>
      <c r="E33" s="113">
        <f>IF($R33="","",IF(INDEX('_list'!$F$2:$F$652,$R33)="","",INDEX('_list'!$F$2:$F$652,$R33)))</f>
        <v/>
      </c>
      <c r="F33" s="114">
        <f>IF($R33="","",IF(INDEX('_list'!$G$2:$G$652,$R33)="","",INDEX('_list'!$G$2:$G$652,$R33)))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IF($R33="","",IF(INDEX('_list'!$K$2:$K$652,$R33)="","",INDEX('_list'!$K$2:$K$652,$R33)))</f>
        <v/>
      </c>
      <c r="L33" s="118">
        <f>IF($S33="","",IF(INDEX('_pockets'!$AC:$AC,$S33)="","",INDEX('_pockets'!$AC:$AC,$S33)))</f>
        <v/>
      </c>
      <c r="M33" s="117">
        <f>IF($R33="","",IF(INDEX('_list'!$L$2:$L$652,$R33)="","",INDEX('_list'!$L$2:$L$652,$R33)))</f>
        <v/>
      </c>
      <c r="N33" s="116">
        <f>IF($R33="","",IF(INDEX('_list'!$H$2:$H$652,$R33)="","",INDEX('_list'!$H$2:$H$652,$R33)))</f>
        <v/>
      </c>
      <c r="O33" s="113">
        <f>IF($R33="","",IF(INDEX('_list'!$I$2:$I$652,$R33)="","",INDEX('_list'!$I$2:$I$652,$R33)))</f>
        <v/>
      </c>
      <c r="R33">
        <f>IFERROR(MATCH(13,'_list'!$N$2:$N$652,0),"")</f>
        <v/>
      </c>
      <c r="S33">
        <f>IF($R33="","",INDEX('_list'!$C$2:$C$652,$R33))</f>
        <v/>
      </c>
    </row>
    <row r="34" ht="16" customHeight="1">
      <c r="B34" s="112">
        <f>IF($R34="","",14)</f>
        <v/>
      </c>
      <c r="C34" s="113">
        <f>IF($R34="","",IF(INDEX('_list'!$D$2:$D$652,$R34)="","",INDEX('_list'!$D$2:$D$652,$R34)))</f>
        <v/>
      </c>
      <c r="D34" s="113">
        <f>IF($R34="","",IF(INDEX('_list'!$E$2:$E$652,$R34)="","",INDEX('_list'!$E$2:$E$652,$R34)))</f>
        <v/>
      </c>
      <c r="E34" s="113">
        <f>IF($R34="","",IF(INDEX('_list'!$F$2:$F$652,$R34)="","",INDEX('_list'!$F$2:$F$652,$R34)))</f>
        <v/>
      </c>
      <c r="F34" s="114">
        <f>IF($R34="","",IF(INDEX('_list'!$G$2:$G$652,$R34)="","",INDEX('_list'!$G$2:$G$652,$R34)))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IF($R34="","",IF(INDEX('_list'!$K$2:$K$652,$R34)="","",INDEX('_list'!$K$2:$K$652,$R34)))</f>
        <v/>
      </c>
      <c r="L34" s="118">
        <f>IF($S34="","",IF(INDEX('_pockets'!$AC:$AC,$S34)="","",INDEX('_pockets'!$AC:$AC,$S34)))</f>
        <v/>
      </c>
      <c r="M34" s="117">
        <f>IF($R34="","",IF(INDEX('_list'!$L$2:$L$652,$R34)="","",INDEX('_list'!$L$2:$L$652,$R34)))</f>
        <v/>
      </c>
      <c r="N34" s="116">
        <f>IF($R34="","",IF(INDEX('_list'!$H$2:$H$652,$R34)="","",INDEX('_list'!$H$2:$H$652,$R34)))</f>
        <v/>
      </c>
      <c r="O34" s="113">
        <f>IF($R34="","",IF(INDEX('_list'!$I$2:$I$652,$R34)="","",INDEX('_list'!$I$2:$I$652,$R34)))</f>
        <v/>
      </c>
      <c r="R34">
        <f>IFERROR(MATCH(14,'_list'!$N$2:$N$652,0),"")</f>
        <v/>
      </c>
      <c r="S34">
        <f>IF($R34="","",INDEX('_list'!$C$2:$C$652,$R34))</f>
        <v/>
      </c>
    </row>
    <row r="35" ht="16" customHeight="1">
      <c r="B35" s="112">
        <f>IF($R35="","",15)</f>
        <v/>
      </c>
      <c r="C35" s="113">
        <f>IF($R35="","",IF(INDEX('_list'!$D$2:$D$652,$R35)="","",INDEX('_list'!$D$2:$D$652,$R35)))</f>
        <v/>
      </c>
      <c r="D35" s="113">
        <f>IF($R35="","",IF(INDEX('_list'!$E$2:$E$652,$R35)="","",INDEX('_list'!$E$2:$E$652,$R35)))</f>
        <v/>
      </c>
      <c r="E35" s="113">
        <f>IF($R35="","",IF(INDEX('_list'!$F$2:$F$652,$R35)="","",INDEX('_list'!$F$2:$F$652,$R35)))</f>
        <v/>
      </c>
      <c r="F35" s="114">
        <f>IF($R35="","",IF(INDEX('_list'!$G$2:$G$652,$R35)="","",INDEX('_list'!$G$2:$G$652,$R35)))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IF($R35="","",IF(INDEX('_list'!$K$2:$K$652,$R35)="","",INDEX('_list'!$K$2:$K$652,$R35)))</f>
        <v/>
      </c>
      <c r="L35" s="118">
        <f>IF($S35="","",IF(INDEX('_pockets'!$AC:$AC,$S35)="","",INDEX('_pockets'!$AC:$AC,$S35)))</f>
        <v/>
      </c>
      <c r="M35" s="117">
        <f>IF($R35="","",IF(INDEX('_list'!$L$2:$L$652,$R35)="","",INDEX('_list'!$L$2:$L$652,$R35)))</f>
        <v/>
      </c>
      <c r="N35" s="116">
        <f>IF($R35="","",IF(INDEX('_list'!$H$2:$H$652,$R35)="","",INDEX('_list'!$H$2:$H$652,$R35)))</f>
        <v/>
      </c>
      <c r="O35" s="113">
        <f>IF($R35="","",IF(INDEX('_list'!$I$2:$I$652,$R35)="","",INDEX('_list'!$I$2:$I$652,$R35)))</f>
        <v/>
      </c>
      <c r="R35">
        <f>IFERROR(MATCH(15,'_list'!$N$2:$N$652,0),"")</f>
        <v/>
      </c>
      <c r="S35">
        <f>IF($R35="","",INDEX('_list'!$C$2:$C$652,$R35))</f>
        <v/>
      </c>
    </row>
    <row r="36" ht="16" customHeight="1">
      <c r="B36" s="112">
        <f>IF($R36="","",16)</f>
        <v/>
      </c>
      <c r="C36" s="113">
        <f>IF($R36="","",IF(INDEX('_list'!$D$2:$D$652,$R36)="","",INDEX('_list'!$D$2:$D$652,$R36)))</f>
        <v/>
      </c>
      <c r="D36" s="113">
        <f>IF($R36="","",IF(INDEX('_list'!$E$2:$E$652,$R36)="","",INDEX('_list'!$E$2:$E$652,$R36)))</f>
        <v/>
      </c>
      <c r="E36" s="113">
        <f>IF($R36="","",IF(INDEX('_list'!$F$2:$F$652,$R36)="","",INDEX('_list'!$F$2:$F$652,$R36)))</f>
        <v/>
      </c>
      <c r="F36" s="114">
        <f>IF($R36="","",IF(INDEX('_list'!$G$2:$G$652,$R36)="","",INDEX('_list'!$G$2:$G$652,$R36)))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IF($R36="","",IF(INDEX('_list'!$K$2:$K$652,$R36)="","",INDEX('_list'!$K$2:$K$652,$R36)))</f>
        <v/>
      </c>
      <c r="L36" s="118">
        <f>IF($S36="","",IF(INDEX('_pockets'!$AC:$AC,$S36)="","",INDEX('_pockets'!$AC:$AC,$S36)))</f>
        <v/>
      </c>
      <c r="M36" s="117">
        <f>IF($R36="","",IF(INDEX('_list'!$L$2:$L$652,$R36)="","",INDEX('_list'!$L$2:$L$652,$R36)))</f>
        <v/>
      </c>
      <c r="N36" s="116">
        <f>IF($R36="","",IF(INDEX('_list'!$H$2:$H$652,$R36)="","",INDEX('_list'!$H$2:$H$652,$R36)))</f>
        <v/>
      </c>
      <c r="O36" s="113">
        <f>IF($R36="","",IF(INDEX('_list'!$I$2:$I$652,$R36)="","",INDEX('_list'!$I$2:$I$652,$R36)))</f>
        <v/>
      </c>
      <c r="R36">
        <f>IFERROR(MATCH(16,'_list'!$N$2:$N$652,0),"")</f>
        <v/>
      </c>
      <c r="S36">
        <f>IF($R36="","",INDEX('_list'!$C$2:$C$652,$R36))</f>
        <v/>
      </c>
    </row>
    <row r="37" ht="16" customHeight="1">
      <c r="B37" s="112">
        <f>IF($R37="","",17)</f>
        <v/>
      </c>
      <c r="C37" s="113">
        <f>IF($R37="","",IF(INDEX('_list'!$D$2:$D$652,$R37)="","",INDEX('_list'!$D$2:$D$652,$R37)))</f>
        <v/>
      </c>
      <c r="D37" s="113">
        <f>IF($R37="","",IF(INDEX('_list'!$E$2:$E$652,$R37)="","",INDEX('_list'!$E$2:$E$652,$R37)))</f>
        <v/>
      </c>
      <c r="E37" s="113">
        <f>IF($R37="","",IF(INDEX('_list'!$F$2:$F$652,$R37)="","",INDEX('_list'!$F$2:$F$652,$R37)))</f>
        <v/>
      </c>
      <c r="F37" s="114">
        <f>IF($R37="","",IF(INDEX('_list'!$G$2:$G$652,$R37)="","",INDEX('_list'!$G$2:$G$652,$R37)))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IF($R37="","",IF(INDEX('_list'!$K$2:$K$652,$R37)="","",INDEX('_list'!$K$2:$K$652,$R37)))</f>
        <v/>
      </c>
      <c r="L37" s="118">
        <f>IF($S37="","",IF(INDEX('_pockets'!$AC:$AC,$S37)="","",INDEX('_pockets'!$AC:$AC,$S37)))</f>
        <v/>
      </c>
      <c r="M37" s="117">
        <f>IF($R37="","",IF(INDEX('_list'!$L$2:$L$652,$R37)="","",INDEX('_list'!$L$2:$L$652,$R37)))</f>
        <v/>
      </c>
      <c r="N37" s="116">
        <f>IF($R37="","",IF(INDEX('_list'!$H$2:$H$652,$R37)="","",INDEX('_list'!$H$2:$H$652,$R37)))</f>
        <v/>
      </c>
      <c r="O37" s="113">
        <f>IF($R37="","",IF(INDEX('_list'!$I$2:$I$652,$R37)="","",INDEX('_list'!$I$2:$I$652,$R37)))</f>
        <v/>
      </c>
      <c r="R37">
        <f>IFERROR(MATCH(17,'_list'!$N$2:$N$652,0),"")</f>
        <v/>
      </c>
      <c r="S37">
        <f>IF($R37="","",INDEX('_list'!$C$2:$C$652,$R37))</f>
        <v/>
      </c>
    </row>
    <row r="38" ht="16" customHeight="1">
      <c r="B38" s="112">
        <f>IF($R38="","",18)</f>
        <v/>
      </c>
      <c r="C38" s="113">
        <f>IF($R38="","",IF(INDEX('_list'!$D$2:$D$652,$R38)="","",INDEX('_list'!$D$2:$D$652,$R38)))</f>
        <v/>
      </c>
      <c r="D38" s="113">
        <f>IF($R38="","",IF(INDEX('_list'!$E$2:$E$652,$R38)="","",INDEX('_list'!$E$2:$E$652,$R38)))</f>
        <v/>
      </c>
      <c r="E38" s="113">
        <f>IF($R38="","",IF(INDEX('_list'!$F$2:$F$652,$R38)="","",INDEX('_list'!$F$2:$F$652,$R38)))</f>
        <v/>
      </c>
      <c r="F38" s="114">
        <f>IF($R38="","",IF(INDEX('_list'!$G$2:$G$652,$R38)="","",INDEX('_list'!$G$2:$G$652,$R38)))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IF($R38="","",IF(INDEX('_list'!$K$2:$K$652,$R38)="","",INDEX('_list'!$K$2:$K$652,$R38)))</f>
        <v/>
      </c>
      <c r="L38" s="118">
        <f>IF($S38="","",IF(INDEX('_pockets'!$AC:$AC,$S38)="","",INDEX('_pockets'!$AC:$AC,$S38)))</f>
        <v/>
      </c>
      <c r="M38" s="117">
        <f>IF($R38="","",IF(INDEX('_list'!$L$2:$L$652,$R38)="","",INDEX('_list'!$L$2:$L$652,$R38)))</f>
        <v/>
      </c>
      <c r="N38" s="116">
        <f>IF($R38="","",IF(INDEX('_list'!$H$2:$H$652,$R38)="","",INDEX('_list'!$H$2:$H$652,$R38)))</f>
        <v/>
      </c>
      <c r="O38" s="113">
        <f>IF($R38="","",IF(INDEX('_list'!$I$2:$I$652,$R38)="","",INDEX('_list'!$I$2:$I$652,$R38)))</f>
        <v/>
      </c>
      <c r="R38">
        <f>IFERROR(MATCH(18,'_list'!$N$2:$N$652,0),"")</f>
        <v/>
      </c>
      <c r="S38">
        <f>IF($R38="","",INDEX('_list'!$C$2:$C$652,$R38))</f>
        <v/>
      </c>
    </row>
    <row r="39" ht="16" customHeight="1">
      <c r="B39" s="112">
        <f>IF($R39="","",19)</f>
        <v/>
      </c>
      <c r="C39" s="113">
        <f>IF($R39="","",IF(INDEX('_list'!$D$2:$D$652,$R39)="","",INDEX('_list'!$D$2:$D$652,$R39)))</f>
        <v/>
      </c>
      <c r="D39" s="113">
        <f>IF($R39="","",IF(INDEX('_list'!$E$2:$E$652,$R39)="","",INDEX('_list'!$E$2:$E$652,$R39)))</f>
        <v/>
      </c>
      <c r="E39" s="113">
        <f>IF($R39="","",IF(INDEX('_list'!$F$2:$F$652,$R39)="","",INDEX('_list'!$F$2:$F$652,$R39)))</f>
        <v/>
      </c>
      <c r="F39" s="114">
        <f>IF($R39="","",IF(INDEX('_list'!$G$2:$G$652,$R39)="","",INDEX('_list'!$G$2:$G$652,$R39)))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IF($R39="","",IF(INDEX('_list'!$K$2:$K$652,$R39)="","",INDEX('_list'!$K$2:$K$652,$R39)))</f>
        <v/>
      </c>
      <c r="L39" s="118">
        <f>IF($S39="","",IF(INDEX('_pockets'!$AC:$AC,$S39)="","",INDEX('_pockets'!$AC:$AC,$S39)))</f>
        <v/>
      </c>
      <c r="M39" s="117">
        <f>IF($R39="","",IF(INDEX('_list'!$L$2:$L$652,$R39)="","",INDEX('_list'!$L$2:$L$652,$R39)))</f>
        <v/>
      </c>
      <c r="N39" s="116">
        <f>IF($R39="","",IF(INDEX('_list'!$H$2:$H$652,$R39)="","",INDEX('_list'!$H$2:$H$652,$R39)))</f>
        <v/>
      </c>
      <c r="O39" s="113">
        <f>IF($R39="","",IF(INDEX('_list'!$I$2:$I$652,$R39)="","",INDEX('_list'!$I$2:$I$652,$R39)))</f>
        <v/>
      </c>
      <c r="R39">
        <f>IFERROR(MATCH(19,'_list'!$N$2:$N$652,0),"")</f>
        <v/>
      </c>
      <c r="S39">
        <f>IF($R39="","",INDEX('_list'!$C$2:$C$652,$R39))</f>
        <v/>
      </c>
    </row>
    <row r="40" ht="16" customHeight="1">
      <c r="B40" s="112">
        <f>IF($R40="","",20)</f>
        <v/>
      </c>
      <c r="C40" s="113">
        <f>IF($R40="","",IF(INDEX('_list'!$D$2:$D$652,$R40)="","",INDEX('_list'!$D$2:$D$652,$R40)))</f>
        <v/>
      </c>
      <c r="D40" s="113">
        <f>IF($R40="","",IF(INDEX('_list'!$E$2:$E$652,$R40)="","",INDEX('_list'!$E$2:$E$652,$R40)))</f>
        <v/>
      </c>
      <c r="E40" s="113">
        <f>IF($R40="","",IF(INDEX('_list'!$F$2:$F$652,$R40)="","",INDEX('_list'!$F$2:$F$652,$R40)))</f>
        <v/>
      </c>
      <c r="F40" s="114">
        <f>IF($R40="","",IF(INDEX('_list'!$G$2:$G$652,$R40)="","",INDEX('_list'!$G$2:$G$652,$R40)))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IF($R40="","",IF(INDEX('_list'!$K$2:$K$652,$R40)="","",INDEX('_list'!$K$2:$K$652,$R40)))</f>
        <v/>
      </c>
      <c r="L40" s="118">
        <f>IF($S40="","",IF(INDEX('_pockets'!$AC:$AC,$S40)="","",INDEX('_pockets'!$AC:$AC,$S40)))</f>
        <v/>
      </c>
      <c r="M40" s="117">
        <f>IF($R40="","",IF(INDEX('_list'!$L$2:$L$652,$R40)="","",INDEX('_list'!$L$2:$L$652,$R40)))</f>
        <v/>
      </c>
      <c r="N40" s="116">
        <f>IF($R40="","",IF(INDEX('_list'!$H$2:$H$652,$R40)="","",INDEX('_list'!$H$2:$H$652,$R40)))</f>
        <v/>
      </c>
      <c r="O40" s="113">
        <f>IF($R40="","",IF(INDEX('_list'!$I$2:$I$652,$R40)="","",INDEX('_list'!$I$2:$I$652,$R40)))</f>
        <v/>
      </c>
      <c r="R40">
        <f>IFERROR(MATCH(20,'_list'!$N$2:$N$652,0),"")</f>
        <v/>
      </c>
      <c r="S40">
        <f>IF($R40="","",INDEX('_list'!$C$2:$C$652,$R40))</f>
        <v/>
      </c>
    </row>
    <row r="41" ht="16" customHeight="1">
      <c r="B41" s="112">
        <f>IF($R41="","",21)</f>
        <v/>
      </c>
      <c r="C41" s="113">
        <f>IF($R41="","",IF(INDEX('_list'!$D$2:$D$652,$R41)="","",INDEX('_list'!$D$2:$D$652,$R41)))</f>
        <v/>
      </c>
      <c r="D41" s="113">
        <f>IF($R41="","",IF(INDEX('_list'!$E$2:$E$652,$R41)="","",INDEX('_list'!$E$2:$E$652,$R41)))</f>
        <v/>
      </c>
      <c r="E41" s="113">
        <f>IF($R41="","",IF(INDEX('_list'!$F$2:$F$652,$R41)="","",INDEX('_list'!$F$2:$F$652,$R41)))</f>
        <v/>
      </c>
      <c r="F41" s="114">
        <f>IF($R41="","",IF(INDEX('_list'!$G$2:$G$652,$R41)="","",INDEX('_list'!$G$2:$G$652,$R41)))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IF($R41="","",IF(INDEX('_list'!$K$2:$K$652,$R41)="","",INDEX('_list'!$K$2:$K$652,$R41)))</f>
        <v/>
      </c>
      <c r="L41" s="118">
        <f>IF($S41="","",IF(INDEX('_pockets'!$AC:$AC,$S41)="","",INDEX('_pockets'!$AC:$AC,$S41)))</f>
        <v/>
      </c>
      <c r="M41" s="117">
        <f>IF($R41="","",IF(INDEX('_list'!$L$2:$L$652,$R41)="","",INDEX('_list'!$L$2:$L$652,$R41)))</f>
        <v/>
      </c>
      <c r="N41" s="116">
        <f>IF($R41="","",IF(INDEX('_list'!$H$2:$H$652,$R41)="","",INDEX('_list'!$H$2:$H$652,$R41)))</f>
        <v/>
      </c>
      <c r="O41" s="113">
        <f>IF($R41="","",IF(INDEX('_list'!$I$2:$I$652,$R41)="","",INDEX('_list'!$I$2:$I$652,$R41)))</f>
        <v/>
      </c>
      <c r="R41">
        <f>IFERROR(MATCH(21,'_list'!$N$2:$N$652,0),"")</f>
        <v/>
      </c>
      <c r="S41">
        <f>IF($R41="","",INDEX('_list'!$C$2:$C$652,$R41))</f>
        <v/>
      </c>
    </row>
    <row r="42" ht="16" customHeight="1">
      <c r="B42" s="112">
        <f>IF($R42="","",22)</f>
        <v/>
      </c>
      <c r="C42" s="113">
        <f>IF($R42="","",IF(INDEX('_list'!$D$2:$D$652,$R42)="","",INDEX('_list'!$D$2:$D$652,$R42)))</f>
        <v/>
      </c>
      <c r="D42" s="113">
        <f>IF($R42="","",IF(INDEX('_list'!$E$2:$E$652,$R42)="","",INDEX('_list'!$E$2:$E$652,$R42)))</f>
        <v/>
      </c>
      <c r="E42" s="113">
        <f>IF($R42="","",IF(INDEX('_list'!$F$2:$F$652,$R42)="","",INDEX('_list'!$F$2:$F$652,$R42)))</f>
        <v/>
      </c>
      <c r="F42" s="114">
        <f>IF($R42="","",IF(INDEX('_list'!$G$2:$G$652,$R42)="","",INDEX('_list'!$G$2:$G$652,$R42)))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IF($R42="","",IF(INDEX('_list'!$K$2:$K$652,$R42)="","",INDEX('_list'!$K$2:$K$652,$R42)))</f>
        <v/>
      </c>
      <c r="L42" s="118">
        <f>IF($S42="","",IF(INDEX('_pockets'!$AC:$AC,$S42)="","",INDEX('_pockets'!$AC:$AC,$S42)))</f>
        <v/>
      </c>
      <c r="M42" s="117">
        <f>IF($R42="","",IF(INDEX('_list'!$L$2:$L$652,$R42)="","",INDEX('_list'!$L$2:$L$652,$R42)))</f>
        <v/>
      </c>
      <c r="N42" s="116">
        <f>IF($R42="","",IF(INDEX('_list'!$H$2:$H$652,$R42)="","",INDEX('_list'!$H$2:$H$652,$R42)))</f>
        <v/>
      </c>
      <c r="O42" s="113">
        <f>IF($R42="","",IF(INDEX('_list'!$I$2:$I$652,$R42)="","",INDEX('_list'!$I$2:$I$652,$R42)))</f>
        <v/>
      </c>
      <c r="R42">
        <f>IFERROR(MATCH(22,'_list'!$N$2:$N$652,0),"")</f>
        <v/>
      </c>
      <c r="S42">
        <f>IF($R42="","",INDEX('_list'!$C$2:$C$652,$R42))</f>
        <v/>
      </c>
    </row>
    <row r="43" ht="16" customHeight="1">
      <c r="B43" s="112">
        <f>IF($R43="","",23)</f>
        <v/>
      </c>
      <c r="C43" s="113">
        <f>IF($R43="","",IF(INDEX('_list'!$D$2:$D$652,$R43)="","",INDEX('_list'!$D$2:$D$652,$R43)))</f>
        <v/>
      </c>
      <c r="D43" s="113">
        <f>IF($R43="","",IF(INDEX('_list'!$E$2:$E$652,$R43)="","",INDEX('_list'!$E$2:$E$652,$R43)))</f>
        <v/>
      </c>
      <c r="E43" s="113">
        <f>IF($R43="","",IF(INDEX('_list'!$F$2:$F$652,$R43)="","",INDEX('_list'!$F$2:$F$652,$R43)))</f>
        <v/>
      </c>
      <c r="F43" s="114">
        <f>IF($R43="","",IF(INDEX('_list'!$G$2:$G$652,$R43)="","",INDEX('_list'!$G$2:$G$652,$R43)))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IF($R43="","",IF(INDEX('_list'!$K$2:$K$652,$R43)="","",INDEX('_list'!$K$2:$K$652,$R43)))</f>
        <v/>
      </c>
      <c r="L43" s="118">
        <f>IF($S43="","",IF(INDEX('_pockets'!$AC:$AC,$S43)="","",INDEX('_pockets'!$AC:$AC,$S43)))</f>
        <v/>
      </c>
      <c r="M43" s="117">
        <f>IF($R43="","",IF(INDEX('_list'!$L$2:$L$652,$R43)="","",INDEX('_list'!$L$2:$L$652,$R43)))</f>
        <v/>
      </c>
      <c r="N43" s="116">
        <f>IF($R43="","",IF(INDEX('_list'!$H$2:$H$652,$R43)="","",INDEX('_list'!$H$2:$H$652,$R43)))</f>
        <v/>
      </c>
      <c r="O43" s="113">
        <f>IF($R43="","",IF(INDEX('_list'!$I$2:$I$652,$R43)="","",INDEX('_list'!$I$2:$I$652,$R43)))</f>
        <v/>
      </c>
      <c r="R43">
        <f>IFERROR(MATCH(23,'_list'!$N$2:$N$652,0),"")</f>
        <v/>
      </c>
      <c r="S43">
        <f>IF($R43="","",INDEX('_list'!$C$2:$C$652,$R43))</f>
        <v/>
      </c>
    </row>
    <row r="44" ht="16" customHeight="1">
      <c r="B44" s="112">
        <f>IF($R44="","",24)</f>
        <v/>
      </c>
      <c r="C44" s="113">
        <f>IF($R44="","",IF(INDEX('_list'!$D$2:$D$652,$R44)="","",INDEX('_list'!$D$2:$D$652,$R44)))</f>
        <v/>
      </c>
      <c r="D44" s="113">
        <f>IF($R44="","",IF(INDEX('_list'!$E$2:$E$652,$R44)="","",INDEX('_list'!$E$2:$E$652,$R44)))</f>
        <v/>
      </c>
      <c r="E44" s="113">
        <f>IF($R44="","",IF(INDEX('_list'!$F$2:$F$652,$R44)="","",INDEX('_list'!$F$2:$F$652,$R44)))</f>
        <v/>
      </c>
      <c r="F44" s="114">
        <f>IF($R44="","",IF(INDEX('_list'!$G$2:$G$652,$R44)="","",INDEX('_list'!$G$2:$G$652,$R44)))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IF($R44="","",IF(INDEX('_list'!$K$2:$K$652,$R44)="","",INDEX('_list'!$K$2:$K$652,$R44)))</f>
        <v/>
      </c>
      <c r="L44" s="118">
        <f>IF($S44="","",IF(INDEX('_pockets'!$AC:$AC,$S44)="","",INDEX('_pockets'!$AC:$AC,$S44)))</f>
        <v/>
      </c>
      <c r="M44" s="117">
        <f>IF($R44="","",IF(INDEX('_list'!$L$2:$L$652,$R44)="","",INDEX('_list'!$L$2:$L$652,$R44)))</f>
        <v/>
      </c>
      <c r="N44" s="116">
        <f>IF($R44="","",IF(INDEX('_list'!$H$2:$H$652,$R44)="","",INDEX('_list'!$H$2:$H$652,$R44)))</f>
        <v/>
      </c>
      <c r="O44" s="113">
        <f>IF($R44="","",IF(INDEX('_list'!$I$2:$I$652,$R44)="","",INDEX('_list'!$I$2:$I$652,$R44)))</f>
        <v/>
      </c>
      <c r="R44">
        <f>IFERROR(MATCH(24,'_list'!$N$2:$N$652,0),"")</f>
        <v/>
      </c>
      <c r="S44">
        <f>IF($R44="","",INDEX('_list'!$C$2:$C$652,$R44))</f>
        <v/>
      </c>
    </row>
    <row r="45" ht="16" customHeight="1">
      <c r="B45" s="112">
        <f>IF($R45="","",25)</f>
        <v/>
      </c>
      <c r="C45" s="113">
        <f>IF($R45="","",IF(INDEX('_list'!$D$2:$D$652,$R45)="","",INDEX('_list'!$D$2:$D$652,$R45)))</f>
        <v/>
      </c>
      <c r="D45" s="113">
        <f>IF($R45="","",IF(INDEX('_list'!$E$2:$E$652,$R45)="","",INDEX('_list'!$E$2:$E$652,$R45)))</f>
        <v/>
      </c>
      <c r="E45" s="113">
        <f>IF($R45="","",IF(INDEX('_list'!$F$2:$F$652,$R45)="","",INDEX('_list'!$F$2:$F$652,$R45)))</f>
        <v/>
      </c>
      <c r="F45" s="114">
        <f>IF($R45="","",IF(INDEX('_list'!$G$2:$G$652,$R45)="","",INDEX('_list'!$G$2:$G$652,$R45)))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IF($R45="","",IF(INDEX('_list'!$K$2:$K$652,$R45)="","",INDEX('_list'!$K$2:$K$652,$R45)))</f>
        <v/>
      </c>
      <c r="L45" s="118">
        <f>IF($S45="","",IF(INDEX('_pockets'!$AC:$AC,$S45)="","",INDEX('_pockets'!$AC:$AC,$S45)))</f>
        <v/>
      </c>
      <c r="M45" s="117">
        <f>IF($R45="","",IF(INDEX('_list'!$L$2:$L$652,$R45)="","",INDEX('_list'!$L$2:$L$652,$R45)))</f>
        <v/>
      </c>
      <c r="N45" s="116">
        <f>IF($R45="","",IF(INDEX('_list'!$H$2:$H$652,$R45)="","",INDEX('_list'!$H$2:$H$652,$R45)))</f>
        <v/>
      </c>
      <c r="O45" s="113">
        <f>IF($R45="","",IF(INDEX('_list'!$I$2:$I$652,$R45)="","",INDEX('_list'!$I$2:$I$652,$R45)))</f>
        <v/>
      </c>
      <c r="R45">
        <f>IFERROR(MATCH(25,'_list'!$N$2:$N$652,0),"")</f>
        <v/>
      </c>
      <c r="S45">
        <f>IF($R45="","",INDEX('_list'!$C$2:$C$652,$R45))</f>
        <v/>
      </c>
    </row>
    <row r="46" ht="16" customHeight="1">
      <c r="B46" s="112">
        <f>IF($R46="","",26)</f>
        <v/>
      </c>
      <c r="C46" s="113">
        <f>IF($R46="","",IF(INDEX('_list'!$D$2:$D$652,$R46)="","",INDEX('_list'!$D$2:$D$652,$R46)))</f>
        <v/>
      </c>
      <c r="D46" s="113">
        <f>IF($R46="","",IF(INDEX('_list'!$E$2:$E$652,$R46)="","",INDEX('_list'!$E$2:$E$652,$R46)))</f>
        <v/>
      </c>
      <c r="E46" s="113">
        <f>IF($R46="","",IF(INDEX('_list'!$F$2:$F$652,$R46)="","",INDEX('_list'!$F$2:$F$652,$R46)))</f>
        <v/>
      </c>
      <c r="F46" s="114">
        <f>IF($R46="","",IF(INDEX('_list'!$G$2:$G$652,$R46)="","",INDEX('_list'!$G$2:$G$652,$R46)))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IF($R46="","",IF(INDEX('_list'!$K$2:$K$652,$R46)="","",INDEX('_list'!$K$2:$K$652,$R46)))</f>
        <v/>
      </c>
      <c r="L46" s="118">
        <f>IF($S46="","",IF(INDEX('_pockets'!$AC:$AC,$S46)="","",INDEX('_pockets'!$AC:$AC,$S46)))</f>
        <v/>
      </c>
      <c r="M46" s="117">
        <f>IF($R46="","",IF(INDEX('_list'!$L$2:$L$652,$R46)="","",INDEX('_list'!$L$2:$L$652,$R46)))</f>
        <v/>
      </c>
      <c r="N46" s="116">
        <f>IF($R46="","",IF(INDEX('_list'!$H$2:$H$652,$R46)="","",INDEX('_list'!$H$2:$H$652,$R46)))</f>
        <v/>
      </c>
      <c r="O46" s="113">
        <f>IF($R46="","",IF(INDEX('_list'!$I$2:$I$652,$R46)="","",INDEX('_list'!$I$2:$I$652,$R46)))</f>
        <v/>
      </c>
      <c r="R46">
        <f>IFERROR(MATCH(26,'_list'!$N$2:$N$652,0),"")</f>
        <v/>
      </c>
      <c r="S46">
        <f>IF($R46="","",INDEX('_list'!$C$2:$C$652,$R46))</f>
        <v/>
      </c>
    </row>
    <row r="47" ht="16" customHeight="1">
      <c r="B47" s="112">
        <f>IF($R47="","",27)</f>
        <v/>
      </c>
      <c r="C47" s="113">
        <f>IF($R47="","",IF(INDEX('_list'!$D$2:$D$652,$R47)="","",INDEX('_list'!$D$2:$D$652,$R47)))</f>
        <v/>
      </c>
      <c r="D47" s="113">
        <f>IF($R47="","",IF(INDEX('_list'!$E$2:$E$652,$R47)="","",INDEX('_list'!$E$2:$E$652,$R47)))</f>
        <v/>
      </c>
      <c r="E47" s="113">
        <f>IF($R47="","",IF(INDEX('_list'!$F$2:$F$652,$R47)="","",INDEX('_list'!$F$2:$F$652,$R47)))</f>
        <v/>
      </c>
      <c r="F47" s="114">
        <f>IF($R47="","",IF(INDEX('_list'!$G$2:$G$652,$R47)="","",INDEX('_list'!$G$2:$G$652,$R47)))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IF($R47="","",IF(INDEX('_list'!$K$2:$K$652,$R47)="","",INDEX('_list'!$K$2:$K$652,$R47)))</f>
        <v/>
      </c>
      <c r="L47" s="118">
        <f>IF($S47="","",IF(INDEX('_pockets'!$AC:$AC,$S47)="","",INDEX('_pockets'!$AC:$AC,$S47)))</f>
        <v/>
      </c>
      <c r="M47" s="117">
        <f>IF($R47="","",IF(INDEX('_list'!$L$2:$L$652,$R47)="","",INDEX('_list'!$L$2:$L$652,$R47)))</f>
        <v/>
      </c>
      <c r="N47" s="116">
        <f>IF($R47="","",IF(INDEX('_list'!$H$2:$H$652,$R47)="","",INDEX('_list'!$H$2:$H$652,$R47)))</f>
        <v/>
      </c>
      <c r="O47" s="113">
        <f>IF($R47="","",IF(INDEX('_list'!$I$2:$I$652,$R47)="","",INDEX('_list'!$I$2:$I$652,$R47)))</f>
        <v/>
      </c>
      <c r="R47">
        <f>IFERROR(MATCH(27,'_list'!$N$2:$N$652,0),"")</f>
        <v/>
      </c>
      <c r="S47">
        <f>IF($R47="","",INDEX('_list'!$C$2:$C$652,$R47))</f>
        <v/>
      </c>
    </row>
    <row r="48" ht="16" customHeight="1">
      <c r="B48" s="112">
        <f>IF($R48="","",28)</f>
        <v/>
      </c>
      <c r="C48" s="113">
        <f>IF($R48="","",IF(INDEX('_list'!$D$2:$D$652,$R48)="","",INDEX('_list'!$D$2:$D$652,$R48)))</f>
        <v/>
      </c>
      <c r="D48" s="113">
        <f>IF($R48="","",IF(INDEX('_list'!$E$2:$E$652,$R48)="","",INDEX('_list'!$E$2:$E$652,$R48)))</f>
        <v/>
      </c>
      <c r="E48" s="113">
        <f>IF($R48="","",IF(INDEX('_list'!$F$2:$F$652,$R48)="","",INDEX('_list'!$F$2:$F$652,$R48)))</f>
        <v/>
      </c>
      <c r="F48" s="114">
        <f>IF($R48="","",IF(INDEX('_list'!$G$2:$G$652,$R48)="","",INDEX('_list'!$G$2:$G$652,$R48)))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IF($R48="","",IF(INDEX('_list'!$K$2:$K$652,$R48)="","",INDEX('_list'!$K$2:$K$652,$R48)))</f>
        <v/>
      </c>
      <c r="L48" s="118">
        <f>IF($S48="","",IF(INDEX('_pockets'!$AC:$AC,$S48)="","",INDEX('_pockets'!$AC:$AC,$S48)))</f>
        <v/>
      </c>
      <c r="M48" s="117">
        <f>IF($R48="","",IF(INDEX('_list'!$L$2:$L$652,$R48)="","",INDEX('_list'!$L$2:$L$652,$R48)))</f>
        <v/>
      </c>
      <c r="N48" s="116">
        <f>IF($R48="","",IF(INDEX('_list'!$H$2:$H$652,$R48)="","",INDEX('_list'!$H$2:$H$652,$R48)))</f>
        <v/>
      </c>
      <c r="O48" s="113">
        <f>IF($R48="","",IF(INDEX('_list'!$I$2:$I$652,$R48)="","",INDEX('_list'!$I$2:$I$652,$R48)))</f>
        <v/>
      </c>
      <c r="R48">
        <f>IFERROR(MATCH(28,'_list'!$N$2:$N$652,0),"")</f>
        <v/>
      </c>
      <c r="S48">
        <f>IF($R48="","",INDEX('_list'!$C$2:$C$652,$R48))</f>
        <v/>
      </c>
    </row>
    <row r="49" ht="16" customHeight="1">
      <c r="B49" s="112">
        <f>IF($R49="","",29)</f>
        <v/>
      </c>
      <c r="C49" s="113">
        <f>IF($R49="","",IF(INDEX('_list'!$D$2:$D$652,$R49)="","",INDEX('_list'!$D$2:$D$652,$R49)))</f>
        <v/>
      </c>
      <c r="D49" s="113">
        <f>IF($R49="","",IF(INDEX('_list'!$E$2:$E$652,$R49)="","",INDEX('_list'!$E$2:$E$652,$R49)))</f>
        <v/>
      </c>
      <c r="E49" s="113">
        <f>IF($R49="","",IF(INDEX('_list'!$F$2:$F$652,$R49)="","",INDEX('_list'!$F$2:$F$652,$R49)))</f>
        <v/>
      </c>
      <c r="F49" s="114">
        <f>IF($R49="","",IF(INDEX('_list'!$G$2:$G$652,$R49)="","",INDEX('_list'!$G$2:$G$652,$R49)))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IF($R49="","",IF(INDEX('_list'!$K$2:$K$652,$R49)="","",INDEX('_list'!$K$2:$K$652,$R49)))</f>
        <v/>
      </c>
      <c r="L49" s="118">
        <f>IF($S49="","",IF(INDEX('_pockets'!$AC:$AC,$S49)="","",INDEX('_pockets'!$AC:$AC,$S49)))</f>
        <v/>
      </c>
      <c r="M49" s="117">
        <f>IF($R49="","",IF(INDEX('_list'!$L$2:$L$652,$R49)="","",INDEX('_list'!$L$2:$L$652,$R49)))</f>
        <v/>
      </c>
      <c r="N49" s="116">
        <f>IF($R49="","",IF(INDEX('_list'!$H$2:$H$652,$R49)="","",INDEX('_list'!$H$2:$H$652,$R49)))</f>
        <v/>
      </c>
      <c r="O49" s="113">
        <f>IF($R49="","",IF(INDEX('_list'!$I$2:$I$652,$R49)="","",INDEX('_list'!$I$2:$I$652,$R49)))</f>
        <v/>
      </c>
      <c r="R49">
        <f>IFERROR(MATCH(29,'_list'!$N$2:$N$652,0),"")</f>
        <v/>
      </c>
      <c r="S49">
        <f>IF($R49="","",INDEX('_list'!$C$2:$C$652,$R49))</f>
        <v/>
      </c>
    </row>
    <row r="50" ht="16" customHeight="1">
      <c r="B50" s="112">
        <f>IF($R50="","",30)</f>
        <v/>
      </c>
      <c r="C50" s="113">
        <f>IF($R50="","",IF(INDEX('_list'!$D$2:$D$652,$R50)="","",INDEX('_list'!$D$2:$D$652,$R50)))</f>
        <v/>
      </c>
      <c r="D50" s="113">
        <f>IF($R50="","",IF(INDEX('_list'!$E$2:$E$652,$R50)="","",INDEX('_list'!$E$2:$E$652,$R50)))</f>
        <v/>
      </c>
      <c r="E50" s="113">
        <f>IF($R50="","",IF(INDEX('_list'!$F$2:$F$652,$R50)="","",INDEX('_list'!$F$2:$F$652,$R50)))</f>
        <v/>
      </c>
      <c r="F50" s="114">
        <f>IF($R50="","",IF(INDEX('_list'!$G$2:$G$652,$R50)="","",INDEX('_list'!$G$2:$G$652,$R50)))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IF($R50="","",IF(INDEX('_list'!$K$2:$K$652,$R50)="","",INDEX('_list'!$K$2:$K$652,$R50)))</f>
        <v/>
      </c>
      <c r="L50" s="118">
        <f>IF($S50="","",IF(INDEX('_pockets'!$AC:$AC,$S50)="","",INDEX('_pockets'!$AC:$AC,$S50)))</f>
        <v/>
      </c>
      <c r="M50" s="117">
        <f>IF($R50="","",IF(INDEX('_list'!$L$2:$L$652,$R50)="","",INDEX('_list'!$L$2:$L$652,$R50)))</f>
        <v/>
      </c>
      <c r="N50" s="116">
        <f>IF($R50="","",IF(INDEX('_list'!$H$2:$H$652,$R50)="","",INDEX('_list'!$H$2:$H$652,$R50)))</f>
        <v/>
      </c>
      <c r="O50" s="113">
        <f>IF($R50="","",IF(INDEX('_list'!$I$2:$I$652,$R50)="","",INDEX('_list'!$I$2:$I$652,$R50)))</f>
        <v/>
      </c>
      <c r="R50">
        <f>IFERROR(MATCH(30,'_list'!$N$2:$N$652,0),"")</f>
        <v/>
      </c>
      <c r="S50">
        <f>IF($R50="","",INDEX('_list'!$C$2:$C$652,$R50))</f>
        <v/>
      </c>
    </row>
    <row r="51" ht="16" customHeight="1">
      <c r="B51" s="112">
        <f>IF($R51="","",31)</f>
        <v/>
      </c>
      <c r="C51" s="113">
        <f>IF($R51="","",IF(INDEX('_list'!$D$2:$D$652,$R51)="","",INDEX('_list'!$D$2:$D$652,$R51)))</f>
        <v/>
      </c>
      <c r="D51" s="113">
        <f>IF($R51="","",IF(INDEX('_list'!$E$2:$E$652,$R51)="","",INDEX('_list'!$E$2:$E$652,$R51)))</f>
        <v/>
      </c>
      <c r="E51" s="113">
        <f>IF($R51="","",IF(INDEX('_list'!$F$2:$F$652,$R51)="","",INDEX('_list'!$F$2:$F$652,$R51)))</f>
        <v/>
      </c>
      <c r="F51" s="114">
        <f>IF($R51="","",IF(INDEX('_list'!$G$2:$G$652,$R51)="","",INDEX('_list'!$G$2:$G$652,$R51)))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IF($R51="","",IF(INDEX('_list'!$K$2:$K$652,$R51)="","",INDEX('_list'!$K$2:$K$652,$R51)))</f>
        <v/>
      </c>
      <c r="L51" s="118">
        <f>IF($S51="","",IF(INDEX('_pockets'!$AC:$AC,$S51)="","",INDEX('_pockets'!$AC:$AC,$S51)))</f>
        <v/>
      </c>
      <c r="M51" s="117">
        <f>IF($R51="","",IF(INDEX('_list'!$L$2:$L$652,$R51)="","",INDEX('_list'!$L$2:$L$652,$R51)))</f>
        <v/>
      </c>
      <c r="N51" s="116">
        <f>IF($R51="","",IF(INDEX('_list'!$H$2:$H$652,$R51)="","",INDEX('_list'!$H$2:$H$652,$R51)))</f>
        <v/>
      </c>
      <c r="O51" s="113">
        <f>IF($R51="","",IF(INDEX('_list'!$I$2:$I$652,$R51)="","",INDEX('_list'!$I$2:$I$652,$R51)))</f>
        <v/>
      </c>
      <c r="R51">
        <f>IFERROR(MATCH(31,'_list'!$N$2:$N$652,0),"")</f>
        <v/>
      </c>
      <c r="S51">
        <f>IF($R51="","",INDEX('_list'!$C$2:$C$652,$R51))</f>
        <v/>
      </c>
    </row>
    <row r="52" ht="16" customHeight="1">
      <c r="B52" s="112">
        <f>IF($R52="","",32)</f>
        <v/>
      </c>
      <c r="C52" s="113">
        <f>IF($R52="","",IF(INDEX('_list'!$D$2:$D$652,$R52)="","",INDEX('_list'!$D$2:$D$652,$R52)))</f>
        <v/>
      </c>
      <c r="D52" s="113">
        <f>IF($R52="","",IF(INDEX('_list'!$E$2:$E$652,$R52)="","",INDEX('_list'!$E$2:$E$652,$R52)))</f>
        <v/>
      </c>
      <c r="E52" s="113">
        <f>IF($R52="","",IF(INDEX('_list'!$F$2:$F$652,$R52)="","",INDEX('_list'!$F$2:$F$652,$R52)))</f>
        <v/>
      </c>
      <c r="F52" s="114">
        <f>IF($R52="","",IF(INDEX('_list'!$G$2:$G$652,$R52)="","",INDEX('_list'!$G$2:$G$652,$R52)))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IF($R52="","",IF(INDEX('_list'!$K$2:$K$652,$R52)="","",INDEX('_list'!$K$2:$K$652,$R52)))</f>
        <v/>
      </c>
      <c r="L52" s="118">
        <f>IF($S52="","",IF(INDEX('_pockets'!$AC:$AC,$S52)="","",INDEX('_pockets'!$AC:$AC,$S52)))</f>
        <v/>
      </c>
      <c r="M52" s="117">
        <f>IF($R52="","",IF(INDEX('_list'!$L$2:$L$652,$R52)="","",INDEX('_list'!$L$2:$L$652,$R52)))</f>
        <v/>
      </c>
      <c r="N52" s="116">
        <f>IF($R52="","",IF(INDEX('_list'!$H$2:$H$652,$R52)="","",INDEX('_list'!$H$2:$H$652,$R52)))</f>
        <v/>
      </c>
      <c r="O52" s="113">
        <f>IF($R52="","",IF(INDEX('_list'!$I$2:$I$652,$R52)="","",INDEX('_list'!$I$2:$I$652,$R52)))</f>
        <v/>
      </c>
      <c r="R52">
        <f>IFERROR(MATCH(32,'_list'!$N$2:$N$652,0),"")</f>
        <v/>
      </c>
      <c r="S52">
        <f>IF($R52="","",INDEX('_list'!$C$2:$C$652,$R52))</f>
        <v/>
      </c>
    </row>
    <row r="53" ht="16" customHeight="1">
      <c r="B53" s="112">
        <f>IF($R53="","",33)</f>
        <v/>
      </c>
      <c r="C53" s="113">
        <f>IF($R53="","",IF(INDEX('_list'!$D$2:$D$652,$R53)="","",INDEX('_list'!$D$2:$D$652,$R53)))</f>
        <v/>
      </c>
      <c r="D53" s="113">
        <f>IF($R53="","",IF(INDEX('_list'!$E$2:$E$652,$R53)="","",INDEX('_list'!$E$2:$E$652,$R53)))</f>
        <v/>
      </c>
      <c r="E53" s="113">
        <f>IF($R53="","",IF(INDEX('_list'!$F$2:$F$652,$R53)="","",INDEX('_list'!$F$2:$F$652,$R53)))</f>
        <v/>
      </c>
      <c r="F53" s="114">
        <f>IF($R53="","",IF(INDEX('_list'!$G$2:$G$652,$R53)="","",INDEX('_list'!$G$2:$G$652,$R53)))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IF($R53="","",IF(INDEX('_list'!$K$2:$K$652,$R53)="","",INDEX('_list'!$K$2:$K$652,$R53)))</f>
        <v/>
      </c>
      <c r="L53" s="118">
        <f>IF($S53="","",IF(INDEX('_pockets'!$AC:$AC,$S53)="","",INDEX('_pockets'!$AC:$AC,$S53)))</f>
        <v/>
      </c>
      <c r="M53" s="117">
        <f>IF($R53="","",IF(INDEX('_list'!$L$2:$L$652,$R53)="","",INDEX('_list'!$L$2:$L$652,$R53)))</f>
        <v/>
      </c>
      <c r="N53" s="116">
        <f>IF($R53="","",IF(INDEX('_list'!$H$2:$H$652,$R53)="","",INDEX('_list'!$H$2:$H$652,$R53)))</f>
        <v/>
      </c>
      <c r="O53" s="113">
        <f>IF($R53="","",IF(INDEX('_list'!$I$2:$I$652,$R53)="","",INDEX('_list'!$I$2:$I$652,$R53)))</f>
        <v/>
      </c>
      <c r="R53">
        <f>IFERROR(MATCH(33,'_list'!$N$2:$N$652,0),"")</f>
        <v/>
      </c>
      <c r="S53">
        <f>IF($R53="","",INDEX('_list'!$C$2:$C$652,$R53))</f>
        <v/>
      </c>
    </row>
    <row r="54" ht="16" customHeight="1">
      <c r="B54" s="112">
        <f>IF($R54="","",34)</f>
        <v/>
      </c>
      <c r="C54" s="113">
        <f>IF($R54="","",IF(INDEX('_list'!$D$2:$D$652,$R54)="","",INDEX('_list'!$D$2:$D$652,$R54)))</f>
        <v/>
      </c>
      <c r="D54" s="113">
        <f>IF($R54="","",IF(INDEX('_list'!$E$2:$E$652,$R54)="","",INDEX('_list'!$E$2:$E$652,$R54)))</f>
        <v/>
      </c>
      <c r="E54" s="113">
        <f>IF($R54="","",IF(INDEX('_list'!$F$2:$F$652,$R54)="","",INDEX('_list'!$F$2:$F$652,$R54)))</f>
        <v/>
      </c>
      <c r="F54" s="114">
        <f>IF($R54="","",IF(INDEX('_list'!$G$2:$G$652,$R54)="","",INDEX('_list'!$G$2:$G$652,$R54)))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IF($R54="","",IF(INDEX('_list'!$K$2:$K$652,$R54)="","",INDEX('_list'!$K$2:$K$652,$R54)))</f>
        <v/>
      </c>
      <c r="L54" s="118">
        <f>IF($S54="","",IF(INDEX('_pockets'!$AC:$AC,$S54)="","",INDEX('_pockets'!$AC:$AC,$S54)))</f>
        <v/>
      </c>
      <c r="M54" s="117">
        <f>IF($R54="","",IF(INDEX('_list'!$L$2:$L$652,$R54)="","",INDEX('_list'!$L$2:$L$652,$R54)))</f>
        <v/>
      </c>
      <c r="N54" s="116">
        <f>IF($R54="","",IF(INDEX('_list'!$H$2:$H$652,$R54)="","",INDEX('_list'!$H$2:$H$652,$R54)))</f>
        <v/>
      </c>
      <c r="O54" s="113">
        <f>IF($R54="","",IF(INDEX('_list'!$I$2:$I$652,$R54)="","",INDEX('_list'!$I$2:$I$652,$R54)))</f>
        <v/>
      </c>
      <c r="R54">
        <f>IFERROR(MATCH(34,'_list'!$N$2:$N$652,0),"")</f>
        <v/>
      </c>
      <c r="S54">
        <f>IF($R54="","",INDEX('_list'!$C$2:$C$652,$R54))</f>
        <v/>
      </c>
    </row>
    <row r="55" ht="16" customHeight="1">
      <c r="B55" s="112">
        <f>IF($R55="","",35)</f>
        <v/>
      </c>
      <c r="C55" s="113">
        <f>IF($R55="","",IF(INDEX('_list'!$D$2:$D$652,$R55)="","",INDEX('_list'!$D$2:$D$652,$R55)))</f>
        <v/>
      </c>
      <c r="D55" s="113">
        <f>IF($R55="","",IF(INDEX('_list'!$E$2:$E$652,$R55)="","",INDEX('_list'!$E$2:$E$652,$R55)))</f>
        <v/>
      </c>
      <c r="E55" s="113">
        <f>IF($R55="","",IF(INDEX('_list'!$F$2:$F$652,$R55)="","",INDEX('_list'!$F$2:$F$652,$R55)))</f>
        <v/>
      </c>
      <c r="F55" s="114">
        <f>IF($R55="","",IF(INDEX('_list'!$G$2:$G$652,$R55)="","",INDEX('_list'!$G$2:$G$652,$R55)))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IF($R55="","",IF(INDEX('_list'!$K$2:$K$652,$R55)="","",INDEX('_list'!$K$2:$K$652,$R55)))</f>
        <v/>
      </c>
      <c r="L55" s="118">
        <f>IF($S55="","",IF(INDEX('_pockets'!$AC:$AC,$S55)="","",INDEX('_pockets'!$AC:$AC,$S55)))</f>
        <v/>
      </c>
      <c r="M55" s="117">
        <f>IF($R55="","",IF(INDEX('_list'!$L$2:$L$652,$R55)="","",INDEX('_list'!$L$2:$L$652,$R55)))</f>
        <v/>
      </c>
      <c r="N55" s="116">
        <f>IF($R55="","",IF(INDEX('_list'!$H$2:$H$652,$R55)="","",INDEX('_list'!$H$2:$H$652,$R55)))</f>
        <v/>
      </c>
      <c r="O55" s="113">
        <f>IF($R55="","",IF(INDEX('_list'!$I$2:$I$652,$R55)="","",INDEX('_list'!$I$2:$I$652,$R55)))</f>
        <v/>
      </c>
      <c r="R55">
        <f>IFERROR(MATCH(35,'_list'!$N$2:$N$652,0),"")</f>
        <v/>
      </c>
      <c r="S55">
        <f>IF($R55="","",INDEX('_list'!$C$2:$C$652,$R55))</f>
        <v/>
      </c>
    </row>
    <row r="56" ht="16" customHeight="1">
      <c r="B56" s="112">
        <f>IF($R56="","",36)</f>
        <v/>
      </c>
      <c r="C56" s="113">
        <f>IF($R56="","",IF(INDEX('_list'!$D$2:$D$652,$R56)="","",INDEX('_list'!$D$2:$D$652,$R56)))</f>
        <v/>
      </c>
      <c r="D56" s="113">
        <f>IF($R56="","",IF(INDEX('_list'!$E$2:$E$652,$R56)="","",INDEX('_list'!$E$2:$E$652,$R56)))</f>
        <v/>
      </c>
      <c r="E56" s="113">
        <f>IF($R56="","",IF(INDEX('_list'!$F$2:$F$652,$R56)="","",INDEX('_list'!$F$2:$F$652,$R56)))</f>
        <v/>
      </c>
      <c r="F56" s="114">
        <f>IF($R56="","",IF(INDEX('_list'!$G$2:$G$652,$R56)="","",INDEX('_list'!$G$2:$G$652,$R56)))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IF($R56="","",IF(INDEX('_list'!$K$2:$K$652,$R56)="","",INDEX('_list'!$K$2:$K$652,$R56)))</f>
        <v/>
      </c>
      <c r="L56" s="118">
        <f>IF($S56="","",IF(INDEX('_pockets'!$AC:$AC,$S56)="","",INDEX('_pockets'!$AC:$AC,$S56)))</f>
        <v/>
      </c>
      <c r="M56" s="117">
        <f>IF($R56="","",IF(INDEX('_list'!$L$2:$L$652,$R56)="","",INDEX('_list'!$L$2:$L$652,$R56)))</f>
        <v/>
      </c>
      <c r="N56" s="116">
        <f>IF($R56="","",IF(INDEX('_list'!$H$2:$H$652,$R56)="","",INDEX('_list'!$H$2:$H$652,$R56)))</f>
        <v/>
      </c>
      <c r="O56" s="113">
        <f>IF($R56="","",IF(INDEX('_list'!$I$2:$I$652,$R56)="","",INDEX('_list'!$I$2:$I$652,$R56)))</f>
        <v/>
      </c>
      <c r="R56">
        <f>IFERROR(MATCH(36,'_list'!$N$2:$N$652,0),"")</f>
        <v/>
      </c>
      <c r="S56">
        <f>IF($R56="","",INDEX('_list'!$C$2:$C$652,$R56))</f>
        <v/>
      </c>
    </row>
    <row r="57" ht="16" customHeight="1">
      <c r="B57" s="112">
        <f>IF($R57="","",37)</f>
        <v/>
      </c>
      <c r="C57" s="113">
        <f>IF($R57="","",IF(INDEX('_list'!$D$2:$D$652,$R57)="","",INDEX('_list'!$D$2:$D$652,$R57)))</f>
        <v/>
      </c>
      <c r="D57" s="113">
        <f>IF($R57="","",IF(INDEX('_list'!$E$2:$E$652,$R57)="","",INDEX('_list'!$E$2:$E$652,$R57)))</f>
        <v/>
      </c>
      <c r="E57" s="113">
        <f>IF($R57="","",IF(INDEX('_list'!$F$2:$F$652,$R57)="","",INDEX('_list'!$F$2:$F$652,$R57)))</f>
        <v/>
      </c>
      <c r="F57" s="114">
        <f>IF($R57="","",IF(INDEX('_list'!$G$2:$G$652,$R57)="","",INDEX('_list'!$G$2:$G$652,$R57)))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IF($R57="","",IF(INDEX('_list'!$K$2:$K$652,$R57)="","",INDEX('_list'!$K$2:$K$652,$R57)))</f>
        <v/>
      </c>
      <c r="L57" s="118">
        <f>IF($S57="","",IF(INDEX('_pockets'!$AC:$AC,$S57)="","",INDEX('_pockets'!$AC:$AC,$S57)))</f>
        <v/>
      </c>
      <c r="M57" s="117">
        <f>IF($R57="","",IF(INDEX('_list'!$L$2:$L$652,$R57)="","",INDEX('_list'!$L$2:$L$652,$R57)))</f>
        <v/>
      </c>
      <c r="N57" s="116">
        <f>IF($R57="","",IF(INDEX('_list'!$H$2:$H$652,$R57)="","",INDEX('_list'!$H$2:$H$652,$R57)))</f>
        <v/>
      </c>
      <c r="O57" s="113">
        <f>IF($R57="","",IF(INDEX('_list'!$I$2:$I$652,$R57)="","",INDEX('_list'!$I$2:$I$652,$R57)))</f>
        <v/>
      </c>
      <c r="R57">
        <f>IFERROR(MATCH(37,'_list'!$N$2:$N$652,0),"")</f>
        <v/>
      </c>
      <c r="S57">
        <f>IF($R57="","",INDEX('_list'!$C$2:$C$652,$R57))</f>
        <v/>
      </c>
    </row>
    <row r="58" ht="16" customHeight="1">
      <c r="B58" s="112">
        <f>IF($R58="","",38)</f>
        <v/>
      </c>
      <c r="C58" s="113">
        <f>IF($R58="","",IF(INDEX('_list'!$D$2:$D$652,$R58)="","",INDEX('_list'!$D$2:$D$652,$R58)))</f>
        <v/>
      </c>
      <c r="D58" s="113">
        <f>IF($R58="","",IF(INDEX('_list'!$E$2:$E$652,$R58)="","",INDEX('_list'!$E$2:$E$652,$R58)))</f>
        <v/>
      </c>
      <c r="E58" s="113">
        <f>IF($R58="","",IF(INDEX('_list'!$F$2:$F$652,$R58)="","",INDEX('_list'!$F$2:$F$652,$R58)))</f>
        <v/>
      </c>
      <c r="F58" s="114">
        <f>IF($R58="","",IF(INDEX('_list'!$G$2:$G$652,$R58)="","",INDEX('_list'!$G$2:$G$652,$R58)))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IF($R58="","",IF(INDEX('_list'!$K$2:$K$652,$R58)="","",INDEX('_list'!$K$2:$K$652,$R58)))</f>
        <v/>
      </c>
      <c r="L58" s="118">
        <f>IF($S58="","",IF(INDEX('_pockets'!$AC:$AC,$S58)="","",INDEX('_pockets'!$AC:$AC,$S58)))</f>
        <v/>
      </c>
      <c r="M58" s="117">
        <f>IF($R58="","",IF(INDEX('_list'!$L$2:$L$652,$R58)="","",INDEX('_list'!$L$2:$L$652,$R58)))</f>
        <v/>
      </c>
      <c r="N58" s="116">
        <f>IF($R58="","",IF(INDEX('_list'!$H$2:$H$652,$R58)="","",INDEX('_list'!$H$2:$H$652,$R58)))</f>
        <v/>
      </c>
      <c r="O58" s="113">
        <f>IF($R58="","",IF(INDEX('_list'!$I$2:$I$652,$R58)="","",INDEX('_list'!$I$2:$I$652,$R58)))</f>
        <v/>
      </c>
      <c r="R58">
        <f>IFERROR(MATCH(38,'_list'!$N$2:$N$652,0),"")</f>
        <v/>
      </c>
      <c r="S58">
        <f>IF($R58="","",INDEX('_list'!$C$2:$C$652,$R58))</f>
        <v/>
      </c>
    </row>
    <row r="59" ht="16" customHeight="1">
      <c r="B59" s="112">
        <f>IF($R59="","",39)</f>
        <v/>
      </c>
      <c r="C59" s="113">
        <f>IF($R59="","",IF(INDEX('_list'!$D$2:$D$652,$R59)="","",INDEX('_list'!$D$2:$D$652,$R59)))</f>
        <v/>
      </c>
      <c r="D59" s="113">
        <f>IF($R59="","",IF(INDEX('_list'!$E$2:$E$652,$R59)="","",INDEX('_list'!$E$2:$E$652,$R59)))</f>
        <v/>
      </c>
      <c r="E59" s="113">
        <f>IF($R59="","",IF(INDEX('_list'!$F$2:$F$652,$R59)="","",INDEX('_list'!$F$2:$F$652,$R59)))</f>
        <v/>
      </c>
      <c r="F59" s="114">
        <f>IF($R59="","",IF(INDEX('_list'!$G$2:$G$652,$R59)="","",INDEX('_list'!$G$2:$G$652,$R59)))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IF($R59="","",IF(INDEX('_list'!$K$2:$K$652,$R59)="","",INDEX('_list'!$K$2:$K$652,$R59)))</f>
        <v/>
      </c>
      <c r="L59" s="118">
        <f>IF($S59="","",IF(INDEX('_pockets'!$AC:$AC,$S59)="","",INDEX('_pockets'!$AC:$AC,$S59)))</f>
        <v/>
      </c>
      <c r="M59" s="117">
        <f>IF($R59="","",IF(INDEX('_list'!$L$2:$L$652,$R59)="","",INDEX('_list'!$L$2:$L$652,$R59)))</f>
        <v/>
      </c>
      <c r="N59" s="116">
        <f>IF($R59="","",IF(INDEX('_list'!$H$2:$H$652,$R59)="","",INDEX('_list'!$H$2:$H$652,$R59)))</f>
        <v/>
      </c>
      <c r="O59" s="113">
        <f>IF($R59="","",IF(INDEX('_list'!$I$2:$I$652,$R59)="","",INDEX('_list'!$I$2:$I$652,$R59)))</f>
        <v/>
      </c>
      <c r="R59">
        <f>IFERROR(MATCH(39,'_list'!$N$2:$N$652,0),"")</f>
        <v/>
      </c>
      <c r="S59">
        <f>IF($R59="","",INDEX('_list'!$C$2:$C$652,$R59))</f>
        <v/>
      </c>
    </row>
    <row r="60" ht="16" customHeight="1">
      <c r="B60" s="112">
        <f>IF($R60="","",40)</f>
        <v/>
      </c>
      <c r="C60" s="113">
        <f>IF($R60="","",IF(INDEX('_list'!$D$2:$D$652,$R60)="","",INDEX('_list'!$D$2:$D$652,$R60)))</f>
        <v/>
      </c>
      <c r="D60" s="113">
        <f>IF($R60="","",IF(INDEX('_list'!$E$2:$E$652,$R60)="","",INDEX('_list'!$E$2:$E$652,$R60)))</f>
        <v/>
      </c>
      <c r="E60" s="113">
        <f>IF($R60="","",IF(INDEX('_list'!$F$2:$F$652,$R60)="","",INDEX('_list'!$F$2:$F$652,$R60)))</f>
        <v/>
      </c>
      <c r="F60" s="114">
        <f>IF($R60="","",IF(INDEX('_list'!$G$2:$G$652,$R60)="","",INDEX('_list'!$G$2:$G$652,$R60)))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IF($R60="","",IF(INDEX('_list'!$K$2:$K$652,$R60)="","",INDEX('_list'!$K$2:$K$652,$R60)))</f>
        <v/>
      </c>
      <c r="L60" s="118">
        <f>IF($S60="","",IF(INDEX('_pockets'!$AC:$AC,$S60)="","",INDEX('_pockets'!$AC:$AC,$S60)))</f>
        <v/>
      </c>
      <c r="M60" s="117">
        <f>IF($R60="","",IF(INDEX('_list'!$L$2:$L$652,$R60)="","",INDEX('_list'!$L$2:$L$652,$R60)))</f>
        <v/>
      </c>
      <c r="N60" s="116">
        <f>IF($R60="","",IF(INDEX('_list'!$H$2:$H$652,$R60)="","",INDEX('_list'!$H$2:$H$652,$R60)))</f>
        <v/>
      </c>
      <c r="O60" s="113">
        <f>IF($R60="","",IF(INDEX('_list'!$I$2:$I$652,$R60)="","",INDEX('_list'!$I$2:$I$652,$R60)))</f>
        <v/>
      </c>
      <c r="R60">
        <f>IFERROR(MATCH(40,'_list'!$N$2:$N$652,0),"")</f>
        <v/>
      </c>
      <c r="S60">
        <f>IF($R60="","",INDEX('_list'!$C$2:$C$652,$R60))</f>
        <v/>
      </c>
    </row>
    <row r="61" ht="16" customHeight="1">
      <c r="B61" s="112">
        <f>IF($R61="","",41)</f>
        <v/>
      </c>
      <c r="C61" s="113">
        <f>IF($R61="","",IF(INDEX('_list'!$D$2:$D$652,$R61)="","",INDEX('_list'!$D$2:$D$652,$R61)))</f>
        <v/>
      </c>
      <c r="D61" s="113">
        <f>IF($R61="","",IF(INDEX('_list'!$E$2:$E$652,$R61)="","",INDEX('_list'!$E$2:$E$652,$R61)))</f>
        <v/>
      </c>
      <c r="E61" s="113">
        <f>IF($R61="","",IF(INDEX('_list'!$F$2:$F$652,$R61)="","",INDEX('_list'!$F$2:$F$652,$R61)))</f>
        <v/>
      </c>
      <c r="F61" s="114">
        <f>IF($R61="","",IF(INDEX('_list'!$G$2:$G$652,$R61)="","",INDEX('_list'!$G$2:$G$652,$R61)))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IF($R61="","",IF(INDEX('_list'!$K$2:$K$652,$R61)="","",INDEX('_list'!$K$2:$K$652,$R61)))</f>
        <v/>
      </c>
      <c r="L61" s="118">
        <f>IF($S61="","",IF(INDEX('_pockets'!$AC:$AC,$S61)="","",INDEX('_pockets'!$AC:$AC,$S61)))</f>
        <v/>
      </c>
      <c r="M61" s="117">
        <f>IF($R61="","",IF(INDEX('_list'!$L$2:$L$652,$R61)="","",INDEX('_list'!$L$2:$L$652,$R61)))</f>
        <v/>
      </c>
      <c r="N61" s="116">
        <f>IF($R61="","",IF(INDEX('_list'!$H$2:$H$652,$R61)="","",INDEX('_list'!$H$2:$H$652,$R61)))</f>
        <v/>
      </c>
      <c r="O61" s="113">
        <f>IF($R61="","",IF(INDEX('_list'!$I$2:$I$652,$R61)="","",INDEX('_list'!$I$2:$I$652,$R61)))</f>
        <v/>
      </c>
      <c r="R61">
        <f>IFERROR(MATCH(41,'_list'!$N$2:$N$652,0),"")</f>
        <v/>
      </c>
      <c r="S61">
        <f>IF($R61="","",INDEX('_list'!$C$2:$C$652,$R61))</f>
        <v/>
      </c>
    </row>
    <row r="62" ht="16" customHeight="1">
      <c r="B62" s="112">
        <f>IF($R62="","",42)</f>
        <v/>
      </c>
      <c r="C62" s="113">
        <f>IF($R62="","",IF(INDEX('_list'!$D$2:$D$652,$R62)="","",INDEX('_list'!$D$2:$D$652,$R62)))</f>
        <v/>
      </c>
      <c r="D62" s="113">
        <f>IF($R62="","",IF(INDEX('_list'!$E$2:$E$652,$R62)="","",INDEX('_list'!$E$2:$E$652,$R62)))</f>
        <v/>
      </c>
      <c r="E62" s="113">
        <f>IF($R62="","",IF(INDEX('_list'!$F$2:$F$652,$R62)="","",INDEX('_list'!$F$2:$F$652,$R62)))</f>
        <v/>
      </c>
      <c r="F62" s="114">
        <f>IF($R62="","",IF(INDEX('_list'!$G$2:$G$652,$R62)="","",INDEX('_list'!$G$2:$G$652,$R62)))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IF($R62="","",IF(INDEX('_list'!$K$2:$K$652,$R62)="","",INDEX('_list'!$K$2:$K$652,$R62)))</f>
        <v/>
      </c>
      <c r="L62" s="118">
        <f>IF($S62="","",IF(INDEX('_pockets'!$AC:$AC,$S62)="","",INDEX('_pockets'!$AC:$AC,$S62)))</f>
        <v/>
      </c>
      <c r="M62" s="117">
        <f>IF($R62="","",IF(INDEX('_list'!$L$2:$L$652,$R62)="","",INDEX('_list'!$L$2:$L$652,$R62)))</f>
        <v/>
      </c>
      <c r="N62" s="116">
        <f>IF($R62="","",IF(INDEX('_list'!$H$2:$H$652,$R62)="","",INDEX('_list'!$H$2:$H$652,$R62)))</f>
        <v/>
      </c>
      <c r="O62" s="113">
        <f>IF($R62="","",IF(INDEX('_list'!$I$2:$I$652,$R62)="","",INDEX('_list'!$I$2:$I$652,$R62)))</f>
        <v/>
      </c>
      <c r="R62">
        <f>IFERROR(MATCH(42,'_list'!$N$2:$N$652,0),"")</f>
        <v/>
      </c>
      <c r="S62">
        <f>IF($R62="","",INDEX('_list'!$C$2:$C$652,$R62))</f>
        <v/>
      </c>
    </row>
    <row r="63" ht="16" customHeight="1">
      <c r="B63" s="112">
        <f>IF($R63="","",43)</f>
        <v/>
      </c>
      <c r="C63" s="113">
        <f>IF($R63="","",IF(INDEX('_list'!$D$2:$D$652,$R63)="","",INDEX('_list'!$D$2:$D$652,$R63)))</f>
        <v/>
      </c>
      <c r="D63" s="113">
        <f>IF($R63="","",IF(INDEX('_list'!$E$2:$E$652,$R63)="","",INDEX('_list'!$E$2:$E$652,$R63)))</f>
        <v/>
      </c>
      <c r="E63" s="113">
        <f>IF($R63="","",IF(INDEX('_list'!$F$2:$F$652,$R63)="","",INDEX('_list'!$F$2:$F$652,$R63)))</f>
        <v/>
      </c>
      <c r="F63" s="114">
        <f>IF($R63="","",IF(INDEX('_list'!$G$2:$G$652,$R63)="","",INDEX('_list'!$G$2:$G$652,$R63)))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IF($R63="","",IF(INDEX('_list'!$K$2:$K$652,$R63)="","",INDEX('_list'!$K$2:$K$652,$R63)))</f>
        <v/>
      </c>
      <c r="L63" s="118">
        <f>IF($S63="","",IF(INDEX('_pockets'!$AC:$AC,$S63)="","",INDEX('_pockets'!$AC:$AC,$S63)))</f>
        <v/>
      </c>
      <c r="M63" s="117">
        <f>IF($R63="","",IF(INDEX('_list'!$L$2:$L$652,$R63)="","",INDEX('_list'!$L$2:$L$652,$R63)))</f>
        <v/>
      </c>
      <c r="N63" s="116">
        <f>IF($R63="","",IF(INDEX('_list'!$H$2:$H$652,$R63)="","",INDEX('_list'!$H$2:$H$652,$R63)))</f>
        <v/>
      </c>
      <c r="O63" s="113">
        <f>IF($R63="","",IF(INDEX('_list'!$I$2:$I$652,$R63)="","",INDEX('_list'!$I$2:$I$652,$R63)))</f>
        <v/>
      </c>
      <c r="R63">
        <f>IFERROR(MATCH(43,'_list'!$N$2:$N$652,0),"")</f>
        <v/>
      </c>
      <c r="S63">
        <f>IF($R63="","",INDEX('_list'!$C$2:$C$652,$R63))</f>
        <v/>
      </c>
    </row>
    <row r="64" ht="16" customHeight="1">
      <c r="B64" s="112">
        <f>IF($R64="","",44)</f>
        <v/>
      </c>
      <c r="C64" s="113">
        <f>IF($R64="","",IF(INDEX('_list'!$D$2:$D$652,$R64)="","",INDEX('_list'!$D$2:$D$652,$R64)))</f>
        <v/>
      </c>
      <c r="D64" s="113">
        <f>IF($R64="","",IF(INDEX('_list'!$E$2:$E$652,$R64)="","",INDEX('_list'!$E$2:$E$652,$R64)))</f>
        <v/>
      </c>
      <c r="E64" s="113">
        <f>IF($R64="","",IF(INDEX('_list'!$F$2:$F$652,$R64)="","",INDEX('_list'!$F$2:$F$652,$R64)))</f>
        <v/>
      </c>
      <c r="F64" s="114">
        <f>IF($R64="","",IF(INDEX('_list'!$G$2:$G$652,$R64)="","",INDEX('_list'!$G$2:$G$652,$R64)))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IF($R64="","",IF(INDEX('_list'!$K$2:$K$652,$R64)="","",INDEX('_list'!$K$2:$K$652,$R64)))</f>
        <v/>
      </c>
      <c r="L64" s="118">
        <f>IF($S64="","",IF(INDEX('_pockets'!$AC:$AC,$S64)="","",INDEX('_pockets'!$AC:$AC,$S64)))</f>
        <v/>
      </c>
      <c r="M64" s="117">
        <f>IF($R64="","",IF(INDEX('_list'!$L$2:$L$652,$R64)="","",INDEX('_list'!$L$2:$L$652,$R64)))</f>
        <v/>
      </c>
      <c r="N64" s="116">
        <f>IF($R64="","",IF(INDEX('_list'!$H$2:$H$652,$R64)="","",INDEX('_list'!$H$2:$H$652,$R64)))</f>
        <v/>
      </c>
      <c r="O64" s="113">
        <f>IF($R64="","",IF(INDEX('_list'!$I$2:$I$652,$R64)="","",INDEX('_list'!$I$2:$I$652,$R64)))</f>
        <v/>
      </c>
      <c r="R64">
        <f>IFERROR(MATCH(44,'_list'!$N$2:$N$652,0),"")</f>
        <v/>
      </c>
      <c r="S64">
        <f>IF($R64="","",INDEX('_list'!$C$2:$C$652,$R64))</f>
        <v/>
      </c>
    </row>
    <row r="65" ht="16" customHeight="1">
      <c r="B65" s="112">
        <f>IF($R65="","",45)</f>
        <v/>
      </c>
      <c r="C65" s="113">
        <f>IF($R65="","",IF(INDEX('_list'!$D$2:$D$652,$R65)="","",INDEX('_list'!$D$2:$D$652,$R65)))</f>
        <v/>
      </c>
      <c r="D65" s="113">
        <f>IF($R65="","",IF(INDEX('_list'!$E$2:$E$652,$R65)="","",INDEX('_list'!$E$2:$E$652,$R65)))</f>
        <v/>
      </c>
      <c r="E65" s="113">
        <f>IF($R65="","",IF(INDEX('_list'!$F$2:$F$652,$R65)="","",INDEX('_list'!$F$2:$F$652,$R65)))</f>
        <v/>
      </c>
      <c r="F65" s="114">
        <f>IF($R65="","",IF(INDEX('_list'!$G$2:$G$652,$R65)="","",INDEX('_list'!$G$2:$G$652,$R65)))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IF($R65="","",IF(INDEX('_list'!$K$2:$K$652,$R65)="","",INDEX('_list'!$K$2:$K$652,$R65)))</f>
        <v/>
      </c>
      <c r="L65" s="118">
        <f>IF($S65="","",IF(INDEX('_pockets'!$AC:$AC,$S65)="","",INDEX('_pockets'!$AC:$AC,$S65)))</f>
        <v/>
      </c>
      <c r="M65" s="117">
        <f>IF($R65="","",IF(INDEX('_list'!$L$2:$L$652,$R65)="","",INDEX('_list'!$L$2:$L$652,$R65)))</f>
        <v/>
      </c>
      <c r="N65" s="116">
        <f>IF($R65="","",IF(INDEX('_list'!$H$2:$H$652,$R65)="","",INDEX('_list'!$H$2:$H$652,$R65)))</f>
        <v/>
      </c>
      <c r="O65" s="113">
        <f>IF($R65="","",IF(INDEX('_list'!$I$2:$I$652,$R65)="","",INDEX('_list'!$I$2:$I$652,$R65)))</f>
        <v/>
      </c>
      <c r="R65">
        <f>IFERROR(MATCH(45,'_list'!$N$2:$N$652,0),"")</f>
        <v/>
      </c>
      <c r="S65">
        <f>IF($R65="","",INDEX('_list'!$C$2:$C$652,$R65))</f>
        <v/>
      </c>
    </row>
    <row r="66" ht="16" customHeight="1">
      <c r="B66" s="112">
        <f>IF($R66="","",46)</f>
        <v/>
      </c>
      <c r="C66" s="113">
        <f>IF($R66="","",IF(INDEX('_list'!$D$2:$D$652,$R66)="","",INDEX('_list'!$D$2:$D$652,$R66)))</f>
        <v/>
      </c>
      <c r="D66" s="113">
        <f>IF($R66="","",IF(INDEX('_list'!$E$2:$E$652,$R66)="","",INDEX('_list'!$E$2:$E$652,$R66)))</f>
        <v/>
      </c>
      <c r="E66" s="113">
        <f>IF($R66="","",IF(INDEX('_list'!$F$2:$F$652,$R66)="","",INDEX('_list'!$F$2:$F$652,$R66)))</f>
        <v/>
      </c>
      <c r="F66" s="114">
        <f>IF($R66="","",IF(INDEX('_list'!$G$2:$G$652,$R66)="","",INDEX('_list'!$G$2:$G$652,$R66)))</f>
        <v/>
      </c>
      <c r="G66" s="115">
        <f>IF($S66="","",IF(INDEX('_pockets'!$AH:$AH,$S66)="","",INDEX('_pockets'!$AH:$AH,$S66)))</f>
        <v/>
      </c>
      <c r="H66" s="115">
        <f>IF($S66="","",IF(INDEX('_pockets'!$AF:$AF,$S66)="","",INDEX('_pockets'!$AF:$AF,$S66)))</f>
        <v/>
      </c>
      <c r="I66" s="116">
        <f>IF(IF($S66="","",IF(INDEX('_pockets'!$AB:$AB,$S66)="","",INDEX('_pockets'!$AB:$AB,$S66)))="","",IF($S66="","",IF(INDEX('_pockets'!$AB:$AB,$S66)="","",INDEX('_pockets'!$AB:$AB,$S66)))*IF($U$19,100,1))</f>
        <v/>
      </c>
      <c r="J66" s="114">
        <f>IF($S66="","",IF(INDEX('_pockets'!$Z:$Z,$S66)="","",INDEX('_pockets'!$Z:$Z,$S66)))</f>
        <v/>
      </c>
      <c r="K66" s="117">
        <f>IF($R66="","",IF(INDEX('_list'!$K$2:$K$652,$R66)="","",INDEX('_list'!$K$2:$K$652,$R66)))</f>
        <v/>
      </c>
      <c r="L66" s="118">
        <f>IF($S66="","",IF(INDEX('_pockets'!$AC:$AC,$S66)="","",INDEX('_pockets'!$AC:$AC,$S66)))</f>
        <v/>
      </c>
      <c r="M66" s="117">
        <f>IF($R66="","",IF(INDEX('_list'!$L$2:$L$652,$R66)="","",INDEX('_list'!$L$2:$L$652,$R66)))</f>
        <v/>
      </c>
      <c r="N66" s="116">
        <f>IF($R66="","",IF(INDEX('_list'!$H$2:$H$652,$R66)="","",INDEX('_list'!$H$2:$H$652,$R66)))</f>
        <v/>
      </c>
      <c r="O66" s="113">
        <f>IF($R66="","",IF(INDEX('_list'!$I$2:$I$652,$R66)="","",INDEX('_list'!$I$2:$I$652,$R66)))</f>
        <v/>
      </c>
      <c r="R66">
        <f>IFERROR(MATCH(46,'_list'!$N$2:$N$652,0),"")</f>
        <v/>
      </c>
      <c r="S66">
        <f>IF($R66="","",INDEX('_list'!$C$2:$C$652,$R66))</f>
        <v/>
      </c>
    </row>
    <row r="67" ht="16" customHeight="1">
      <c r="B67" s="112">
        <f>IF($R67="","",47)</f>
        <v/>
      </c>
      <c r="C67" s="113">
        <f>IF($R67="","",IF(INDEX('_list'!$D$2:$D$652,$R67)="","",INDEX('_list'!$D$2:$D$652,$R67)))</f>
        <v/>
      </c>
      <c r="D67" s="113">
        <f>IF($R67="","",IF(INDEX('_list'!$E$2:$E$652,$R67)="","",INDEX('_list'!$E$2:$E$652,$R67)))</f>
        <v/>
      </c>
      <c r="E67" s="113">
        <f>IF($R67="","",IF(INDEX('_list'!$F$2:$F$652,$R67)="","",INDEX('_list'!$F$2:$F$652,$R67)))</f>
        <v/>
      </c>
      <c r="F67" s="114">
        <f>IF($R67="","",IF(INDEX('_list'!$G$2:$G$652,$R67)="","",INDEX('_list'!$G$2:$G$652,$R67)))</f>
        <v/>
      </c>
      <c r="G67" s="115">
        <f>IF($S67="","",IF(INDEX('_pockets'!$AH:$AH,$S67)="","",INDEX('_pockets'!$AH:$AH,$S67)))</f>
        <v/>
      </c>
      <c r="H67" s="115">
        <f>IF($S67="","",IF(INDEX('_pockets'!$AF:$AF,$S67)="","",INDEX('_pockets'!$AF:$AF,$S67)))</f>
        <v/>
      </c>
      <c r="I67" s="116">
        <f>IF(IF($S67="","",IF(INDEX('_pockets'!$AB:$AB,$S67)="","",INDEX('_pockets'!$AB:$AB,$S67)))="","",IF($S67="","",IF(INDEX('_pockets'!$AB:$AB,$S67)="","",INDEX('_pockets'!$AB:$AB,$S67)))*IF($U$19,100,1))</f>
        <v/>
      </c>
      <c r="J67" s="114">
        <f>IF($S67="","",IF(INDEX('_pockets'!$Z:$Z,$S67)="","",INDEX('_pockets'!$Z:$Z,$S67)))</f>
        <v/>
      </c>
      <c r="K67" s="117">
        <f>IF($R67="","",IF(INDEX('_list'!$K$2:$K$652,$R67)="","",INDEX('_list'!$K$2:$K$652,$R67)))</f>
        <v/>
      </c>
      <c r="L67" s="118">
        <f>IF($S67="","",IF(INDEX('_pockets'!$AC:$AC,$S67)="","",INDEX('_pockets'!$AC:$AC,$S67)))</f>
        <v/>
      </c>
      <c r="M67" s="117">
        <f>IF($R67="","",IF(INDEX('_list'!$L$2:$L$652,$R67)="","",INDEX('_list'!$L$2:$L$652,$R67)))</f>
        <v/>
      </c>
      <c r="N67" s="116">
        <f>IF($R67="","",IF(INDEX('_list'!$H$2:$H$652,$R67)="","",INDEX('_list'!$H$2:$H$652,$R67)))</f>
        <v/>
      </c>
      <c r="O67" s="113">
        <f>IF($R67="","",IF(INDEX('_list'!$I$2:$I$652,$R67)="","",INDEX('_list'!$I$2:$I$652,$R67)))</f>
        <v/>
      </c>
      <c r="R67">
        <f>IFERROR(MATCH(47,'_list'!$N$2:$N$652,0),"")</f>
        <v/>
      </c>
      <c r="S67">
        <f>IF($R67="","",INDEX('_list'!$C$2:$C$652,$R67))</f>
        <v/>
      </c>
    </row>
    <row r="68" ht="16" customHeight="1">
      <c r="B68" s="112">
        <f>IF($R68="","",48)</f>
        <v/>
      </c>
      <c r="C68" s="113">
        <f>IF($R68="","",IF(INDEX('_list'!$D$2:$D$652,$R68)="","",INDEX('_list'!$D$2:$D$652,$R68)))</f>
        <v/>
      </c>
      <c r="D68" s="113">
        <f>IF($R68="","",IF(INDEX('_list'!$E$2:$E$652,$R68)="","",INDEX('_list'!$E$2:$E$652,$R68)))</f>
        <v/>
      </c>
      <c r="E68" s="113">
        <f>IF($R68="","",IF(INDEX('_list'!$F$2:$F$652,$R68)="","",INDEX('_list'!$F$2:$F$652,$R68)))</f>
        <v/>
      </c>
      <c r="F68" s="114">
        <f>IF($R68="","",IF(INDEX('_list'!$G$2:$G$652,$R68)="","",INDEX('_list'!$G$2:$G$652,$R68)))</f>
        <v/>
      </c>
      <c r="G68" s="115">
        <f>IF($S68="","",IF(INDEX('_pockets'!$AH:$AH,$S68)="","",INDEX('_pockets'!$AH:$AH,$S68)))</f>
        <v/>
      </c>
      <c r="H68" s="115">
        <f>IF($S68="","",IF(INDEX('_pockets'!$AF:$AF,$S68)="","",INDEX('_pockets'!$AF:$AF,$S68)))</f>
        <v/>
      </c>
      <c r="I68" s="116">
        <f>IF(IF($S68="","",IF(INDEX('_pockets'!$AB:$AB,$S68)="","",INDEX('_pockets'!$AB:$AB,$S68)))="","",IF($S68="","",IF(INDEX('_pockets'!$AB:$AB,$S68)="","",INDEX('_pockets'!$AB:$AB,$S68)))*IF($U$19,100,1))</f>
        <v/>
      </c>
      <c r="J68" s="114">
        <f>IF($S68="","",IF(INDEX('_pockets'!$Z:$Z,$S68)="","",INDEX('_pockets'!$Z:$Z,$S68)))</f>
        <v/>
      </c>
      <c r="K68" s="117">
        <f>IF($R68="","",IF(INDEX('_list'!$K$2:$K$652,$R68)="","",INDEX('_list'!$K$2:$K$652,$R68)))</f>
        <v/>
      </c>
      <c r="L68" s="118">
        <f>IF($S68="","",IF(INDEX('_pockets'!$AC:$AC,$S68)="","",INDEX('_pockets'!$AC:$AC,$S68)))</f>
        <v/>
      </c>
      <c r="M68" s="117">
        <f>IF($R68="","",IF(INDEX('_list'!$L$2:$L$652,$R68)="","",INDEX('_list'!$L$2:$L$652,$R68)))</f>
        <v/>
      </c>
      <c r="N68" s="116">
        <f>IF($R68="","",IF(INDEX('_list'!$H$2:$H$652,$R68)="","",INDEX('_list'!$H$2:$H$652,$R68)))</f>
        <v/>
      </c>
      <c r="O68" s="113">
        <f>IF($R68="","",IF(INDEX('_list'!$I$2:$I$652,$R68)="","",INDEX('_list'!$I$2:$I$652,$R68)))</f>
        <v/>
      </c>
      <c r="R68">
        <f>IFERROR(MATCH(48,'_list'!$N$2:$N$652,0),"")</f>
        <v/>
      </c>
      <c r="S68">
        <f>IF($R68="","",INDEX('_list'!$C$2:$C$652,$R68))</f>
        <v/>
      </c>
    </row>
    <row r="69" ht="16" customHeight="1">
      <c r="B69" s="112">
        <f>IF($R69="","",49)</f>
        <v/>
      </c>
      <c r="C69" s="113">
        <f>IF($R69="","",IF(INDEX('_list'!$D$2:$D$652,$R69)="","",INDEX('_list'!$D$2:$D$652,$R69)))</f>
        <v/>
      </c>
      <c r="D69" s="113">
        <f>IF($R69="","",IF(INDEX('_list'!$E$2:$E$652,$R69)="","",INDEX('_list'!$E$2:$E$652,$R69)))</f>
        <v/>
      </c>
      <c r="E69" s="113">
        <f>IF($R69="","",IF(INDEX('_list'!$F$2:$F$652,$R69)="","",INDEX('_list'!$F$2:$F$652,$R69)))</f>
        <v/>
      </c>
      <c r="F69" s="114">
        <f>IF($R69="","",IF(INDEX('_list'!$G$2:$G$652,$R69)="","",INDEX('_list'!$G$2:$G$652,$R69)))</f>
        <v/>
      </c>
      <c r="G69" s="115">
        <f>IF($S69="","",IF(INDEX('_pockets'!$AH:$AH,$S69)="","",INDEX('_pockets'!$AH:$AH,$S69)))</f>
        <v/>
      </c>
      <c r="H69" s="115">
        <f>IF($S69="","",IF(INDEX('_pockets'!$AF:$AF,$S69)="","",INDEX('_pockets'!$AF:$AF,$S69)))</f>
        <v/>
      </c>
      <c r="I69" s="116">
        <f>IF(IF($S69="","",IF(INDEX('_pockets'!$AB:$AB,$S69)="","",INDEX('_pockets'!$AB:$AB,$S69)))="","",IF($S69="","",IF(INDEX('_pockets'!$AB:$AB,$S69)="","",INDEX('_pockets'!$AB:$AB,$S69)))*IF($U$19,100,1))</f>
        <v/>
      </c>
      <c r="J69" s="114">
        <f>IF($S69="","",IF(INDEX('_pockets'!$Z:$Z,$S69)="","",INDEX('_pockets'!$Z:$Z,$S69)))</f>
        <v/>
      </c>
      <c r="K69" s="117">
        <f>IF($R69="","",IF(INDEX('_list'!$K$2:$K$652,$R69)="","",INDEX('_list'!$K$2:$K$652,$R69)))</f>
        <v/>
      </c>
      <c r="L69" s="118">
        <f>IF($S69="","",IF(INDEX('_pockets'!$AC:$AC,$S69)="","",INDEX('_pockets'!$AC:$AC,$S69)))</f>
        <v/>
      </c>
      <c r="M69" s="117">
        <f>IF($R69="","",IF(INDEX('_list'!$L$2:$L$652,$R69)="","",INDEX('_list'!$L$2:$L$652,$R69)))</f>
        <v/>
      </c>
      <c r="N69" s="116">
        <f>IF($R69="","",IF(INDEX('_list'!$H$2:$H$652,$R69)="","",INDEX('_list'!$H$2:$H$652,$R69)))</f>
        <v/>
      </c>
      <c r="O69" s="113">
        <f>IF($R69="","",IF(INDEX('_list'!$I$2:$I$652,$R69)="","",INDEX('_list'!$I$2:$I$652,$R69)))</f>
        <v/>
      </c>
      <c r="R69">
        <f>IFERROR(MATCH(49,'_list'!$N$2:$N$652,0),"")</f>
        <v/>
      </c>
      <c r="S69">
        <f>IF($R69="","",INDEX('_list'!$C$2:$C$652,$R69))</f>
        <v/>
      </c>
    </row>
    <row r="70" ht="16" customHeight="1">
      <c r="B70" s="112">
        <f>IF($R70="","",50)</f>
        <v/>
      </c>
      <c r="C70" s="113">
        <f>IF($R70="","",IF(INDEX('_list'!$D$2:$D$652,$R70)="","",INDEX('_list'!$D$2:$D$652,$R70)))</f>
        <v/>
      </c>
      <c r="D70" s="113">
        <f>IF($R70="","",IF(INDEX('_list'!$E$2:$E$652,$R70)="","",INDEX('_list'!$E$2:$E$652,$R70)))</f>
        <v/>
      </c>
      <c r="E70" s="113">
        <f>IF($R70="","",IF(INDEX('_list'!$F$2:$F$652,$R70)="","",INDEX('_list'!$F$2:$F$652,$R70)))</f>
        <v/>
      </c>
      <c r="F70" s="114">
        <f>IF($R70="","",IF(INDEX('_list'!$G$2:$G$652,$R70)="","",INDEX('_list'!$G$2:$G$652,$R70)))</f>
        <v/>
      </c>
      <c r="G70" s="115">
        <f>IF($S70="","",IF(INDEX('_pockets'!$AH:$AH,$S70)="","",INDEX('_pockets'!$AH:$AH,$S70)))</f>
        <v/>
      </c>
      <c r="H70" s="115">
        <f>IF($S70="","",IF(INDEX('_pockets'!$AF:$AF,$S70)="","",INDEX('_pockets'!$AF:$AF,$S70)))</f>
        <v/>
      </c>
      <c r="I70" s="116">
        <f>IF(IF($S70="","",IF(INDEX('_pockets'!$AB:$AB,$S70)="","",INDEX('_pockets'!$AB:$AB,$S70)))="","",IF($S70="","",IF(INDEX('_pockets'!$AB:$AB,$S70)="","",INDEX('_pockets'!$AB:$AB,$S70)))*IF($U$19,100,1))</f>
        <v/>
      </c>
      <c r="J70" s="114">
        <f>IF($S70="","",IF(INDEX('_pockets'!$Z:$Z,$S70)="","",INDEX('_pockets'!$Z:$Z,$S70)))</f>
        <v/>
      </c>
      <c r="K70" s="117">
        <f>IF($R70="","",IF(INDEX('_list'!$K$2:$K$652,$R70)="","",INDEX('_list'!$K$2:$K$652,$R70)))</f>
        <v/>
      </c>
      <c r="L70" s="118">
        <f>IF($S70="","",IF(INDEX('_pockets'!$AC:$AC,$S70)="","",INDEX('_pockets'!$AC:$AC,$S70)))</f>
        <v/>
      </c>
      <c r="M70" s="117">
        <f>IF($R70="","",IF(INDEX('_list'!$L$2:$L$652,$R70)="","",INDEX('_list'!$L$2:$L$652,$R70)))</f>
        <v/>
      </c>
      <c r="N70" s="116">
        <f>IF($R70="","",IF(INDEX('_list'!$H$2:$H$652,$R70)="","",INDEX('_list'!$H$2:$H$652,$R70)))</f>
        <v/>
      </c>
      <c r="O70" s="113">
        <f>IF($R70="","",IF(INDEX('_list'!$I$2:$I$652,$R70)="","",INDEX('_list'!$I$2:$I$652,$R70)))</f>
        <v/>
      </c>
      <c r="R70">
        <f>IFERROR(MATCH(50,'_list'!$N$2:$N$652,0),"")</f>
        <v/>
      </c>
      <c r="S70">
        <f>IF($R70="","",INDEX('_list'!$C$2:$C$652,$R70))</f>
        <v/>
      </c>
    </row>
    <row r="71" ht="16" customHeight="1">
      <c r="B71" s="112">
        <f>IF($R71="","",51)</f>
        <v/>
      </c>
      <c r="C71" s="113">
        <f>IF($R71="","",IF(INDEX('_list'!$D$2:$D$652,$R71)="","",INDEX('_list'!$D$2:$D$652,$R71)))</f>
        <v/>
      </c>
      <c r="D71" s="113">
        <f>IF($R71="","",IF(INDEX('_list'!$E$2:$E$652,$R71)="","",INDEX('_list'!$E$2:$E$652,$R71)))</f>
        <v/>
      </c>
      <c r="E71" s="113">
        <f>IF($R71="","",IF(INDEX('_list'!$F$2:$F$652,$R71)="","",INDEX('_list'!$F$2:$F$652,$R71)))</f>
        <v/>
      </c>
      <c r="F71" s="114">
        <f>IF($R71="","",IF(INDEX('_list'!$G$2:$G$652,$R71)="","",INDEX('_list'!$G$2:$G$652,$R71)))</f>
        <v/>
      </c>
      <c r="G71" s="115">
        <f>IF($S71="","",IF(INDEX('_pockets'!$AH:$AH,$S71)="","",INDEX('_pockets'!$AH:$AH,$S71)))</f>
        <v/>
      </c>
      <c r="H71" s="115">
        <f>IF($S71="","",IF(INDEX('_pockets'!$AF:$AF,$S71)="","",INDEX('_pockets'!$AF:$AF,$S71)))</f>
        <v/>
      </c>
      <c r="I71" s="116">
        <f>IF(IF($S71="","",IF(INDEX('_pockets'!$AB:$AB,$S71)="","",INDEX('_pockets'!$AB:$AB,$S71)))="","",IF($S71="","",IF(INDEX('_pockets'!$AB:$AB,$S71)="","",INDEX('_pockets'!$AB:$AB,$S71)))*IF($U$19,100,1))</f>
        <v/>
      </c>
      <c r="J71" s="114">
        <f>IF($S71="","",IF(INDEX('_pockets'!$Z:$Z,$S71)="","",INDEX('_pockets'!$Z:$Z,$S71)))</f>
        <v/>
      </c>
      <c r="K71" s="117">
        <f>IF($R71="","",IF(INDEX('_list'!$K$2:$K$652,$R71)="","",INDEX('_list'!$K$2:$K$652,$R71)))</f>
        <v/>
      </c>
      <c r="L71" s="118">
        <f>IF($S71="","",IF(INDEX('_pockets'!$AC:$AC,$S71)="","",INDEX('_pockets'!$AC:$AC,$S71)))</f>
        <v/>
      </c>
      <c r="M71" s="117">
        <f>IF($R71="","",IF(INDEX('_list'!$L$2:$L$652,$R71)="","",INDEX('_list'!$L$2:$L$652,$R71)))</f>
        <v/>
      </c>
      <c r="N71" s="116">
        <f>IF($R71="","",IF(INDEX('_list'!$H$2:$H$652,$R71)="","",INDEX('_list'!$H$2:$H$652,$R71)))</f>
        <v/>
      </c>
      <c r="O71" s="113">
        <f>IF($R71="","",IF(INDEX('_list'!$I$2:$I$652,$R71)="","",INDEX('_list'!$I$2:$I$652,$R71)))</f>
        <v/>
      </c>
      <c r="R71">
        <f>IFERROR(MATCH(51,'_list'!$N$2:$N$652,0),"")</f>
        <v/>
      </c>
      <c r="S71">
        <f>IF($R71="","",INDEX('_list'!$C$2:$C$652,$R71))</f>
        <v/>
      </c>
    </row>
    <row r="72" ht="16" customHeight="1">
      <c r="B72" s="112">
        <f>IF($R72="","",52)</f>
        <v/>
      </c>
      <c r="C72" s="113">
        <f>IF($R72="","",IF(INDEX('_list'!$D$2:$D$652,$R72)="","",INDEX('_list'!$D$2:$D$652,$R72)))</f>
        <v/>
      </c>
      <c r="D72" s="113">
        <f>IF($R72="","",IF(INDEX('_list'!$E$2:$E$652,$R72)="","",INDEX('_list'!$E$2:$E$652,$R72)))</f>
        <v/>
      </c>
      <c r="E72" s="113">
        <f>IF($R72="","",IF(INDEX('_list'!$F$2:$F$652,$R72)="","",INDEX('_list'!$F$2:$F$652,$R72)))</f>
        <v/>
      </c>
      <c r="F72" s="114">
        <f>IF($R72="","",IF(INDEX('_list'!$G$2:$G$652,$R72)="","",INDEX('_list'!$G$2:$G$652,$R72)))</f>
        <v/>
      </c>
      <c r="G72" s="115">
        <f>IF($S72="","",IF(INDEX('_pockets'!$AH:$AH,$S72)="","",INDEX('_pockets'!$AH:$AH,$S72)))</f>
        <v/>
      </c>
      <c r="H72" s="115">
        <f>IF($S72="","",IF(INDEX('_pockets'!$AF:$AF,$S72)="","",INDEX('_pockets'!$AF:$AF,$S72)))</f>
        <v/>
      </c>
      <c r="I72" s="116">
        <f>IF(IF($S72="","",IF(INDEX('_pockets'!$AB:$AB,$S72)="","",INDEX('_pockets'!$AB:$AB,$S72)))="","",IF($S72="","",IF(INDEX('_pockets'!$AB:$AB,$S72)="","",INDEX('_pockets'!$AB:$AB,$S72)))*IF($U$19,100,1))</f>
        <v/>
      </c>
      <c r="J72" s="114">
        <f>IF($S72="","",IF(INDEX('_pockets'!$Z:$Z,$S72)="","",INDEX('_pockets'!$Z:$Z,$S72)))</f>
        <v/>
      </c>
      <c r="K72" s="117">
        <f>IF($R72="","",IF(INDEX('_list'!$K$2:$K$652,$R72)="","",INDEX('_list'!$K$2:$K$652,$R72)))</f>
        <v/>
      </c>
      <c r="L72" s="118">
        <f>IF($S72="","",IF(INDEX('_pockets'!$AC:$AC,$S72)="","",INDEX('_pockets'!$AC:$AC,$S72)))</f>
        <v/>
      </c>
      <c r="M72" s="117">
        <f>IF($R72="","",IF(INDEX('_list'!$L$2:$L$652,$R72)="","",INDEX('_list'!$L$2:$L$652,$R72)))</f>
        <v/>
      </c>
      <c r="N72" s="116">
        <f>IF($R72="","",IF(INDEX('_list'!$H$2:$H$652,$R72)="","",INDEX('_list'!$H$2:$H$652,$R72)))</f>
        <v/>
      </c>
      <c r="O72" s="113">
        <f>IF($R72="","",IF(INDEX('_list'!$I$2:$I$652,$R72)="","",INDEX('_list'!$I$2:$I$652,$R72)))</f>
        <v/>
      </c>
      <c r="R72">
        <f>IFERROR(MATCH(52,'_list'!$N$2:$N$652,0),"")</f>
        <v/>
      </c>
      <c r="S72">
        <f>IF($R72="","",INDEX('_list'!$C$2:$C$652,$R72))</f>
        <v/>
      </c>
    </row>
    <row r="73" ht="16" customHeight="1">
      <c r="B73" s="112">
        <f>IF($R73="","",53)</f>
        <v/>
      </c>
      <c r="C73" s="113">
        <f>IF($R73="","",IF(INDEX('_list'!$D$2:$D$652,$R73)="","",INDEX('_list'!$D$2:$D$652,$R73)))</f>
        <v/>
      </c>
      <c r="D73" s="113">
        <f>IF($R73="","",IF(INDEX('_list'!$E$2:$E$652,$R73)="","",INDEX('_list'!$E$2:$E$652,$R73)))</f>
        <v/>
      </c>
      <c r="E73" s="113">
        <f>IF($R73="","",IF(INDEX('_list'!$F$2:$F$652,$R73)="","",INDEX('_list'!$F$2:$F$652,$R73)))</f>
        <v/>
      </c>
      <c r="F73" s="114">
        <f>IF($R73="","",IF(INDEX('_list'!$G$2:$G$652,$R73)="","",INDEX('_list'!$G$2:$G$652,$R73)))</f>
        <v/>
      </c>
      <c r="G73" s="115">
        <f>IF($S73="","",IF(INDEX('_pockets'!$AH:$AH,$S73)="","",INDEX('_pockets'!$AH:$AH,$S73)))</f>
        <v/>
      </c>
      <c r="H73" s="115">
        <f>IF($S73="","",IF(INDEX('_pockets'!$AF:$AF,$S73)="","",INDEX('_pockets'!$AF:$AF,$S73)))</f>
        <v/>
      </c>
      <c r="I73" s="116">
        <f>IF(IF($S73="","",IF(INDEX('_pockets'!$AB:$AB,$S73)="","",INDEX('_pockets'!$AB:$AB,$S73)))="","",IF($S73="","",IF(INDEX('_pockets'!$AB:$AB,$S73)="","",INDEX('_pockets'!$AB:$AB,$S73)))*IF($U$19,100,1))</f>
        <v/>
      </c>
      <c r="J73" s="114">
        <f>IF($S73="","",IF(INDEX('_pockets'!$Z:$Z,$S73)="","",INDEX('_pockets'!$Z:$Z,$S73)))</f>
        <v/>
      </c>
      <c r="K73" s="117">
        <f>IF($R73="","",IF(INDEX('_list'!$K$2:$K$652,$R73)="","",INDEX('_list'!$K$2:$K$652,$R73)))</f>
        <v/>
      </c>
      <c r="L73" s="118">
        <f>IF($S73="","",IF(INDEX('_pockets'!$AC:$AC,$S73)="","",INDEX('_pockets'!$AC:$AC,$S73)))</f>
        <v/>
      </c>
      <c r="M73" s="117">
        <f>IF($R73="","",IF(INDEX('_list'!$L$2:$L$652,$R73)="","",INDEX('_list'!$L$2:$L$652,$R73)))</f>
        <v/>
      </c>
      <c r="N73" s="116">
        <f>IF($R73="","",IF(INDEX('_list'!$H$2:$H$652,$R73)="","",INDEX('_list'!$H$2:$H$652,$R73)))</f>
        <v/>
      </c>
      <c r="O73" s="113">
        <f>IF($R73="","",IF(INDEX('_list'!$I$2:$I$652,$R73)="","",INDEX('_list'!$I$2:$I$652,$R73)))</f>
        <v/>
      </c>
      <c r="R73">
        <f>IFERROR(MATCH(53,'_list'!$N$2:$N$652,0),"")</f>
        <v/>
      </c>
      <c r="S73">
        <f>IF($R73="","",INDEX('_list'!$C$2:$C$652,$R73))</f>
        <v/>
      </c>
    </row>
    <row r="74" ht="16" customHeight="1">
      <c r="B74" s="112">
        <f>IF($R74="","",54)</f>
        <v/>
      </c>
      <c r="C74" s="113">
        <f>IF($R74="","",IF(INDEX('_list'!$D$2:$D$652,$R74)="","",INDEX('_list'!$D$2:$D$652,$R74)))</f>
        <v/>
      </c>
      <c r="D74" s="113">
        <f>IF($R74="","",IF(INDEX('_list'!$E$2:$E$652,$R74)="","",INDEX('_list'!$E$2:$E$652,$R74)))</f>
        <v/>
      </c>
      <c r="E74" s="113">
        <f>IF($R74="","",IF(INDEX('_list'!$F$2:$F$652,$R74)="","",INDEX('_list'!$F$2:$F$652,$R74)))</f>
        <v/>
      </c>
      <c r="F74" s="114">
        <f>IF($R74="","",IF(INDEX('_list'!$G$2:$G$652,$R74)="","",INDEX('_list'!$G$2:$G$652,$R74)))</f>
        <v/>
      </c>
      <c r="G74" s="115">
        <f>IF($S74="","",IF(INDEX('_pockets'!$AH:$AH,$S74)="","",INDEX('_pockets'!$AH:$AH,$S74)))</f>
        <v/>
      </c>
      <c r="H74" s="115">
        <f>IF($S74="","",IF(INDEX('_pockets'!$AF:$AF,$S74)="","",INDEX('_pockets'!$AF:$AF,$S74)))</f>
        <v/>
      </c>
      <c r="I74" s="116">
        <f>IF(IF($S74="","",IF(INDEX('_pockets'!$AB:$AB,$S74)="","",INDEX('_pockets'!$AB:$AB,$S74)))="","",IF($S74="","",IF(INDEX('_pockets'!$AB:$AB,$S74)="","",INDEX('_pockets'!$AB:$AB,$S74)))*IF($U$19,100,1))</f>
        <v/>
      </c>
      <c r="J74" s="114">
        <f>IF($S74="","",IF(INDEX('_pockets'!$Z:$Z,$S74)="","",INDEX('_pockets'!$Z:$Z,$S74)))</f>
        <v/>
      </c>
      <c r="K74" s="117">
        <f>IF($R74="","",IF(INDEX('_list'!$K$2:$K$652,$R74)="","",INDEX('_list'!$K$2:$K$652,$R74)))</f>
        <v/>
      </c>
      <c r="L74" s="118">
        <f>IF($S74="","",IF(INDEX('_pockets'!$AC:$AC,$S74)="","",INDEX('_pockets'!$AC:$AC,$S74)))</f>
        <v/>
      </c>
      <c r="M74" s="117">
        <f>IF($R74="","",IF(INDEX('_list'!$L$2:$L$652,$R74)="","",INDEX('_list'!$L$2:$L$652,$R74)))</f>
        <v/>
      </c>
      <c r="N74" s="116">
        <f>IF($R74="","",IF(INDEX('_list'!$H$2:$H$652,$R74)="","",INDEX('_list'!$H$2:$H$652,$R74)))</f>
        <v/>
      </c>
      <c r="O74" s="113">
        <f>IF($R74="","",IF(INDEX('_list'!$I$2:$I$652,$R74)="","",INDEX('_list'!$I$2:$I$652,$R74)))</f>
        <v/>
      </c>
      <c r="R74">
        <f>IFERROR(MATCH(54,'_list'!$N$2:$N$652,0),"")</f>
        <v/>
      </c>
      <c r="S74">
        <f>IF($R74="","",INDEX('_list'!$C$2:$C$652,$R74))</f>
        <v/>
      </c>
    </row>
    <row r="75" ht="16" customHeight="1">
      <c r="B75" s="112">
        <f>IF($R75="","",55)</f>
        <v/>
      </c>
      <c r="C75" s="113">
        <f>IF($R75="","",IF(INDEX('_list'!$D$2:$D$652,$R75)="","",INDEX('_list'!$D$2:$D$652,$R75)))</f>
        <v/>
      </c>
      <c r="D75" s="113">
        <f>IF($R75="","",IF(INDEX('_list'!$E$2:$E$652,$R75)="","",INDEX('_list'!$E$2:$E$652,$R75)))</f>
        <v/>
      </c>
      <c r="E75" s="113">
        <f>IF($R75="","",IF(INDEX('_list'!$F$2:$F$652,$R75)="","",INDEX('_list'!$F$2:$F$652,$R75)))</f>
        <v/>
      </c>
      <c r="F75" s="114">
        <f>IF($R75="","",IF(INDEX('_list'!$G$2:$G$652,$R75)="","",INDEX('_list'!$G$2:$G$652,$R75)))</f>
        <v/>
      </c>
      <c r="G75" s="115">
        <f>IF($S75="","",IF(INDEX('_pockets'!$AH:$AH,$S75)="","",INDEX('_pockets'!$AH:$AH,$S75)))</f>
        <v/>
      </c>
      <c r="H75" s="115">
        <f>IF($S75="","",IF(INDEX('_pockets'!$AF:$AF,$S75)="","",INDEX('_pockets'!$AF:$AF,$S75)))</f>
        <v/>
      </c>
      <c r="I75" s="116">
        <f>IF(IF($S75="","",IF(INDEX('_pockets'!$AB:$AB,$S75)="","",INDEX('_pockets'!$AB:$AB,$S75)))="","",IF($S75="","",IF(INDEX('_pockets'!$AB:$AB,$S75)="","",INDEX('_pockets'!$AB:$AB,$S75)))*IF($U$19,100,1))</f>
        <v/>
      </c>
      <c r="J75" s="114">
        <f>IF($S75="","",IF(INDEX('_pockets'!$Z:$Z,$S75)="","",INDEX('_pockets'!$Z:$Z,$S75)))</f>
        <v/>
      </c>
      <c r="K75" s="117">
        <f>IF($R75="","",IF(INDEX('_list'!$K$2:$K$652,$R75)="","",INDEX('_list'!$K$2:$K$652,$R75)))</f>
        <v/>
      </c>
      <c r="L75" s="118">
        <f>IF($S75="","",IF(INDEX('_pockets'!$AC:$AC,$S75)="","",INDEX('_pockets'!$AC:$AC,$S75)))</f>
        <v/>
      </c>
      <c r="M75" s="117">
        <f>IF($R75="","",IF(INDEX('_list'!$L$2:$L$652,$R75)="","",INDEX('_list'!$L$2:$L$652,$R75)))</f>
        <v/>
      </c>
      <c r="N75" s="116">
        <f>IF($R75="","",IF(INDEX('_list'!$H$2:$H$652,$R75)="","",INDEX('_list'!$H$2:$H$652,$R75)))</f>
        <v/>
      </c>
      <c r="O75" s="113">
        <f>IF($R75="","",IF(INDEX('_list'!$I$2:$I$652,$R75)="","",INDEX('_list'!$I$2:$I$652,$R75)))</f>
        <v/>
      </c>
      <c r="R75">
        <f>IFERROR(MATCH(55,'_list'!$N$2:$N$652,0),"")</f>
        <v/>
      </c>
      <c r="S75">
        <f>IF($R75="","",INDEX('_list'!$C$2:$C$652,$R75))</f>
        <v/>
      </c>
    </row>
    <row r="76" ht="16" customHeight="1">
      <c r="B76" s="112">
        <f>IF($R76="","",56)</f>
        <v/>
      </c>
      <c r="C76" s="113">
        <f>IF($R76="","",IF(INDEX('_list'!$D$2:$D$652,$R76)="","",INDEX('_list'!$D$2:$D$652,$R76)))</f>
        <v/>
      </c>
      <c r="D76" s="113">
        <f>IF($R76="","",IF(INDEX('_list'!$E$2:$E$652,$R76)="","",INDEX('_list'!$E$2:$E$652,$R76)))</f>
        <v/>
      </c>
      <c r="E76" s="113">
        <f>IF($R76="","",IF(INDEX('_list'!$F$2:$F$652,$R76)="","",INDEX('_list'!$F$2:$F$652,$R76)))</f>
        <v/>
      </c>
      <c r="F76" s="114">
        <f>IF($R76="","",IF(INDEX('_list'!$G$2:$G$652,$R76)="","",INDEX('_list'!$G$2:$G$652,$R76)))</f>
        <v/>
      </c>
      <c r="G76" s="115">
        <f>IF($S76="","",IF(INDEX('_pockets'!$AH:$AH,$S76)="","",INDEX('_pockets'!$AH:$AH,$S76)))</f>
        <v/>
      </c>
      <c r="H76" s="115">
        <f>IF($S76="","",IF(INDEX('_pockets'!$AF:$AF,$S76)="","",INDEX('_pockets'!$AF:$AF,$S76)))</f>
        <v/>
      </c>
      <c r="I76" s="116">
        <f>IF(IF($S76="","",IF(INDEX('_pockets'!$AB:$AB,$S76)="","",INDEX('_pockets'!$AB:$AB,$S76)))="","",IF($S76="","",IF(INDEX('_pockets'!$AB:$AB,$S76)="","",INDEX('_pockets'!$AB:$AB,$S76)))*IF($U$19,100,1))</f>
        <v/>
      </c>
      <c r="J76" s="114">
        <f>IF($S76="","",IF(INDEX('_pockets'!$Z:$Z,$S76)="","",INDEX('_pockets'!$Z:$Z,$S76)))</f>
        <v/>
      </c>
      <c r="K76" s="117">
        <f>IF($R76="","",IF(INDEX('_list'!$K$2:$K$652,$R76)="","",INDEX('_list'!$K$2:$K$652,$R76)))</f>
        <v/>
      </c>
      <c r="L76" s="118">
        <f>IF($S76="","",IF(INDEX('_pockets'!$AC:$AC,$S76)="","",INDEX('_pockets'!$AC:$AC,$S76)))</f>
        <v/>
      </c>
      <c r="M76" s="117">
        <f>IF($R76="","",IF(INDEX('_list'!$L$2:$L$652,$R76)="","",INDEX('_list'!$L$2:$L$652,$R76)))</f>
        <v/>
      </c>
      <c r="N76" s="116">
        <f>IF($R76="","",IF(INDEX('_list'!$H$2:$H$652,$R76)="","",INDEX('_list'!$H$2:$H$652,$R76)))</f>
        <v/>
      </c>
      <c r="O76" s="113">
        <f>IF($R76="","",IF(INDEX('_list'!$I$2:$I$652,$R76)="","",INDEX('_list'!$I$2:$I$652,$R76)))</f>
        <v/>
      </c>
      <c r="R76">
        <f>IFERROR(MATCH(56,'_list'!$N$2:$N$652,0),"")</f>
        <v/>
      </c>
      <c r="S76">
        <f>IF($R76="","",INDEX('_list'!$C$2:$C$652,$R76))</f>
        <v/>
      </c>
    </row>
    <row r="77" ht="16" customHeight="1">
      <c r="B77" s="112">
        <f>IF($R77="","",57)</f>
        <v/>
      </c>
      <c r="C77" s="113">
        <f>IF($R77="","",IF(INDEX('_list'!$D$2:$D$652,$R77)="","",INDEX('_list'!$D$2:$D$652,$R77)))</f>
        <v/>
      </c>
      <c r="D77" s="113">
        <f>IF($R77="","",IF(INDEX('_list'!$E$2:$E$652,$R77)="","",INDEX('_list'!$E$2:$E$652,$R77)))</f>
        <v/>
      </c>
      <c r="E77" s="113">
        <f>IF($R77="","",IF(INDEX('_list'!$F$2:$F$652,$R77)="","",INDEX('_list'!$F$2:$F$652,$R77)))</f>
        <v/>
      </c>
      <c r="F77" s="114">
        <f>IF($R77="","",IF(INDEX('_list'!$G$2:$G$652,$R77)="","",INDEX('_list'!$G$2:$G$652,$R77)))</f>
        <v/>
      </c>
      <c r="G77" s="115">
        <f>IF($S77="","",IF(INDEX('_pockets'!$AH:$AH,$S77)="","",INDEX('_pockets'!$AH:$AH,$S77)))</f>
        <v/>
      </c>
      <c r="H77" s="115">
        <f>IF($S77="","",IF(INDEX('_pockets'!$AF:$AF,$S77)="","",INDEX('_pockets'!$AF:$AF,$S77)))</f>
        <v/>
      </c>
      <c r="I77" s="116">
        <f>IF(IF($S77="","",IF(INDEX('_pockets'!$AB:$AB,$S77)="","",INDEX('_pockets'!$AB:$AB,$S77)))="","",IF($S77="","",IF(INDEX('_pockets'!$AB:$AB,$S77)="","",INDEX('_pockets'!$AB:$AB,$S77)))*IF($U$19,100,1))</f>
        <v/>
      </c>
      <c r="J77" s="114">
        <f>IF($S77="","",IF(INDEX('_pockets'!$Z:$Z,$S77)="","",INDEX('_pockets'!$Z:$Z,$S77)))</f>
        <v/>
      </c>
      <c r="K77" s="117">
        <f>IF($R77="","",IF(INDEX('_list'!$K$2:$K$652,$R77)="","",INDEX('_list'!$K$2:$K$652,$R77)))</f>
        <v/>
      </c>
      <c r="L77" s="118">
        <f>IF($S77="","",IF(INDEX('_pockets'!$AC:$AC,$S77)="","",INDEX('_pockets'!$AC:$AC,$S77)))</f>
        <v/>
      </c>
      <c r="M77" s="117">
        <f>IF($R77="","",IF(INDEX('_list'!$L$2:$L$652,$R77)="","",INDEX('_list'!$L$2:$L$652,$R77)))</f>
        <v/>
      </c>
      <c r="N77" s="116">
        <f>IF($R77="","",IF(INDEX('_list'!$H$2:$H$652,$R77)="","",INDEX('_list'!$H$2:$H$652,$R77)))</f>
        <v/>
      </c>
      <c r="O77" s="113">
        <f>IF($R77="","",IF(INDEX('_list'!$I$2:$I$652,$R77)="","",INDEX('_list'!$I$2:$I$652,$R77)))</f>
        <v/>
      </c>
      <c r="R77">
        <f>IFERROR(MATCH(57,'_list'!$N$2:$N$652,0),"")</f>
        <v/>
      </c>
      <c r="S77">
        <f>IF($R77="","",INDEX('_list'!$C$2:$C$652,$R77))</f>
        <v/>
      </c>
    </row>
    <row r="78" ht="16" customHeight="1">
      <c r="B78" s="112">
        <f>IF($R78="","",58)</f>
        <v/>
      </c>
      <c r="C78" s="113">
        <f>IF($R78="","",IF(INDEX('_list'!$D$2:$D$652,$R78)="","",INDEX('_list'!$D$2:$D$652,$R78)))</f>
        <v/>
      </c>
      <c r="D78" s="113">
        <f>IF($R78="","",IF(INDEX('_list'!$E$2:$E$652,$R78)="","",INDEX('_list'!$E$2:$E$652,$R78)))</f>
        <v/>
      </c>
      <c r="E78" s="113">
        <f>IF($R78="","",IF(INDEX('_list'!$F$2:$F$652,$R78)="","",INDEX('_list'!$F$2:$F$652,$R78)))</f>
        <v/>
      </c>
      <c r="F78" s="114">
        <f>IF($R78="","",IF(INDEX('_list'!$G$2:$G$652,$R78)="","",INDEX('_list'!$G$2:$G$652,$R78)))</f>
        <v/>
      </c>
      <c r="G78" s="115">
        <f>IF($S78="","",IF(INDEX('_pockets'!$AH:$AH,$S78)="","",INDEX('_pockets'!$AH:$AH,$S78)))</f>
        <v/>
      </c>
      <c r="H78" s="115">
        <f>IF($S78="","",IF(INDEX('_pockets'!$AF:$AF,$S78)="","",INDEX('_pockets'!$AF:$AF,$S78)))</f>
        <v/>
      </c>
      <c r="I78" s="116">
        <f>IF(IF($S78="","",IF(INDEX('_pockets'!$AB:$AB,$S78)="","",INDEX('_pockets'!$AB:$AB,$S78)))="","",IF($S78="","",IF(INDEX('_pockets'!$AB:$AB,$S78)="","",INDEX('_pockets'!$AB:$AB,$S78)))*IF($U$19,100,1))</f>
        <v/>
      </c>
      <c r="J78" s="114">
        <f>IF($S78="","",IF(INDEX('_pockets'!$Z:$Z,$S78)="","",INDEX('_pockets'!$Z:$Z,$S78)))</f>
        <v/>
      </c>
      <c r="K78" s="117">
        <f>IF($R78="","",IF(INDEX('_list'!$K$2:$K$652,$R78)="","",INDEX('_list'!$K$2:$K$652,$R78)))</f>
        <v/>
      </c>
      <c r="L78" s="118">
        <f>IF($S78="","",IF(INDEX('_pockets'!$AC:$AC,$S78)="","",INDEX('_pockets'!$AC:$AC,$S78)))</f>
        <v/>
      </c>
      <c r="M78" s="117">
        <f>IF($R78="","",IF(INDEX('_list'!$L$2:$L$652,$R78)="","",INDEX('_list'!$L$2:$L$652,$R78)))</f>
        <v/>
      </c>
      <c r="N78" s="116">
        <f>IF($R78="","",IF(INDEX('_list'!$H$2:$H$652,$R78)="","",INDEX('_list'!$H$2:$H$652,$R78)))</f>
        <v/>
      </c>
      <c r="O78" s="113">
        <f>IF($R78="","",IF(INDEX('_list'!$I$2:$I$652,$R78)="","",INDEX('_list'!$I$2:$I$652,$R78)))</f>
        <v/>
      </c>
      <c r="R78">
        <f>IFERROR(MATCH(58,'_list'!$N$2:$N$652,0),"")</f>
        <v/>
      </c>
      <c r="S78">
        <f>IF($R78="","",INDEX('_list'!$C$2:$C$652,$R78))</f>
        <v/>
      </c>
    </row>
    <row r="79" ht="16" customHeight="1">
      <c r="B79" s="112">
        <f>IF($R79="","",59)</f>
        <v/>
      </c>
      <c r="C79" s="113">
        <f>IF($R79="","",IF(INDEX('_list'!$D$2:$D$652,$R79)="","",INDEX('_list'!$D$2:$D$652,$R79)))</f>
        <v/>
      </c>
      <c r="D79" s="113">
        <f>IF($R79="","",IF(INDEX('_list'!$E$2:$E$652,$R79)="","",INDEX('_list'!$E$2:$E$652,$R79)))</f>
        <v/>
      </c>
      <c r="E79" s="113">
        <f>IF($R79="","",IF(INDEX('_list'!$F$2:$F$652,$R79)="","",INDEX('_list'!$F$2:$F$652,$R79)))</f>
        <v/>
      </c>
      <c r="F79" s="114">
        <f>IF($R79="","",IF(INDEX('_list'!$G$2:$G$652,$R79)="","",INDEX('_list'!$G$2:$G$652,$R79)))</f>
        <v/>
      </c>
      <c r="G79" s="115">
        <f>IF($S79="","",IF(INDEX('_pockets'!$AH:$AH,$S79)="","",INDEX('_pockets'!$AH:$AH,$S79)))</f>
        <v/>
      </c>
      <c r="H79" s="115">
        <f>IF($S79="","",IF(INDEX('_pockets'!$AF:$AF,$S79)="","",INDEX('_pockets'!$AF:$AF,$S79)))</f>
        <v/>
      </c>
      <c r="I79" s="116">
        <f>IF(IF($S79="","",IF(INDEX('_pockets'!$AB:$AB,$S79)="","",INDEX('_pockets'!$AB:$AB,$S79)))="","",IF($S79="","",IF(INDEX('_pockets'!$AB:$AB,$S79)="","",INDEX('_pockets'!$AB:$AB,$S79)))*IF($U$19,100,1))</f>
        <v/>
      </c>
      <c r="J79" s="114">
        <f>IF($S79="","",IF(INDEX('_pockets'!$Z:$Z,$S79)="","",INDEX('_pockets'!$Z:$Z,$S79)))</f>
        <v/>
      </c>
      <c r="K79" s="117">
        <f>IF($R79="","",IF(INDEX('_list'!$K$2:$K$652,$R79)="","",INDEX('_list'!$K$2:$K$652,$R79)))</f>
        <v/>
      </c>
      <c r="L79" s="118">
        <f>IF($S79="","",IF(INDEX('_pockets'!$AC:$AC,$S79)="","",INDEX('_pockets'!$AC:$AC,$S79)))</f>
        <v/>
      </c>
      <c r="M79" s="117">
        <f>IF($R79="","",IF(INDEX('_list'!$L$2:$L$652,$R79)="","",INDEX('_list'!$L$2:$L$652,$R79)))</f>
        <v/>
      </c>
      <c r="N79" s="116">
        <f>IF($R79="","",IF(INDEX('_list'!$H$2:$H$652,$R79)="","",INDEX('_list'!$H$2:$H$652,$R79)))</f>
        <v/>
      </c>
      <c r="O79" s="113">
        <f>IF($R79="","",IF(INDEX('_list'!$I$2:$I$652,$R79)="","",INDEX('_list'!$I$2:$I$652,$R79)))</f>
        <v/>
      </c>
      <c r="R79">
        <f>IFERROR(MATCH(59,'_list'!$N$2:$N$652,0),"")</f>
        <v/>
      </c>
      <c r="S79">
        <f>IF($R79="","",INDEX('_list'!$C$2:$C$652,$R79))</f>
        <v/>
      </c>
    </row>
    <row r="80" ht="16" customHeight="1">
      <c r="B80" s="112">
        <f>IF($R80="","",60)</f>
        <v/>
      </c>
      <c r="C80" s="113">
        <f>IF($R80="","",IF(INDEX('_list'!$D$2:$D$652,$R80)="","",INDEX('_list'!$D$2:$D$652,$R80)))</f>
        <v/>
      </c>
      <c r="D80" s="113">
        <f>IF($R80="","",IF(INDEX('_list'!$E$2:$E$652,$R80)="","",INDEX('_list'!$E$2:$E$652,$R80)))</f>
        <v/>
      </c>
      <c r="E80" s="113">
        <f>IF($R80="","",IF(INDEX('_list'!$F$2:$F$652,$R80)="","",INDEX('_list'!$F$2:$F$652,$R80)))</f>
        <v/>
      </c>
      <c r="F80" s="114">
        <f>IF($R80="","",IF(INDEX('_list'!$G$2:$G$652,$R80)="","",INDEX('_list'!$G$2:$G$652,$R80)))</f>
        <v/>
      </c>
      <c r="G80" s="115">
        <f>IF($S80="","",IF(INDEX('_pockets'!$AH:$AH,$S80)="","",INDEX('_pockets'!$AH:$AH,$S80)))</f>
        <v/>
      </c>
      <c r="H80" s="115">
        <f>IF($S80="","",IF(INDEX('_pockets'!$AF:$AF,$S80)="","",INDEX('_pockets'!$AF:$AF,$S80)))</f>
        <v/>
      </c>
      <c r="I80" s="116">
        <f>IF(IF($S80="","",IF(INDEX('_pockets'!$AB:$AB,$S80)="","",INDEX('_pockets'!$AB:$AB,$S80)))="","",IF($S80="","",IF(INDEX('_pockets'!$AB:$AB,$S80)="","",INDEX('_pockets'!$AB:$AB,$S80)))*IF($U$19,100,1))</f>
        <v/>
      </c>
      <c r="J80" s="114">
        <f>IF($S80="","",IF(INDEX('_pockets'!$Z:$Z,$S80)="","",INDEX('_pockets'!$Z:$Z,$S80)))</f>
        <v/>
      </c>
      <c r="K80" s="117">
        <f>IF($R80="","",IF(INDEX('_list'!$K$2:$K$652,$R80)="","",INDEX('_list'!$K$2:$K$652,$R80)))</f>
        <v/>
      </c>
      <c r="L80" s="118">
        <f>IF($S80="","",IF(INDEX('_pockets'!$AC:$AC,$S80)="","",INDEX('_pockets'!$AC:$AC,$S80)))</f>
        <v/>
      </c>
      <c r="M80" s="117">
        <f>IF($R80="","",IF(INDEX('_list'!$L$2:$L$652,$R80)="","",INDEX('_list'!$L$2:$L$652,$R80)))</f>
        <v/>
      </c>
      <c r="N80" s="116">
        <f>IF($R80="","",IF(INDEX('_list'!$H$2:$H$652,$R80)="","",INDEX('_list'!$H$2:$H$652,$R80)))</f>
        <v/>
      </c>
      <c r="O80" s="113">
        <f>IF($R80="","",IF(INDEX('_list'!$I$2:$I$652,$R80)="","",INDEX('_list'!$I$2:$I$652,$R80)))</f>
        <v/>
      </c>
      <c r="R80">
        <f>IFERROR(MATCH(60,'_list'!$N$2:$N$652,0),"")</f>
        <v/>
      </c>
      <c r="S80">
        <f>IF($R80="","",INDEX('_list'!$C$2:$C$652,$R80))</f>
        <v/>
      </c>
    </row>
    <row r="81" ht="16" customHeight="1">
      <c r="B81" s="112">
        <f>IF($R81="","",61)</f>
        <v/>
      </c>
      <c r="C81" s="113">
        <f>IF($R81="","",IF(INDEX('_list'!$D$2:$D$652,$R81)="","",INDEX('_list'!$D$2:$D$652,$R81)))</f>
        <v/>
      </c>
      <c r="D81" s="113">
        <f>IF($R81="","",IF(INDEX('_list'!$E$2:$E$652,$R81)="","",INDEX('_list'!$E$2:$E$652,$R81)))</f>
        <v/>
      </c>
      <c r="E81" s="113">
        <f>IF($R81="","",IF(INDEX('_list'!$F$2:$F$652,$R81)="","",INDEX('_list'!$F$2:$F$652,$R81)))</f>
        <v/>
      </c>
      <c r="F81" s="114">
        <f>IF($R81="","",IF(INDEX('_list'!$G$2:$G$652,$R81)="","",INDEX('_list'!$G$2:$G$652,$R81)))</f>
        <v/>
      </c>
      <c r="G81" s="115">
        <f>IF($S81="","",IF(INDEX('_pockets'!$AH:$AH,$S81)="","",INDEX('_pockets'!$AH:$AH,$S81)))</f>
        <v/>
      </c>
      <c r="H81" s="115">
        <f>IF($S81="","",IF(INDEX('_pockets'!$AF:$AF,$S81)="","",INDEX('_pockets'!$AF:$AF,$S81)))</f>
        <v/>
      </c>
      <c r="I81" s="116">
        <f>IF(IF($S81="","",IF(INDEX('_pockets'!$AB:$AB,$S81)="","",INDEX('_pockets'!$AB:$AB,$S81)))="","",IF($S81="","",IF(INDEX('_pockets'!$AB:$AB,$S81)="","",INDEX('_pockets'!$AB:$AB,$S81)))*IF($U$19,100,1))</f>
        <v/>
      </c>
      <c r="J81" s="114">
        <f>IF($S81="","",IF(INDEX('_pockets'!$Z:$Z,$S81)="","",INDEX('_pockets'!$Z:$Z,$S81)))</f>
        <v/>
      </c>
      <c r="K81" s="117">
        <f>IF($R81="","",IF(INDEX('_list'!$K$2:$K$652,$R81)="","",INDEX('_list'!$K$2:$K$652,$R81)))</f>
        <v/>
      </c>
      <c r="L81" s="118">
        <f>IF($S81="","",IF(INDEX('_pockets'!$AC:$AC,$S81)="","",INDEX('_pockets'!$AC:$AC,$S81)))</f>
        <v/>
      </c>
      <c r="M81" s="117">
        <f>IF($R81="","",IF(INDEX('_list'!$L$2:$L$652,$R81)="","",INDEX('_list'!$L$2:$L$652,$R81)))</f>
        <v/>
      </c>
      <c r="N81" s="116">
        <f>IF($R81="","",IF(INDEX('_list'!$H$2:$H$652,$R81)="","",INDEX('_list'!$H$2:$H$652,$R81)))</f>
        <v/>
      </c>
      <c r="O81" s="113">
        <f>IF($R81="","",IF(INDEX('_list'!$I$2:$I$652,$R81)="","",INDEX('_list'!$I$2:$I$652,$R81)))</f>
        <v/>
      </c>
      <c r="R81">
        <f>IFERROR(MATCH(61,'_list'!$N$2:$N$652,0),"")</f>
        <v/>
      </c>
      <c r="S81">
        <f>IF($R81="","",INDEX('_list'!$C$2:$C$652,$R81))</f>
        <v/>
      </c>
    </row>
    <row r="82" ht="16" customHeight="1">
      <c r="B82" s="112">
        <f>IF($R82="","",62)</f>
        <v/>
      </c>
      <c r="C82" s="113">
        <f>IF($R82="","",IF(INDEX('_list'!$D$2:$D$652,$R82)="","",INDEX('_list'!$D$2:$D$652,$R82)))</f>
        <v/>
      </c>
      <c r="D82" s="113">
        <f>IF($R82="","",IF(INDEX('_list'!$E$2:$E$652,$R82)="","",INDEX('_list'!$E$2:$E$652,$R82)))</f>
        <v/>
      </c>
      <c r="E82" s="113">
        <f>IF($R82="","",IF(INDEX('_list'!$F$2:$F$652,$R82)="","",INDEX('_list'!$F$2:$F$652,$R82)))</f>
        <v/>
      </c>
      <c r="F82" s="114">
        <f>IF($R82="","",IF(INDEX('_list'!$G$2:$G$652,$R82)="","",INDEX('_list'!$G$2:$G$652,$R82)))</f>
        <v/>
      </c>
      <c r="G82" s="115">
        <f>IF($S82="","",IF(INDEX('_pockets'!$AH:$AH,$S82)="","",INDEX('_pockets'!$AH:$AH,$S82)))</f>
        <v/>
      </c>
      <c r="H82" s="115">
        <f>IF($S82="","",IF(INDEX('_pockets'!$AF:$AF,$S82)="","",INDEX('_pockets'!$AF:$AF,$S82)))</f>
        <v/>
      </c>
      <c r="I82" s="116">
        <f>IF(IF($S82="","",IF(INDEX('_pockets'!$AB:$AB,$S82)="","",INDEX('_pockets'!$AB:$AB,$S82)))="","",IF($S82="","",IF(INDEX('_pockets'!$AB:$AB,$S82)="","",INDEX('_pockets'!$AB:$AB,$S82)))*IF($U$19,100,1))</f>
        <v/>
      </c>
      <c r="J82" s="114">
        <f>IF($S82="","",IF(INDEX('_pockets'!$Z:$Z,$S82)="","",INDEX('_pockets'!$Z:$Z,$S82)))</f>
        <v/>
      </c>
      <c r="K82" s="117">
        <f>IF($R82="","",IF(INDEX('_list'!$K$2:$K$652,$R82)="","",INDEX('_list'!$K$2:$K$652,$R82)))</f>
        <v/>
      </c>
      <c r="L82" s="118">
        <f>IF($S82="","",IF(INDEX('_pockets'!$AC:$AC,$S82)="","",INDEX('_pockets'!$AC:$AC,$S82)))</f>
        <v/>
      </c>
      <c r="M82" s="117">
        <f>IF($R82="","",IF(INDEX('_list'!$L$2:$L$652,$R82)="","",INDEX('_list'!$L$2:$L$652,$R82)))</f>
        <v/>
      </c>
      <c r="N82" s="116">
        <f>IF($R82="","",IF(INDEX('_list'!$H$2:$H$652,$R82)="","",INDEX('_list'!$H$2:$H$652,$R82)))</f>
        <v/>
      </c>
      <c r="O82" s="113">
        <f>IF($R82="","",IF(INDEX('_list'!$I$2:$I$652,$R82)="","",INDEX('_list'!$I$2:$I$652,$R82)))</f>
        <v/>
      </c>
      <c r="R82">
        <f>IFERROR(MATCH(62,'_list'!$N$2:$N$652,0),"")</f>
        <v/>
      </c>
      <c r="S82">
        <f>IF($R82="","",INDEX('_list'!$C$2:$C$652,$R82))</f>
        <v/>
      </c>
    </row>
    <row r="83" ht="16" customHeight="1">
      <c r="B83" s="112">
        <f>IF($R83="","",63)</f>
        <v/>
      </c>
      <c r="C83" s="113">
        <f>IF($R83="","",IF(INDEX('_list'!$D$2:$D$652,$R83)="","",INDEX('_list'!$D$2:$D$652,$R83)))</f>
        <v/>
      </c>
      <c r="D83" s="113">
        <f>IF($R83="","",IF(INDEX('_list'!$E$2:$E$652,$R83)="","",INDEX('_list'!$E$2:$E$652,$R83)))</f>
        <v/>
      </c>
      <c r="E83" s="113">
        <f>IF($R83="","",IF(INDEX('_list'!$F$2:$F$652,$R83)="","",INDEX('_list'!$F$2:$F$652,$R83)))</f>
        <v/>
      </c>
      <c r="F83" s="114">
        <f>IF($R83="","",IF(INDEX('_list'!$G$2:$G$652,$R83)="","",INDEX('_list'!$G$2:$G$652,$R83)))</f>
        <v/>
      </c>
      <c r="G83" s="115">
        <f>IF($S83="","",IF(INDEX('_pockets'!$AH:$AH,$S83)="","",INDEX('_pockets'!$AH:$AH,$S83)))</f>
        <v/>
      </c>
      <c r="H83" s="115">
        <f>IF($S83="","",IF(INDEX('_pockets'!$AF:$AF,$S83)="","",INDEX('_pockets'!$AF:$AF,$S83)))</f>
        <v/>
      </c>
      <c r="I83" s="116">
        <f>IF(IF($S83="","",IF(INDEX('_pockets'!$AB:$AB,$S83)="","",INDEX('_pockets'!$AB:$AB,$S83)))="","",IF($S83="","",IF(INDEX('_pockets'!$AB:$AB,$S83)="","",INDEX('_pockets'!$AB:$AB,$S83)))*IF($U$19,100,1))</f>
        <v/>
      </c>
      <c r="J83" s="114">
        <f>IF($S83="","",IF(INDEX('_pockets'!$Z:$Z,$S83)="","",INDEX('_pockets'!$Z:$Z,$S83)))</f>
        <v/>
      </c>
      <c r="K83" s="117">
        <f>IF($R83="","",IF(INDEX('_list'!$K$2:$K$652,$R83)="","",INDEX('_list'!$K$2:$K$652,$R83)))</f>
        <v/>
      </c>
      <c r="L83" s="118">
        <f>IF($S83="","",IF(INDEX('_pockets'!$AC:$AC,$S83)="","",INDEX('_pockets'!$AC:$AC,$S83)))</f>
        <v/>
      </c>
      <c r="M83" s="117">
        <f>IF($R83="","",IF(INDEX('_list'!$L$2:$L$652,$R83)="","",INDEX('_list'!$L$2:$L$652,$R83)))</f>
        <v/>
      </c>
      <c r="N83" s="116">
        <f>IF($R83="","",IF(INDEX('_list'!$H$2:$H$652,$R83)="","",INDEX('_list'!$H$2:$H$652,$R83)))</f>
        <v/>
      </c>
      <c r="O83" s="113">
        <f>IF($R83="","",IF(INDEX('_list'!$I$2:$I$652,$R83)="","",INDEX('_list'!$I$2:$I$652,$R83)))</f>
        <v/>
      </c>
      <c r="R83">
        <f>IFERROR(MATCH(63,'_list'!$N$2:$N$652,0),"")</f>
        <v/>
      </c>
      <c r="S83">
        <f>IF($R83="","",INDEX('_list'!$C$2:$C$652,$R83))</f>
        <v/>
      </c>
    </row>
    <row r="84" ht="16" customHeight="1">
      <c r="B84" s="112">
        <f>IF($R84="","",64)</f>
        <v/>
      </c>
      <c r="C84" s="113">
        <f>IF($R84="","",IF(INDEX('_list'!$D$2:$D$652,$R84)="","",INDEX('_list'!$D$2:$D$652,$R84)))</f>
        <v/>
      </c>
      <c r="D84" s="113">
        <f>IF($R84="","",IF(INDEX('_list'!$E$2:$E$652,$R84)="","",INDEX('_list'!$E$2:$E$652,$R84)))</f>
        <v/>
      </c>
      <c r="E84" s="113">
        <f>IF($R84="","",IF(INDEX('_list'!$F$2:$F$652,$R84)="","",INDEX('_list'!$F$2:$F$652,$R84)))</f>
        <v/>
      </c>
      <c r="F84" s="114">
        <f>IF($R84="","",IF(INDEX('_list'!$G$2:$G$652,$R84)="","",INDEX('_list'!$G$2:$G$652,$R84)))</f>
        <v/>
      </c>
      <c r="G84" s="115">
        <f>IF($S84="","",IF(INDEX('_pockets'!$AH:$AH,$S84)="","",INDEX('_pockets'!$AH:$AH,$S84)))</f>
        <v/>
      </c>
      <c r="H84" s="115">
        <f>IF($S84="","",IF(INDEX('_pockets'!$AF:$AF,$S84)="","",INDEX('_pockets'!$AF:$AF,$S84)))</f>
        <v/>
      </c>
      <c r="I84" s="116">
        <f>IF(IF($S84="","",IF(INDEX('_pockets'!$AB:$AB,$S84)="","",INDEX('_pockets'!$AB:$AB,$S84)))="","",IF($S84="","",IF(INDEX('_pockets'!$AB:$AB,$S84)="","",INDEX('_pockets'!$AB:$AB,$S84)))*IF($U$19,100,1))</f>
        <v/>
      </c>
      <c r="J84" s="114">
        <f>IF($S84="","",IF(INDEX('_pockets'!$Z:$Z,$S84)="","",INDEX('_pockets'!$Z:$Z,$S84)))</f>
        <v/>
      </c>
      <c r="K84" s="117">
        <f>IF($R84="","",IF(INDEX('_list'!$K$2:$K$652,$R84)="","",INDEX('_list'!$K$2:$K$652,$R84)))</f>
        <v/>
      </c>
      <c r="L84" s="118">
        <f>IF($S84="","",IF(INDEX('_pockets'!$AC:$AC,$S84)="","",INDEX('_pockets'!$AC:$AC,$S84)))</f>
        <v/>
      </c>
      <c r="M84" s="117">
        <f>IF($R84="","",IF(INDEX('_list'!$L$2:$L$652,$R84)="","",INDEX('_list'!$L$2:$L$652,$R84)))</f>
        <v/>
      </c>
      <c r="N84" s="116">
        <f>IF($R84="","",IF(INDEX('_list'!$H$2:$H$652,$R84)="","",INDEX('_list'!$H$2:$H$652,$R84)))</f>
        <v/>
      </c>
      <c r="O84" s="113">
        <f>IF($R84="","",IF(INDEX('_list'!$I$2:$I$652,$R84)="","",INDEX('_list'!$I$2:$I$652,$R84)))</f>
        <v/>
      </c>
      <c r="R84">
        <f>IFERROR(MATCH(64,'_list'!$N$2:$N$652,0),"")</f>
        <v/>
      </c>
      <c r="S84">
        <f>IF($R84="","",INDEX('_list'!$C$2:$C$652,$R84))</f>
        <v/>
      </c>
    </row>
    <row r="85" ht="16" customHeight="1">
      <c r="B85" s="112">
        <f>IF($R85="","",65)</f>
        <v/>
      </c>
      <c r="C85" s="113">
        <f>IF($R85="","",IF(INDEX('_list'!$D$2:$D$652,$R85)="","",INDEX('_list'!$D$2:$D$652,$R85)))</f>
        <v/>
      </c>
      <c r="D85" s="113">
        <f>IF($R85="","",IF(INDEX('_list'!$E$2:$E$652,$R85)="","",INDEX('_list'!$E$2:$E$652,$R85)))</f>
        <v/>
      </c>
      <c r="E85" s="113">
        <f>IF($R85="","",IF(INDEX('_list'!$F$2:$F$652,$R85)="","",INDEX('_list'!$F$2:$F$652,$R85)))</f>
        <v/>
      </c>
      <c r="F85" s="114">
        <f>IF($R85="","",IF(INDEX('_list'!$G$2:$G$652,$R85)="","",INDEX('_list'!$G$2:$G$652,$R85)))</f>
        <v/>
      </c>
      <c r="G85" s="115">
        <f>IF($S85="","",IF(INDEX('_pockets'!$AH:$AH,$S85)="","",INDEX('_pockets'!$AH:$AH,$S85)))</f>
        <v/>
      </c>
      <c r="H85" s="115">
        <f>IF($S85="","",IF(INDEX('_pockets'!$AF:$AF,$S85)="","",INDEX('_pockets'!$AF:$AF,$S85)))</f>
        <v/>
      </c>
      <c r="I85" s="116">
        <f>IF(IF($S85="","",IF(INDEX('_pockets'!$AB:$AB,$S85)="","",INDEX('_pockets'!$AB:$AB,$S85)))="","",IF($S85="","",IF(INDEX('_pockets'!$AB:$AB,$S85)="","",INDEX('_pockets'!$AB:$AB,$S85)))*IF($U$19,100,1))</f>
        <v/>
      </c>
      <c r="J85" s="114">
        <f>IF($S85="","",IF(INDEX('_pockets'!$Z:$Z,$S85)="","",INDEX('_pockets'!$Z:$Z,$S85)))</f>
        <v/>
      </c>
      <c r="K85" s="117">
        <f>IF($R85="","",IF(INDEX('_list'!$K$2:$K$652,$R85)="","",INDEX('_list'!$K$2:$K$652,$R85)))</f>
        <v/>
      </c>
      <c r="L85" s="118">
        <f>IF($S85="","",IF(INDEX('_pockets'!$AC:$AC,$S85)="","",INDEX('_pockets'!$AC:$AC,$S85)))</f>
        <v/>
      </c>
      <c r="M85" s="117">
        <f>IF($R85="","",IF(INDEX('_list'!$L$2:$L$652,$R85)="","",INDEX('_list'!$L$2:$L$652,$R85)))</f>
        <v/>
      </c>
      <c r="N85" s="116">
        <f>IF($R85="","",IF(INDEX('_list'!$H$2:$H$652,$R85)="","",INDEX('_list'!$H$2:$H$652,$R85)))</f>
        <v/>
      </c>
      <c r="O85" s="113">
        <f>IF($R85="","",IF(INDEX('_list'!$I$2:$I$652,$R85)="","",INDEX('_list'!$I$2:$I$652,$R85)))</f>
        <v/>
      </c>
      <c r="R85">
        <f>IFERROR(MATCH(65,'_list'!$N$2:$N$652,0),"")</f>
        <v/>
      </c>
      <c r="S85">
        <f>IF($R85="","",INDEX('_list'!$C$2:$C$652,$R85))</f>
        <v/>
      </c>
    </row>
    <row r="86" ht="16" customHeight="1">
      <c r="B86" s="112">
        <f>IF($R86="","",66)</f>
        <v/>
      </c>
      <c r="C86" s="113">
        <f>IF($R86="","",IF(INDEX('_list'!$D$2:$D$652,$R86)="","",INDEX('_list'!$D$2:$D$652,$R86)))</f>
        <v/>
      </c>
      <c r="D86" s="113">
        <f>IF($R86="","",IF(INDEX('_list'!$E$2:$E$652,$R86)="","",INDEX('_list'!$E$2:$E$652,$R86)))</f>
        <v/>
      </c>
      <c r="E86" s="113">
        <f>IF($R86="","",IF(INDEX('_list'!$F$2:$F$652,$R86)="","",INDEX('_list'!$F$2:$F$652,$R86)))</f>
        <v/>
      </c>
      <c r="F86" s="114">
        <f>IF($R86="","",IF(INDEX('_list'!$G$2:$G$652,$R86)="","",INDEX('_list'!$G$2:$G$652,$R86)))</f>
        <v/>
      </c>
      <c r="G86" s="115">
        <f>IF($S86="","",IF(INDEX('_pockets'!$AH:$AH,$S86)="","",INDEX('_pockets'!$AH:$AH,$S86)))</f>
        <v/>
      </c>
      <c r="H86" s="115">
        <f>IF($S86="","",IF(INDEX('_pockets'!$AF:$AF,$S86)="","",INDEX('_pockets'!$AF:$AF,$S86)))</f>
        <v/>
      </c>
      <c r="I86" s="116">
        <f>IF(IF($S86="","",IF(INDEX('_pockets'!$AB:$AB,$S86)="","",INDEX('_pockets'!$AB:$AB,$S86)))="","",IF($S86="","",IF(INDEX('_pockets'!$AB:$AB,$S86)="","",INDEX('_pockets'!$AB:$AB,$S86)))*IF($U$19,100,1))</f>
        <v/>
      </c>
      <c r="J86" s="114">
        <f>IF($S86="","",IF(INDEX('_pockets'!$Z:$Z,$S86)="","",INDEX('_pockets'!$Z:$Z,$S86)))</f>
        <v/>
      </c>
      <c r="K86" s="117">
        <f>IF($R86="","",IF(INDEX('_list'!$K$2:$K$652,$R86)="","",INDEX('_list'!$K$2:$K$652,$R86)))</f>
        <v/>
      </c>
      <c r="L86" s="118">
        <f>IF($S86="","",IF(INDEX('_pockets'!$AC:$AC,$S86)="","",INDEX('_pockets'!$AC:$AC,$S86)))</f>
        <v/>
      </c>
      <c r="M86" s="117">
        <f>IF($R86="","",IF(INDEX('_list'!$L$2:$L$652,$R86)="","",INDEX('_list'!$L$2:$L$652,$R86)))</f>
        <v/>
      </c>
      <c r="N86" s="116">
        <f>IF($R86="","",IF(INDEX('_list'!$H$2:$H$652,$R86)="","",INDEX('_list'!$H$2:$H$652,$R86)))</f>
        <v/>
      </c>
      <c r="O86" s="113">
        <f>IF($R86="","",IF(INDEX('_list'!$I$2:$I$652,$R86)="","",INDEX('_list'!$I$2:$I$652,$R86)))</f>
        <v/>
      </c>
      <c r="R86">
        <f>IFERROR(MATCH(66,'_list'!$N$2:$N$652,0),"")</f>
        <v/>
      </c>
      <c r="S86">
        <f>IF($R86="","",INDEX('_list'!$C$2:$C$652,$R86))</f>
        <v/>
      </c>
    </row>
    <row r="87" ht="16" customHeight="1">
      <c r="B87" s="112">
        <f>IF($R87="","",67)</f>
        <v/>
      </c>
      <c r="C87" s="113">
        <f>IF($R87="","",IF(INDEX('_list'!$D$2:$D$652,$R87)="","",INDEX('_list'!$D$2:$D$652,$R87)))</f>
        <v/>
      </c>
      <c r="D87" s="113">
        <f>IF($R87="","",IF(INDEX('_list'!$E$2:$E$652,$R87)="","",INDEX('_list'!$E$2:$E$652,$R87)))</f>
        <v/>
      </c>
      <c r="E87" s="113">
        <f>IF($R87="","",IF(INDEX('_list'!$F$2:$F$652,$R87)="","",INDEX('_list'!$F$2:$F$652,$R87)))</f>
        <v/>
      </c>
      <c r="F87" s="114">
        <f>IF($R87="","",IF(INDEX('_list'!$G$2:$G$652,$R87)="","",INDEX('_list'!$G$2:$G$652,$R87)))</f>
        <v/>
      </c>
      <c r="G87" s="115">
        <f>IF($S87="","",IF(INDEX('_pockets'!$AH:$AH,$S87)="","",INDEX('_pockets'!$AH:$AH,$S87)))</f>
        <v/>
      </c>
      <c r="H87" s="115">
        <f>IF($S87="","",IF(INDEX('_pockets'!$AF:$AF,$S87)="","",INDEX('_pockets'!$AF:$AF,$S87)))</f>
        <v/>
      </c>
      <c r="I87" s="116">
        <f>IF(IF($S87="","",IF(INDEX('_pockets'!$AB:$AB,$S87)="","",INDEX('_pockets'!$AB:$AB,$S87)))="","",IF($S87="","",IF(INDEX('_pockets'!$AB:$AB,$S87)="","",INDEX('_pockets'!$AB:$AB,$S87)))*IF($U$19,100,1))</f>
        <v/>
      </c>
      <c r="J87" s="114">
        <f>IF($S87="","",IF(INDEX('_pockets'!$Z:$Z,$S87)="","",INDEX('_pockets'!$Z:$Z,$S87)))</f>
        <v/>
      </c>
      <c r="K87" s="117">
        <f>IF($R87="","",IF(INDEX('_list'!$K$2:$K$652,$R87)="","",INDEX('_list'!$K$2:$K$652,$R87)))</f>
        <v/>
      </c>
      <c r="L87" s="118">
        <f>IF($S87="","",IF(INDEX('_pockets'!$AC:$AC,$S87)="","",INDEX('_pockets'!$AC:$AC,$S87)))</f>
        <v/>
      </c>
      <c r="M87" s="117">
        <f>IF($R87="","",IF(INDEX('_list'!$L$2:$L$652,$R87)="","",INDEX('_list'!$L$2:$L$652,$R87)))</f>
        <v/>
      </c>
      <c r="N87" s="116">
        <f>IF($R87="","",IF(INDEX('_list'!$H$2:$H$652,$R87)="","",INDEX('_list'!$H$2:$H$652,$R87)))</f>
        <v/>
      </c>
      <c r="O87" s="113">
        <f>IF($R87="","",IF(INDEX('_list'!$I$2:$I$652,$R87)="","",INDEX('_list'!$I$2:$I$652,$R87)))</f>
        <v/>
      </c>
      <c r="R87">
        <f>IFERROR(MATCH(67,'_list'!$N$2:$N$652,0),"")</f>
        <v/>
      </c>
      <c r="S87">
        <f>IF($R87="","",INDEX('_list'!$C$2:$C$652,$R87))</f>
        <v/>
      </c>
    </row>
    <row r="88" ht="16" customHeight="1">
      <c r="B88" s="112">
        <f>IF($R88="","",68)</f>
        <v/>
      </c>
      <c r="C88" s="113">
        <f>IF($R88="","",IF(INDEX('_list'!$D$2:$D$652,$R88)="","",INDEX('_list'!$D$2:$D$652,$R88)))</f>
        <v/>
      </c>
      <c r="D88" s="113">
        <f>IF($R88="","",IF(INDEX('_list'!$E$2:$E$652,$R88)="","",INDEX('_list'!$E$2:$E$652,$R88)))</f>
        <v/>
      </c>
      <c r="E88" s="113">
        <f>IF($R88="","",IF(INDEX('_list'!$F$2:$F$652,$R88)="","",INDEX('_list'!$F$2:$F$652,$R88)))</f>
        <v/>
      </c>
      <c r="F88" s="114">
        <f>IF($R88="","",IF(INDEX('_list'!$G$2:$G$652,$R88)="","",INDEX('_list'!$G$2:$G$652,$R88)))</f>
        <v/>
      </c>
      <c r="G88" s="115">
        <f>IF($S88="","",IF(INDEX('_pockets'!$AH:$AH,$S88)="","",INDEX('_pockets'!$AH:$AH,$S88)))</f>
        <v/>
      </c>
      <c r="H88" s="115">
        <f>IF($S88="","",IF(INDEX('_pockets'!$AF:$AF,$S88)="","",INDEX('_pockets'!$AF:$AF,$S88)))</f>
        <v/>
      </c>
      <c r="I88" s="116">
        <f>IF(IF($S88="","",IF(INDEX('_pockets'!$AB:$AB,$S88)="","",INDEX('_pockets'!$AB:$AB,$S88)))="","",IF($S88="","",IF(INDEX('_pockets'!$AB:$AB,$S88)="","",INDEX('_pockets'!$AB:$AB,$S88)))*IF($U$19,100,1))</f>
        <v/>
      </c>
      <c r="J88" s="114">
        <f>IF($S88="","",IF(INDEX('_pockets'!$Z:$Z,$S88)="","",INDEX('_pockets'!$Z:$Z,$S88)))</f>
        <v/>
      </c>
      <c r="K88" s="117">
        <f>IF($R88="","",IF(INDEX('_list'!$K$2:$K$652,$R88)="","",INDEX('_list'!$K$2:$K$652,$R88)))</f>
        <v/>
      </c>
      <c r="L88" s="118">
        <f>IF($S88="","",IF(INDEX('_pockets'!$AC:$AC,$S88)="","",INDEX('_pockets'!$AC:$AC,$S88)))</f>
        <v/>
      </c>
      <c r="M88" s="117">
        <f>IF($R88="","",IF(INDEX('_list'!$L$2:$L$652,$R88)="","",INDEX('_list'!$L$2:$L$652,$R88)))</f>
        <v/>
      </c>
      <c r="N88" s="116">
        <f>IF($R88="","",IF(INDEX('_list'!$H$2:$H$652,$R88)="","",INDEX('_list'!$H$2:$H$652,$R88)))</f>
        <v/>
      </c>
      <c r="O88" s="113">
        <f>IF($R88="","",IF(INDEX('_list'!$I$2:$I$652,$R88)="","",INDEX('_list'!$I$2:$I$652,$R88)))</f>
        <v/>
      </c>
      <c r="R88">
        <f>IFERROR(MATCH(68,'_list'!$N$2:$N$652,0),"")</f>
        <v/>
      </c>
      <c r="S88">
        <f>IF($R88="","",INDEX('_list'!$C$2:$C$652,$R88))</f>
        <v/>
      </c>
    </row>
    <row r="89" ht="16" customHeight="1">
      <c r="B89" s="112">
        <f>IF($R89="","",69)</f>
        <v/>
      </c>
      <c r="C89" s="113">
        <f>IF($R89="","",IF(INDEX('_list'!$D$2:$D$652,$R89)="","",INDEX('_list'!$D$2:$D$652,$R89)))</f>
        <v/>
      </c>
      <c r="D89" s="113">
        <f>IF($R89="","",IF(INDEX('_list'!$E$2:$E$652,$R89)="","",INDEX('_list'!$E$2:$E$652,$R89)))</f>
        <v/>
      </c>
      <c r="E89" s="113">
        <f>IF($R89="","",IF(INDEX('_list'!$F$2:$F$652,$R89)="","",INDEX('_list'!$F$2:$F$652,$R89)))</f>
        <v/>
      </c>
      <c r="F89" s="114">
        <f>IF($R89="","",IF(INDEX('_list'!$G$2:$G$652,$R89)="","",INDEX('_list'!$G$2:$G$652,$R89)))</f>
        <v/>
      </c>
      <c r="G89" s="115">
        <f>IF($S89="","",IF(INDEX('_pockets'!$AH:$AH,$S89)="","",INDEX('_pockets'!$AH:$AH,$S89)))</f>
        <v/>
      </c>
      <c r="H89" s="115">
        <f>IF($S89="","",IF(INDEX('_pockets'!$AF:$AF,$S89)="","",INDEX('_pockets'!$AF:$AF,$S89)))</f>
        <v/>
      </c>
      <c r="I89" s="116">
        <f>IF(IF($S89="","",IF(INDEX('_pockets'!$AB:$AB,$S89)="","",INDEX('_pockets'!$AB:$AB,$S89)))="","",IF($S89="","",IF(INDEX('_pockets'!$AB:$AB,$S89)="","",INDEX('_pockets'!$AB:$AB,$S89)))*IF($U$19,100,1))</f>
        <v/>
      </c>
      <c r="J89" s="114">
        <f>IF($S89="","",IF(INDEX('_pockets'!$Z:$Z,$S89)="","",INDEX('_pockets'!$Z:$Z,$S89)))</f>
        <v/>
      </c>
      <c r="K89" s="117">
        <f>IF($R89="","",IF(INDEX('_list'!$K$2:$K$652,$R89)="","",INDEX('_list'!$K$2:$K$652,$R89)))</f>
        <v/>
      </c>
      <c r="L89" s="118">
        <f>IF($S89="","",IF(INDEX('_pockets'!$AC:$AC,$S89)="","",INDEX('_pockets'!$AC:$AC,$S89)))</f>
        <v/>
      </c>
      <c r="M89" s="117">
        <f>IF($R89="","",IF(INDEX('_list'!$L$2:$L$652,$R89)="","",INDEX('_list'!$L$2:$L$652,$R89)))</f>
        <v/>
      </c>
      <c r="N89" s="116">
        <f>IF($R89="","",IF(INDEX('_list'!$H$2:$H$652,$R89)="","",INDEX('_list'!$H$2:$H$652,$R89)))</f>
        <v/>
      </c>
      <c r="O89" s="113">
        <f>IF($R89="","",IF(INDEX('_list'!$I$2:$I$652,$R89)="","",INDEX('_list'!$I$2:$I$652,$R89)))</f>
        <v/>
      </c>
      <c r="R89">
        <f>IFERROR(MATCH(69,'_list'!$N$2:$N$652,0),"")</f>
        <v/>
      </c>
      <c r="S89">
        <f>IF($R89="","",INDEX('_list'!$C$2:$C$652,$R89))</f>
        <v/>
      </c>
    </row>
    <row r="90" ht="16" customHeight="1">
      <c r="B90" s="112">
        <f>IF($R90="","",70)</f>
        <v/>
      </c>
      <c r="C90" s="113">
        <f>IF($R90="","",IF(INDEX('_list'!$D$2:$D$652,$R90)="","",INDEX('_list'!$D$2:$D$652,$R90)))</f>
        <v/>
      </c>
      <c r="D90" s="113">
        <f>IF($R90="","",IF(INDEX('_list'!$E$2:$E$652,$R90)="","",INDEX('_list'!$E$2:$E$652,$R90)))</f>
        <v/>
      </c>
      <c r="E90" s="113">
        <f>IF($R90="","",IF(INDEX('_list'!$F$2:$F$652,$R90)="","",INDEX('_list'!$F$2:$F$652,$R90)))</f>
        <v/>
      </c>
      <c r="F90" s="114">
        <f>IF($R90="","",IF(INDEX('_list'!$G$2:$G$652,$R90)="","",INDEX('_list'!$G$2:$G$652,$R90)))</f>
        <v/>
      </c>
      <c r="G90" s="115">
        <f>IF($S90="","",IF(INDEX('_pockets'!$AH:$AH,$S90)="","",INDEX('_pockets'!$AH:$AH,$S90)))</f>
        <v/>
      </c>
      <c r="H90" s="115">
        <f>IF($S90="","",IF(INDEX('_pockets'!$AF:$AF,$S90)="","",INDEX('_pockets'!$AF:$AF,$S90)))</f>
        <v/>
      </c>
      <c r="I90" s="116">
        <f>IF(IF($S90="","",IF(INDEX('_pockets'!$AB:$AB,$S90)="","",INDEX('_pockets'!$AB:$AB,$S90)))="","",IF($S90="","",IF(INDEX('_pockets'!$AB:$AB,$S90)="","",INDEX('_pockets'!$AB:$AB,$S90)))*IF($U$19,100,1))</f>
        <v/>
      </c>
      <c r="J90" s="114">
        <f>IF($S90="","",IF(INDEX('_pockets'!$Z:$Z,$S90)="","",INDEX('_pockets'!$Z:$Z,$S90)))</f>
        <v/>
      </c>
      <c r="K90" s="117">
        <f>IF($R90="","",IF(INDEX('_list'!$K$2:$K$652,$R90)="","",INDEX('_list'!$K$2:$K$652,$R90)))</f>
        <v/>
      </c>
      <c r="L90" s="118">
        <f>IF($S90="","",IF(INDEX('_pockets'!$AC:$AC,$S90)="","",INDEX('_pockets'!$AC:$AC,$S90)))</f>
        <v/>
      </c>
      <c r="M90" s="117">
        <f>IF($R90="","",IF(INDEX('_list'!$L$2:$L$652,$R90)="","",INDEX('_list'!$L$2:$L$652,$R90)))</f>
        <v/>
      </c>
      <c r="N90" s="116">
        <f>IF($R90="","",IF(INDEX('_list'!$H$2:$H$652,$R90)="","",INDEX('_list'!$H$2:$H$652,$R90)))</f>
        <v/>
      </c>
      <c r="O90" s="113">
        <f>IF($R90="","",IF(INDEX('_list'!$I$2:$I$652,$R90)="","",INDEX('_list'!$I$2:$I$652,$R90)))</f>
        <v/>
      </c>
      <c r="R90">
        <f>IFERROR(MATCH(70,'_list'!$N$2:$N$652,0),"")</f>
        <v/>
      </c>
      <c r="S90">
        <f>IF($R90="","",INDEX('_list'!$C$2:$C$652,$R90))</f>
        <v/>
      </c>
    </row>
    <row r="91" ht="16" customHeight="1">
      <c r="B91" s="112">
        <f>IF($R91="","",71)</f>
        <v/>
      </c>
      <c r="C91" s="113">
        <f>IF($R91="","",IF(INDEX('_list'!$D$2:$D$652,$R91)="","",INDEX('_list'!$D$2:$D$652,$R91)))</f>
        <v/>
      </c>
      <c r="D91" s="113">
        <f>IF($R91="","",IF(INDEX('_list'!$E$2:$E$652,$R91)="","",INDEX('_list'!$E$2:$E$652,$R91)))</f>
        <v/>
      </c>
      <c r="E91" s="113">
        <f>IF($R91="","",IF(INDEX('_list'!$F$2:$F$652,$R91)="","",INDEX('_list'!$F$2:$F$652,$R91)))</f>
        <v/>
      </c>
      <c r="F91" s="114">
        <f>IF($R91="","",IF(INDEX('_list'!$G$2:$G$652,$R91)="","",INDEX('_list'!$G$2:$G$652,$R91)))</f>
        <v/>
      </c>
      <c r="G91" s="115">
        <f>IF($S91="","",IF(INDEX('_pockets'!$AH:$AH,$S91)="","",INDEX('_pockets'!$AH:$AH,$S91)))</f>
        <v/>
      </c>
      <c r="H91" s="115">
        <f>IF($S91="","",IF(INDEX('_pockets'!$AF:$AF,$S91)="","",INDEX('_pockets'!$AF:$AF,$S91)))</f>
        <v/>
      </c>
      <c r="I91" s="116">
        <f>IF(IF($S91="","",IF(INDEX('_pockets'!$AB:$AB,$S91)="","",INDEX('_pockets'!$AB:$AB,$S91)))="","",IF($S91="","",IF(INDEX('_pockets'!$AB:$AB,$S91)="","",INDEX('_pockets'!$AB:$AB,$S91)))*IF($U$19,100,1))</f>
        <v/>
      </c>
      <c r="J91" s="114">
        <f>IF($S91="","",IF(INDEX('_pockets'!$Z:$Z,$S91)="","",INDEX('_pockets'!$Z:$Z,$S91)))</f>
        <v/>
      </c>
      <c r="K91" s="117">
        <f>IF($R91="","",IF(INDEX('_list'!$K$2:$K$652,$R91)="","",INDEX('_list'!$K$2:$K$652,$R91)))</f>
        <v/>
      </c>
      <c r="L91" s="118">
        <f>IF($S91="","",IF(INDEX('_pockets'!$AC:$AC,$S91)="","",INDEX('_pockets'!$AC:$AC,$S91)))</f>
        <v/>
      </c>
      <c r="M91" s="117">
        <f>IF($R91="","",IF(INDEX('_list'!$L$2:$L$652,$R91)="","",INDEX('_list'!$L$2:$L$652,$R91)))</f>
        <v/>
      </c>
      <c r="N91" s="116">
        <f>IF($R91="","",IF(INDEX('_list'!$H$2:$H$652,$R91)="","",INDEX('_list'!$H$2:$H$652,$R91)))</f>
        <v/>
      </c>
      <c r="O91" s="113">
        <f>IF($R91="","",IF(INDEX('_list'!$I$2:$I$652,$R91)="","",INDEX('_list'!$I$2:$I$652,$R91)))</f>
        <v/>
      </c>
      <c r="R91">
        <f>IFERROR(MATCH(71,'_list'!$N$2:$N$652,0),"")</f>
        <v/>
      </c>
      <c r="S91">
        <f>IF($R91="","",INDEX('_list'!$C$2:$C$652,$R91))</f>
        <v/>
      </c>
    </row>
    <row r="92" ht="16" customHeight="1">
      <c r="B92" s="112">
        <f>IF($R92="","",72)</f>
        <v/>
      </c>
      <c r="C92" s="113">
        <f>IF($R92="","",IF(INDEX('_list'!$D$2:$D$652,$R92)="","",INDEX('_list'!$D$2:$D$652,$R92)))</f>
        <v/>
      </c>
      <c r="D92" s="113">
        <f>IF($R92="","",IF(INDEX('_list'!$E$2:$E$652,$R92)="","",INDEX('_list'!$E$2:$E$652,$R92)))</f>
        <v/>
      </c>
      <c r="E92" s="113">
        <f>IF($R92="","",IF(INDEX('_list'!$F$2:$F$652,$R92)="","",INDEX('_list'!$F$2:$F$652,$R92)))</f>
        <v/>
      </c>
      <c r="F92" s="114">
        <f>IF($R92="","",IF(INDEX('_list'!$G$2:$G$652,$R92)="","",INDEX('_list'!$G$2:$G$652,$R92)))</f>
        <v/>
      </c>
      <c r="G92" s="115">
        <f>IF($S92="","",IF(INDEX('_pockets'!$AH:$AH,$S92)="","",INDEX('_pockets'!$AH:$AH,$S92)))</f>
        <v/>
      </c>
      <c r="H92" s="115">
        <f>IF($S92="","",IF(INDEX('_pockets'!$AF:$AF,$S92)="","",INDEX('_pockets'!$AF:$AF,$S92)))</f>
        <v/>
      </c>
      <c r="I92" s="116">
        <f>IF(IF($S92="","",IF(INDEX('_pockets'!$AB:$AB,$S92)="","",INDEX('_pockets'!$AB:$AB,$S92)))="","",IF($S92="","",IF(INDEX('_pockets'!$AB:$AB,$S92)="","",INDEX('_pockets'!$AB:$AB,$S92)))*IF($U$19,100,1))</f>
        <v/>
      </c>
      <c r="J92" s="114">
        <f>IF($S92="","",IF(INDEX('_pockets'!$Z:$Z,$S92)="","",INDEX('_pockets'!$Z:$Z,$S92)))</f>
        <v/>
      </c>
      <c r="K92" s="117">
        <f>IF($R92="","",IF(INDEX('_list'!$K$2:$K$652,$R92)="","",INDEX('_list'!$K$2:$K$652,$R92)))</f>
        <v/>
      </c>
      <c r="L92" s="118">
        <f>IF($S92="","",IF(INDEX('_pockets'!$AC:$AC,$S92)="","",INDEX('_pockets'!$AC:$AC,$S92)))</f>
        <v/>
      </c>
      <c r="M92" s="117">
        <f>IF($R92="","",IF(INDEX('_list'!$L$2:$L$652,$R92)="","",INDEX('_list'!$L$2:$L$652,$R92)))</f>
        <v/>
      </c>
      <c r="N92" s="116">
        <f>IF($R92="","",IF(INDEX('_list'!$H$2:$H$652,$R92)="","",INDEX('_list'!$H$2:$H$652,$R92)))</f>
        <v/>
      </c>
      <c r="O92" s="113">
        <f>IF($R92="","",IF(INDEX('_list'!$I$2:$I$652,$R92)="","",INDEX('_list'!$I$2:$I$652,$R92)))</f>
        <v/>
      </c>
      <c r="R92">
        <f>IFERROR(MATCH(72,'_list'!$N$2:$N$652,0),"")</f>
        <v/>
      </c>
      <c r="S92">
        <f>IF($R92="","",INDEX('_list'!$C$2:$C$652,$R92))</f>
        <v/>
      </c>
    </row>
    <row r="93" ht="16" customHeight="1">
      <c r="B93" s="112">
        <f>IF($R93="","",73)</f>
        <v/>
      </c>
      <c r="C93" s="113">
        <f>IF($R93="","",IF(INDEX('_list'!$D$2:$D$652,$R93)="","",INDEX('_list'!$D$2:$D$652,$R93)))</f>
        <v/>
      </c>
      <c r="D93" s="113">
        <f>IF($R93="","",IF(INDEX('_list'!$E$2:$E$652,$R93)="","",INDEX('_list'!$E$2:$E$652,$R93)))</f>
        <v/>
      </c>
      <c r="E93" s="113">
        <f>IF($R93="","",IF(INDEX('_list'!$F$2:$F$652,$R93)="","",INDEX('_list'!$F$2:$F$652,$R93)))</f>
        <v/>
      </c>
      <c r="F93" s="114">
        <f>IF($R93="","",IF(INDEX('_list'!$G$2:$G$652,$R93)="","",INDEX('_list'!$G$2:$G$652,$R93)))</f>
        <v/>
      </c>
      <c r="G93" s="115">
        <f>IF($S93="","",IF(INDEX('_pockets'!$AH:$AH,$S93)="","",INDEX('_pockets'!$AH:$AH,$S93)))</f>
        <v/>
      </c>
      <c r="H93" s="115">
        <f>IF($S93="","",IF(INDEX('_pockets'!$AF:$AF,$S93)="","",INDEX('_pockets'!$AF:$AF,$S93)))</f>
        <v/>
      </c>
      <c r="I93" s="116">
        <f>IF(IF($S93="","",IF(INDEX('_pockets'!$AB:$AB,$S93)="","",INDEX('_pockets'!$AB:$AB,$S93)))="","",IF($S93="","",IF(INDEX('_pockets'!$AB:$AB,$S93)="","",INDEX('_pockets'!$AB:$AB,$S93)))*IF($U$19,100,1))</f>
        <v/>
      </c>
      <c r="J93" s="114">
        <f>IF($S93="","",IF(INDEX('_pockets'!$Z:$Z,$S93)="","",INDEX('_pockets'!$Z:$Z,$S93)))</f>
        <v/>
      </c>
      <c r="K93" s="117">
        <f>IF($R93="","",IF(INDEX('_list'!$K$2:$K$652,$R93)="","",INDEX('_list'!$K$2:$K$652,$R93)))</f>
        <v/>
      </c>
      <c r="L93" s="118">
        <f>IF($S93="","",IF(INDEX('_pockets'!$AC:$AC,$S93)="","",INDEX('_pockets'!$AC:$AC,$S93)))</f>
        <v/>
      </c>
      <c r="M93" s="117">
        <f>IF($R93="","",IF(INDEX('_list'!$L$2:$L$652,$R93)="","",INDEX('_list'!$L$2:$L$652,$R93)))</f>
        <v/>
      </c>
      <c r="N93" s="116">
        <f>IF($R93="","",IF(INDEX('_list'!$H$2:$H$652,$R93)="","",INDEX('_list'!$H$2:$H$652,$R93)))</f>
        <v/>
      </c>
      <c r="O93" s="113">
        <f>IF($R93="","",IF(INDEX('_list'!$I$2:$I$652,$R93)="","",INDEX('_list'!$I$2:$I$652,$R93)))</f>
        <v/>
      </c>
      <c r="R93">
        <f>IFERROR(MATCH(73,'_list'!$N$2:$N$652,0),"")</f>
        <v/>
      </c>
      <c r="S93">
        <f>IF($R93="","",INDEX('_list'!$C$2:$C$652,$R93))</f>
        <v/>
      </c>
    </row>
    <row r="94" ht="16" customHeight="1">
      <c r="B94" s="112">
        <f>IF($R94="","",74)</f>
        <v/>
      </c>
      <c r="C94" s="113">
        <f>IF($R94="","",IF(INDEX('_list'!$D$2:$D$652,$R94)="","",INDEX('_list'!$D$2:$D$652,$R94)))</f>
        <v/>
      </c>
      <c r="D94" s="113">
        <f>IF($R94="","",IF(INDEX('_list'!$E$2:$E$652,$R94)="","",INDEX('_list'!$E$2:$E$652,$R94)))</f>
        <v/>
      </c>
      <c r="E94" s="113">
        <f>IF($R94="","",IF(INDEX('_list'!$F$2:$F$652,$R94)="","",INDEX('_list'!$F$2:$F$652,$R94)))</f>
        <v/>
      </c>
      <c r="F94" s="114">
        <f>IF($R94="","",IF(INDEX('_list'!$G$2:$G$652,$R94)="","",INDEX('_list'!$G$2:$G$652,$R94)))</f>
        <v/>
      </c>
      <c r="G94" s="115">
        <f>IF($S94="","",IF(INDEX('_pockets'!$AH:$AH,$S94)="","",INDEX('_pockets'!$AH:$AH,$S94)))</f>
        <v/>
      </c>
      <c r="H94" s="115">
        <f>IF($S94="","",IF(INDEX('_pockets'!$AF:$AF,$S94)="","",INDEX('_pockets'!$AF:$AF,$S94)))</f>
        <v/>
      </c>
      <c r="I94" s="116">
        <f>IF(IF($S94="","",IF(INDEX('_pockets'!$AB:$AB,$S94)="","",INDEX('_pockets'!$AB:$AB,$S94)))="","",IF($S94="","",IF(INDEX('_pockets'!$AB:$AB,$S94)="","",INDEX('_pockets'!$AB:$AB,$S94)))*IF($U$19,100,1))</f>
        <v/>
      </c>
      <c r="J94" s="114">
        <f>IF($S94="","",IF(INDEX('_pockets'!$Z:$Z,$S94)="","",INDEX('_pockets'!$Z:$Z,$S94)))</f>
        <v/>
      </c>
      <c r="K94" s="117">
        <f>IF($R94="","",IF(INDEX('_list'!$K$2:$K$652,$R94)="","",INDEX('_list'!$K$2:$K$652,$R94)))</f>
        <v/>
      </c>
      <c r="L94" s="118">
        <f>IF($S94="","",IF(INDEX('_pockets'!$AC:$AC,$S94)="","",INDEX('_pockets'!$AC:$AC,$S94)))</f>
        <v/>
      </c>
      <c r="M94" s="117">
        <f>IF($R94="","",IF(INDEX('_list'!$L$2:$L$652,$R94)="","",INDEX('_list'!$L$2:$L$652,$R94)))</f>
        <v/>
      </c>
      <c r="N94" s="116">
        <f>IF($R94="","",IF(INDEX('_list'!$H$2:$H$652,$R94)="","",INDEX('_list'!$H$2:$H$652,$R94)))</f>
        <v/>
      </c>
      <c r="O94" s="113">
        <f>IF($R94="","",IF(INDEX('_list'!$I$2:$I$652,$R94)="","",INDEX('_list'!$I$2:$I$652,$R94)))</f>
        <v/>
      </c>
      <c r="R94">
        <f>IFERROR(MATCH(74,'_list'!$N$2:$N$652,0),"")</f>
        <v/>
      </c>
      <c r="S94">
        <f>IF($R94="","",INDEX('_list'!$C$2:$C$652,$R94))</f>
        <v/>
      </c>
    </row>
    <row r="95" ht="16" customHeight="1">
      <c r="B95" s="112">
        <f>IF($R95="","",75)</f>
        <v/>
      </c>
      <c r="C95" s="113">
        <f>IF($R95="","",IF(INDEX('_list'!$D$2:$D$652,$R95)="","",INDEX('_list'!$D$2:$D$652,$R95)))</f>
        <v/>
      </c>
      <c r="D95" s="113">
        <f>IF($R95="","",IF(INDEX('_list'!$E$2:$E$652,$R95)="","",INDEX('_list'!$E$2:$E$652,$R95)))</f>
        <v/>
      </c>
      <c r="E95" s="113">
        <f>IF($R95="","",IF(INDEX('_list'!$F$2:$F$652,$R95)="","",INDEX('_list'!$F$2:$F$652,$R95)))</f>
        <v/>
      </c>
      <c r="F95" s="114">
        <f>IF($R95="","",IF(INDEX('_list'!$G$2:$G$652,$R95)="","",INDEX('_list'!$G$2:$G$652,$R95)))</f>
        <v/>
      </c>
      <c r="G95" s="115">
        <f>IF($S95="","",IF(INDEX('_pockets'!$AH:$AH,$S95)="","",INDEX('_pockets'!$AH:$AH,$S95)))</f>
        <v/>
      </c>
      <c r="H95" s="115">
        <f>IF($S95="","",IF(INDEX('_pockets'!$AF:$AF,$S95)="","",INDEX('_pockets'!$AF:$AF,$S95)))</f>
        <v/>
      </c>
      <c r="I95" s="116">
        <f>IF(IF($S95="","",IF(INDEX('_pockets'!$AB:$AB,$S95)="","",INDEX('_pockets'!$AB:$AB,$S95)))="","",IF($S95="","",IF(INDEX('_pockets'!$AB:$AB,$S95)="","",INDEX('_pockets'!$AB:$AB,$S95)))*IF($U$19,100,1))</f>
        <v/>
      </c>
      <c r="J95" s="114">
        <f>IF($S95="","",IF(INDEX('_pockets'!$Z:$Z,$S95)="","",INDEX('_pockets'!$Z:$Z,$S95)))</f>
        <v/>
      </c>
      <c r="K95" s="117">
        <f>IF($R95="","",IF(INDEX('_list'!$K$2:$K$652,$R95)="","",INDEX('_list'!$K$2:$K$652,$R95)))</f>
        <v/>
      </c>
      <c r="L95" s="118">
        <f>IF($S95="","",IF(INDEX('_pockets'!$AC:$AC,$S95)="","",INDEX('_pockets'!$AC:$AC,$S95)))</f>
        <v/>
      </c>
      <c r="M95" s="117">
        <f>IF($R95="","",IF(INDEX('_list'!$L$2:$L$652,$R95)="","",INDEX('_list'!$L$2:$L$652,$R95)))</f>
        <v/>
      </c>
      <c r="N95" s="116">
        <f>IF($R95="","",IF(INDEX('_list'!$H$2:$H$652,$R95)="","",INDEX('_list'!$H$2:$H$652,$R95)))</f>
        <v/>
      </c>
      <c r="O95" s="113">
        <f>IF($R95="","",IF(INDEX('_list'!$I$2:$I$652,$R95)="","",INDEX('_list'!$I$2:$I$652,$R95)))</f>
        <v/>
      </c>
      <c r="R95">
        <f>IFERROR(MATCH(75,'_list'!$N$2:$N$652,0),"")</f>
        <v/>
      </c>
      <c r="S95">
        <f>IF($R95="","",INDEX('_list'!$C$2:$C$652,$R95))</f>
        <v/>
      </c>
    </row>
    <row r="96" ht="16" customHeight="1">
      <c r="B96" s="112">
        <f>IF($R96="","",76)</f>
        <v/>
      </c>
      <c r="C96" s="113">
        <f>IF($R96="","",IF(INDEX('_list'!$D$2:$D$652,$R96)="","",INDEX('_list'!$D$2:$D$652,$R96)))</f>
        <v/>
      </c>
      <c r="D96" s="113">
        <f>IF($R96="","",IF(INDEX('_list'!$E$2:$E$652,$R96)="","",INDEX('_list'!$E$2:$E$652,$R96)))</f>
        <v/>
      </c>
      <c r="E96" s="113">
        <f>IF($R96="","",IF(INDEX('_list'!$F$2:$F$652,$R96)="","",INDEX('_list'!$F$2:$F$652,$R96)))</f>
        <v/>
      </c>
      <c r="F96" s="114">
        <f>IF($R96="","",IF(INDEX('_list'!$G$2:$G$652,$R96)="","",INDEX('_list'!$G$2:$G$652,$R96)))</f>
        <v/>
      </c>
      <c r="G96" s="115">
        <f>IF($S96="","",IF(INDEX('_pockets'!$AH:$AH,$S96)="","",INDEX('_pockets'!$AH:$AH,$S96)))</f>
        <v/>
      </c>
      <c r="H96" s="115">
        <f>IF($S96="","",IF(INDEX('_pockets'!$AF:$AF,$S96)="","",INDEX('_pockets'!$AF:$AF,$S96)))</f>
        <v/>
      </c>
      <c r="I96" s="116">
        <f>IF(IF($S96="","",IF(INDEX('_pockets'!$AB:$AB,$S96)="","",INDEX('_pockets'!$AB:$AB,$S96)))="","",IF($S96="","",IF(INDEX('_pockets'!$AB:$AB,$S96)="","",INDEX('_pockets'!$AB:$AB,$S96)))*IF($U$19,100,1))</f>
        <v/>
      </c>
      <c r="J96" s="114">
        <f>IF($S96="","",IF(INDEX('_pockets'!$Z:$Z,$S96)="","",INDEX('_pockets'!$Z:$Z,$S96)))</f>
        <v/>
      </c>
      <c r="K96" s="117">
        <f>IF($R96="","",IF(INDEX('_list'!$K$2:$K$652,$R96)="","",INDEX('_list'!$K$2:$K$652,$R96)))</f>
        <v/>
      </c>
      <c r="L96" s="118">
        <f>IF($S96="","",IF(INDEX('_pockets'!$AC:$AC,$S96)="","",INDEX('_pockets'!$AC:$AC,$S96)))</f>
        <v/>
      </c>
      <c r="M96" s="117">
        <f>IF($R96="","",IF(INDEX('_list'!$L$2:$L$652,$R96)="","",INDEX('_list'!$L$2:$L$652,$R96)))</f>
        <v/>
      </c>
      <c r="N96" s="116">
        <f>IF($R96="","",IF(INDEX('_list'!$H$2:$H$652,$R96)="","",INDEX('_list'!$H$2:$H$652,$R96)))</f>
        <v/>
      </c>
      <c r="O96" s="113">
        <f>IF($R96="","",IF(INDEX('_list'!$I$2:$I$652,$R96)="","",INDEX('_list'!$I$2:$I$652,$R96)))</f>
        <v/>
      </c>
      <c r="R96">
        <f>IFERROR(MATCH(76,'_list'!$N$2:$N$652,0),"")</f>
        <v/>
      </c>
      <c r="S96">
        <f>IF($R96="","",INDEX('_list'!$C$2:$C$652,$R96))</f>
        <v/>
      </c>
    </row>
    <row r="97" ht="16" customHeight="1">
      <c r="B97" s="112">
        <f>IF($R97="","",77)</f>
        <v/>
      </c>
      <c r="C97" s="113">
        <f>IF($R97="","",IF(INDEX('_list'!$D$2:$D$652,$R97)="","",INDEX('_list'!$D$2:$D$652,$R97)))</f>
        <v/>
      </c>
      <c r="D97" s="113">
        <f>IF($R97="","",IF(INDEX('_list'!$E$2:$E$652,$R97)="","",INDEX('_list'!$E$2:$E$652,$R97)))</f>
        <v/>
      </c>
      <c r="E97" s="113">
        <f>IF($R97="","",IF(INDEX('_list'!$F$2:$F$652,$R97)="","",INDEX('_list'!$F$2:$F$652,$R97)))</f>
        <v/>
      </c>
      <c r="F97" s="114">
        <f>IF($R97="","",IF(INDEX('_list'!$G$2:$G$652,$R97)="","",INDEX('_list'!$G$2:$G$652,$R97)))</f>
        <v/>
      </c>
      <c r="G97" s="115">
        <f>IF($S97="","",IF(INDEX('_pockets'!$AH:$AH,$S97)="","",INDEX('_pockets'!$AH:$AH,$S97)))</f>
        <v/>
      </c>
      <c r="H97" s="115">
        <f>IF($S97="","",IF(INDEX('_pockets'!$AF:$AF,$S97)="","",INDEX('_pockets'!$AF:$AF,$S97)))</f>
        <v/>
      </c>
      <c r="I97" s="116">
        <f>IF(IF($S97="","",IF(INDEX('_pockets'!$AB:$AB,$S97)="","",INDEX('_pockets'!$AB:$AB,$S97)))="","",IF($S97="","",IF(INDEX('_pockets'!$AB:$AB,$S97)="","",INDEX('_pockets'!$AB:$AB,$S97)))*IF($U$19,100,1))</f>
        <v/>
      </c>
      <c r="J97" s="114">
        <f>IF($S97="","",IF(INDEX('_pockets'!$Z:$Z,$S97)="","",INDEX('_pockets'!$Z:$Z,$S97)))</f>
        <v/>
      </c>
      <c r="K97" s="117">
        <f>IF($R97="","",IF(INDEX('_list'!$K$2:$K$652,$R97)="","",INDEX('_list'!$K$2:$K$652,$R97)))</f>
        <v/>
      </c>
      <c r="L97" s="118">
        <f>IF($S97="","",IF(INDEX('_pockets'!$AC:$AC,$S97)="","",INDEX('_pockets'!$AC:$AC,$S97)))</f>
        <v/>
      </c>
      <c r="M97" s="117">
        <f>IF($R97="","",IF(INDEX('_list'!$L$2:$L$652,$R97)="","",INDEX('_list'!$L$2:$L$652,$R97)))</f>
        <v/>
      </c>
      <c r="N97" s="116">
        <f>IF($R97="","",IF(INDEX('_list'!$H$2:$H$652,$R97)="","",INDEX('_list'!$H$2:$H$652,$R97)))</f>
        <v/>
      </c>
      <c r="O97" s="113">
        <f>IF($R97="","",IF(INDEX('_list'!$I$2:$I$652,$R97)="","",INDEX('_list'!$I$2:$I$652,$R97)))</f>
        <v/>
      </c>
      <c r="R97">
        <f>IFERROR(MATCH(77,'_list'!$N$2:$N$652,0),"")</f>
        <v/>
      </c>
      <c r="S97">
        <f>IF($R97="","",INDEX('_list'!$C$2:$C$652,$R97))</f>
        <v/>
      </c>
    </row>
    <row r="98" ht="16" customHeight="1">
      <c r="B98" s="112">
        <f>IF($R98="","",78)</f>
        <v/>
      </c>
      <c r="C98" s="113">
        <f>IF($R98="","",IF(INDEX('_list'!$D$2:$D$652,$R98)="","",INDEX('_list'!$D$2:$D$652,$R98)))</f>
        <v/>
      </c>
      <c r="D98" s="113">
        <f>IF($R98="","",IF(INDEX('_list'!$E$2:$E$652,$R98)="","",INDEX('_list'!$E$2:$E$652,$R98)))</f>
        <v/>
      </c>
      <c r="E98" s="113">
        <f>IF($R98="","",IF(INDEX('_list'!$F$2:$F$652,$R98)="","",INDEX('_list'!$F$2:$F$652,$R98)))</f>
        <v/>
      </c>
      <c r="F98" s="114">
        <f>IF($R98="","",IF(INDEX('_list'!$G$2:$G$652,$R98)="","",INDEX('_list'!$G$2:$G$652,$R98)))</f>
        <v/>
      </c>
      <c r="G98" s="115">
        <f>IF($S98="","",IF(INDEX('_pockets'!$AH:$AH,$S98)="","",INDEX('_pockets'!$AH:$AH,$S98)))</f>
        <v/>
      </c>
      <c r="H98" s="115">
        <f>IF($S98="","",IF(INDEX('_pockets'!$AF:$AF,$S98)="","",INDEX('_pockets'!$AF:$AF,$S98)))</f>
        <v/>
      </c>
      <c r="I98" s="116">
        <f>IF(IF($S98="","",IF(INDEX('_pockets'!$AB:$AB,$S98)="","",INDEX('_pockets'!$AB:$AB,$S98)))="","",IF($S98="","",IF(INDEX('_pockets'!$AB:$AB,$S98)="","",INDEX('_pockets'!$AB:$AB,$S98)))*IF($U$19,100,1))</f>
        <v/>
      </c>
      <c r="J98" s="114">
        <f>IF($S98="","",IF(INDEX('_pockets'!$Z:$Z,$S98)="","",INDEX('_pockets'!$Z:$Z,$S98)))</f>
        <v/>
      </c>
      <c r="K98" s="117">
        <f>IF($R98="","",IF(INDEX('_list'!$K$2:$K$652,$R98)="","",INDEX('_list'!$K$2:$K$652,$R98)))</f>
        <v/>
      </c>
      <c r="L98" s="118">
        <f>IF($S98="","",IF(INDEX('_pockets'!$AC:$AC,$S98)="","",INDEX('_pockets'!$AC:$AC,$S98)))</f>
        <v/>
      </c>
      <c r="M98" s="117">
        <f>IF($R98="","",IF(INDEX('_list'!$L$2:$L$652,$R98)="","",INDEX('_list'!$L$2:$L$652,$R98)))</f>
        <v/>
      </c>
      <c r="N98" s="116">
        <f>IF($R98="","",IF(INDEX('_list'!$H$2:$H$652,$R98)="","",INDEX('_list'!$H$2:$H$652,$R98)))</f>
        <v/>
      </c>
      <c r="O98" s="113">
        <f>IF($R98="","",IF(INDEX('_list'!$I$2:$I$652,$R98)="","",INDEX('_list'!$I$2:$I$652,$R98)))</f>
        <v/>
      </c>
      <c r="R98">
        <f>IFERROR(MATCH(78,'_list'!$N$2:$N$652,0),"")</f>
        <v/>
      </c>
      <c r="S98">
        <f>IF($R98="","",INDEX('_list'!$C$2:$C$652,$R98))</f>
        <v/>
      </c>
    </row>
    <row r="99" ht="16" customHeight="1">
      <c r="B99" s="112">
        <f>IF($R99="","",79)</f>
        <v/>
      </c>
      <c r="C99" s="113">
        <f>IF($R99="","",IF(INDEX('_list'!$D$2:$D$652,$R99)="","",INDEX('_list'!$D$2:$D$652,$R99)))</f>
        <v/>
      </c>
      <c r="D99" s="113">
        <f>IF($R99="","",IF(INDEX('_list'!$E$2:$E$652,$R99)="","",INDEX('_list'!$E$2:$E$652,$R99)))</f>
        <v/>
      </c>
      <c r="E99" s="113">
        <f>IF($R99="","",IF(INDEX('_list'!$F$2:$F$652,$R99)="","",INDEX('_list'!$F$2:$F$652,$R99)))</f>
        <v/>
      </c>
      <c r="F99" s="114">
        <f>IF($R99="","",IF(INDEX('_list'!$G$2:$G$652,$R99)="","",INDEX('_list'!$G$2:$G$652,$R99)))</f>
        <v/>
      </c>
      <c r="G99" s="115">
        <f>IF($S99="","",IF(INDEX('_pockets'!$AH:$AH,$S99)="","",INDEX('_pockets'!$AH:$AH,$S99)))</f>
        <v/>
      </c>
      <c r="H99" s="115">
        <f>IF($S99="","",IF(INDEX('_pockets'!$AF:$AF,$S99)="","",INDEX('_pockets'!$AF:$AF,$S99)))</f>
        <v/>
      </c>
      <c r="I99" s="116">
        <f>IF(IF($S99="","",IF(INDEX('_pockets'!$AB:$AB,$S99)="","",INDEX('_pockets'!$AB:$AB,$S99)))="","",IF($S99="","",IF(INDEX('_pockets'!$AB:$AB,$S99)="","",INDEX('_pockets'!$AB:$AB,$S99)))*IF($U$19,100,1))</f>
        <v/>
      </c>
      <c r="J99" s="114">
        <f>IF($S99="","",IF(INDEX('_pockets'!$Z:$Z,$S99)="","",INDEX('_pockets'!$Z:$Z,$S99)))</f>
        <v/>
      </c>
      <c r="K99" s="117">
        <f>IF($R99="","",IF(INDEX('_list'!$K$2:$K$652,$R99)="","",INDEX('_list'!$K$2:$K$652,$R99)))</f>
        <v/>
      </c>
      <c r="L99" s="118">
        <f>IF($S99="","",IF(INDEX('_pockets'!$AC:$AC,$S99)="","",INDEX('_pockets'!$AC:$AC,$S99)))</f>
        <v/>
      </c>
      <c r="M99" s="117">
        <f>IF($R99="","",IF(INDEX('_list'!$L$2:$L$652,$R99)="","",INDEX('_list'!$L$2:$L$652,$R99)))</f>
        <v/>
      </c>
      <c r="N99" s="116">
        <f>IF($R99="","",IF(INDEX('_list'!$H$2:$H$652,$R99)="","",INDEX('_list'!$H$2:$H$652,$R99)))</f>
        <v/>
      </c>
      <c r="O99" s="113">
        <f>IF($R99="","",IF(INDEX('_list'!$I$2:$I$652,$R99)="","",INDEX('_list'!$I$2:$I$652,$R99)))</f>
        <v/>
      </c>
      <c r="R99">
        <f>IFERROR(MATCH(79,'_list'!$N$2:$N$652,0),"")</f>
        <v/>
      </c>
      <c r="S99">
        <f>IF($R99="","",INDEX('_list'!$C$2:$C$652,$R99))</f>
        <v/>
      </c>
    </row>
    <row r="100" ht="16" customHeight="1">
      <c r="B100" s="112">
        <f>IF($R100="","",80)</f>
        <v/>
      </c>
      <c r="C100" s="113">
        <f>IF($R100="","",IF(INDEX('_list'!$D$2:$D$652,$R100)="","",INDEX('_list'!$D$2:$D$652,$R100)))</f>
        <v/>
      </c>
      <c r="D100" s="113">
        <f>IF($R100="","",IF(INDEX('_list'!$E$2:$E$652,$R100)="","",INDEX('_list'!$E$2:$E$652,$R100)))</f>
        <v/>
      </c>
      <c r="E100" s="113">
        <f>IF($R100="","",IF(INDEX('_list'!$F$2:$F$652,$R100)="","",INDEX('_list'!$F$2:$F$652,$R100)))</f>
        <v/>
      </c>
      <c r="F100" s="114">
        <f>IF($R100="","",IF(INDEX('_list'!$G$2:$G$652,$R100)="","",INDEX('_list'!$G$2:$G$652,$R100)))</f>
        <v/>
      </c>
      <c r="G100" s="115">
        <f>IF($S100="","",IF(INDEX('_pockets'!$AH:$AH,$S100)="","",INDEX('_pockets'!$AH:$AH,$S100)))</f>
        <v/>
      </c>
      <c r="H100" s="115">
        <f>IF($S100="","",IF(INDEX('_pockets'!$AF:$AF,$S100)="","",INDEX('_pockets'!$AF:$AF,$S100)))</f>
        <v/>
      </c>
      <c r="I100" s="116">
        <f>IF(IF($S100="","",IF(INDEX('_pockets'!$AB:$AB,$S100)="","",INDEX('_pockets'!$AB:$AB,$S100)))="","",IF($S100="","",IF(INDEX('_pockets'!$AB:$AB,$S100)="","",INDEX('_pockets'!$AB:$AB,$S100)))*IF($U$19,100,1))</f>
        <v/>
      </c>
      <c r="J100" s="114">
        <f>IF($S100="","",IF(INDEX('_pockets'!$Z:$Z,$S100)="","",INDEX('_pockets'!$Z:$Z,$S100)))</f>
        <v/>
      </c>
      <c r="K100" s="117">
        <f>IF($R100="","",IF(INDEX('_list'!$K$2:$K$652,$R100)="","",INDEX('_list'!$K$2:$K$652,$R100)))</f>
        <v/>
      </c>
      <c r="L100" s="118">
        <f>IF($S100="","",IF(INDEX('_pockets'!$AC:$AC,$S100)="","",INDEX('_pockets'!$AC:$AC,$S100)))</f>
        <v/>
      </c>
      <c r="M100" s="117">
        <f>IF($R100="","",IF(INDEX('_list'!$L$2:$L$652,$R100)="","",INDEX('_list'!$L$2:$L$652,$R100)))</f>
        <v/>
      </c>
      <c r="N100" s="116">
        <f>IF($R100="","",IF(INDEX('_list'!$H$2:$H$652,$R100)="","",INDEX('_list'!$H$2:$H$652,$R100)))</f>
        <v/>
      </c>
      <c r="O100" s="113">
        <f>IF($R100="","",IF(INDEX('_list'!$I$2:$I$652,$R100)="","",INDEX('_list'!$I$2:$I$652,$R100)))</f>
        <v/>
      </c>
      <c r="R100">
        <f>IFERROR(MATCH(80,'_list'!$N$2:$N$652,0),"")</f>
        <v/>
      </c>
      <c r="S100">
        <f>IF($R100="","",INDEX('_list'!$C$2:$C$652,$R100))</f>
        <v/>
      </c>
    </row>
    <row r="101" ht="16" customHeight="1">
      <c r="B101" s="112">
        <f>IF($R101="","",81)</f>
        <v/>
      </c>
      <c r="C101" s="113">
        <f>IF($R101="","",IF(INDEX('_list'!$D$2:$D$652,$R101)="","",INDEX('_list'!$D$2:$D$652,$R101)))</f>
        <v/>
      </c>
      <c r="D101" s="113">
        <f>IF($R101="","",IF(INDEX('_list'!$E$2:$E$652,$R101)="","",INDEX('_list'!$E$2:$E$652,$R101)))</f>
        <v/>
      </c>
      <c r="E101" s="113">
        <f>IF($R101="","",IF(INDEX('_list'!$F$2:$F$652,$R101)="","",INDEX('_list'!$F$2:$F$652,$R101)))</f>
        <v/>
      </c>
      <c r="F101" s="114">
        <f>IF($R101="","",IF(INDEX('_list'!$G$2:$G$652,$R101)="","",INDEX('_list'!$G$2:$G$652,$R101)))</f>
        <v/>
      </c>
      <c r="G101" s="115">
        <f>IF($S101="","",IF(INDEX('_pockets'!$AH:$AH,$S101)="","",INDEX('_pockets'!$AH:$AH,$S101)))</f>
        <v/>
      </c>
      <c r="H101" s="115">
        <f>IF($S101="","",IF(INDEX('_pockets'!$AF:$AF,$S101)="","",INDEX('_pockets'!$AF:$AF,$S101)))</f>
        <v/>
      </c>
      <c r="I101" s="116">
        <f>IF(IF($S101="","",IF(INDEX('_pockets'!$AB:$AB,$S101)="","",INDEX('_pockets'!$AB:$AB,$S101)))="","",IF($S101="","",IF(INDEX('_pockets'!$AB:$AB,$S101)="","",INDEX('_pockets'!$AB:$AB,$S101)))*IF($U$19,100,1))</f>
        <v/>
      </c>
      <c r="J101" s="114">
        <f>IF($S101="","",IF(INDEX('_pockets'!$Z:$Z,$S101)="","",INDEX('_pockets'!$Z:$Z,$S101)))</f>
        <v/>
      </c>
      <c r="K101" s="117">
        <f>IF($R101="","",IF(INDEX('_list'!$K$2:$K$652,$R101)="","",INDEX('_list'!$K$2:$K$652,$R101)))</f>
        <v/>
      </c>
      <c r="L101" s="118">
        <f>IF($S101="","",IF(INDEX('_pockets'!$AC:$AC,$S101)="","",INDEX('_pockets'!$AC:$AC,$S101)))</f>
        <v/>
      </c>
      <c r="M101" s="117">
        <f>IF($R101="","",IF(INDEX('_list'!$L$2:$L$652,$R101)="","",INDEX('_list'!$L$2:$L$652,$R101)))</f>
        <v/>
      </c>
      <c r="N101" s="116">
        <f>IF($R101="","",IF(INDEX('_list'!$H$2:$H$652,$R101)="","",INDEX('_list'!$H$2:$H$652,$R101)))</f>
        <v/>
      </c>
      <c r="O101" s="113">
        <f>IF($R101="","",IF(INDEX('_list'!$I$2:$I$652,$R101)="","",INDEX('_list'!$I$2:$I$652,$R101)))</f>
        <v/>
      </c>
      <c r="R101">
        <f>IFERROR(MATCH(81,'_list'!$N$2:$N$652,0),"")</f>
        <v/>
      </c>
      <c r="S101">
        <f>IF($R101="","",INDEX('_list'!$C$2:$C$652,$R101))</f>
        <v/>
      </c>
    </row>
    <row r="102" ht="16" customHeight="1">
      <c r="B102" s="112">
        <f>IF($R102="","",82)</f>
        <v/>
      </c>
      <c r="C102" s="113">
        <f>IF($R102="","",IF(INDEX('_list'!$D$2:$D$652,$R102)="","",INDEX('_list'!$D$2:$D$652,$R102)))</f>
        <v/>
      </c>
      <c r="D102" s="113">
        <f>IF($R102="","",IF(INDEX('_list'!$E$2:$E$652,$R102)="","",INDEX('_list'!$E$2:$E$652,$R102)))</f>
        <v/>
      </c>
      <c r="E102" s="113">
        <f>IF($R102="","",IF(INDEX('_list'!$F$2:$F$652,$R102)="","",INDEX('_list'!$F$2:$F$652,$R102)))</f>
        <v/>
      </c>
      <c r="F102" s="114">
        <f>IF($R102="","",IF(INDEX('_list'!$G$2:$G$652,$R102)="","",INDEX('_list'!$G$2:$G$652,$R102)))</f>
        <v/>
      </c>
      <c r="G102" s="115">
        <f>IF($S102="","",IF(INDEX('_pockets'!$AH:$AH,$S102)="","",INDEX('_pockets'!$AH:$AH,$S102)))</f>
        <v/>
      </c>
      <c r="H102" s="115">
        <f>IF($S102="","",IF(INDEX('_pockets'!$AF:$AF,$S102)="","",INDEX('_pockets'!$AF:$AF,$S102)))</f>
        <v/>
      </c>
      <c r="I102" s="116">
        <f>IF(IF($S102="","",IF(INDEX('_pockets'!$AB:$AB,$S102)="","",INDEX('_pockets'!$AB:$AB,$S102)))="","",IF($S102="","",IF(INDEX('_pockets'!$AB:$AB,$S102)="","",INDEX('_pockets'!$AB:$AB,$S102)))*IF($U$19,100,1))</f>
        <v/>
      </c>
      <c r="J102" s="114">
        <f>IF($S102="","",IF(INDEX('_pockets'!$Z:$Z,$S102)="","",INDEX('_pockets'!$Z:$Z,$S102)))</f>
        <v/>
      </c>
      <c r="K102" s="117">
        <f>IF($R102="","",IF(INDEX('_list'!$K$2:$K$652,$R102)="","",INDEX('_list'!$K$2:$K$652,$R102)))</f>
        <v/>
      </c>
      <c r="L102" s="118">
        <f>IF($S102="","",IF(INDEX('_pockets'!$AC:$AC,$S102)="","",INDEX('_pockets'!$AC:$AC,$S102)))</f>
        <v/>
      </c>
      <c r="M102" s="117">
        <f>IF($R102="","",IF(INDEX('_list'!$L$2:$L$652,$R102)="","",INDEX('_list'!$L$2:$L$652,$R102)))</f>
        <v/>
      </c>
      <c r="N102" s="116">
        <f>IF($R102="","",IF(INDEX('_list'!$H$2:$H$652,$R102)="","",INDEX('_list'!$H$2:$H$652,$R102)))</f>
        <v/>
      </c>
      <c r="O102" s="113">
        <f>IF($R102="","",IF(INDEX('_list'!$I$2:$I$652,$R102)="","",INDEX('_list'!$I$2:$I$652,$R102)))</f>
        <v/>
      </c>
      <c r="R102">
        <f>IFERROR(MATCH(82,'_list'!$N$2:$N$652,0),"")</f>
        <v/>
      </c>
      <c r="S102">
        <f>IF($R102="","",INDEX('_list'!$C$2:$C$652,$R102))</f>
        <v/>
      </c>
    </row>
    <row r="103" ht="16" customHeight="1">
      <c r="B103" s="112">
        <f>IF($R103="","",83)</f>
        <v/>
      </c>
      <c r="C103" s="113">
        <f>IF($R103="","",IF(INDEX('_list'!$D$2:$D$652,$R103)="","",INDEX('_list'!$D$2:$D$652,$R103)))</f>
        <v/>
      </c>
      <c r="D103" s="113">
        <f>IF($R103="","",IF(INDEX('_list'!$E$2:$E$652,$R103)="","",INDEX('_list'!$E$2:$E$652,$R103)))</f>
        <v/>
      </c>
      <c r="E103" s="113">
        <f>IF($R103="","",IF(INDEX('_list'!$F$2:$F$652,$R103)="","",INDEX('_list'!$F$2:$F$652,$R103)))</f>
        <v/>
      </c>
      <c r="F103" s="114">
        <f>IF($R103="","",IF(INDEX('_list'!$G$2:$G$652,$R103)="","",INDEX('_list'!$G$2:$G$652,$R103)))</f>
        <v/>
      </c>
      <c r="G103" s="115">
        <f>IF($S103="","",IF(INDEX('_pockets'!$AH:$AH,$S103)="","",INDEX('_pockets'!$AH:$AH,$S103)))</f>
        <v/>
      </c>
      <c r="H103" s="115">
        <f>IF($S103="","",IF(INDEX('_pockets'!$AF:$AF,$S103)="","",INDEX('_pockets'!$AF:$AF,$S103)))</f>
        <v/>
      </c>
      <c r="I103" s="116">
        <f>IF(IF($S103="","",IF(INDEX('_pockets'!$AB:$AB,$S103)="","",INDEX('_pockets'!$AB:$AB,$S103)))="","",IF($S103="","",IF(INDEX('_pockets'!$AB:$AB,$S103)="","",INDEX('_pockets'!$AB:$AB,$S103)))*IF($U$19,100,1))</f>
        <v/>
      </c>
      <c r="J103" s="114">
        <f>IF($S103="","",IF(INDEX('_pockets'!$Z:$Z,$S103)="","",INDEX('_pockets'!$Z:$Z,$S103)))</f>
        <v/>
      </c>
      <c r="K103" s="117">
        <f>IF($R103="","",IF(INDEX('_list'!$K$2:$K$652,$R103)="","",INDEX('_list'!$K$2:$K$652,$R103)))</f>
        <v/>
      </c>
      <c r="L103" s="118">
        <f>IF($S103="","",IF(INDEX('_pockets'!$AC:$AC,$S103)="","",INDEX('_pockets'!$AC:$AC,$S103)))</f>
        <v/>
      </c>
      <c r="M103" s="117">
        <f>IF($R103="","",IF(INDEX('_list'!$L$2:$L$652,$R103)="","",INDEX('_list'!$L$2:$L$652,$R103)))</f>
        <v/>
      </c>
      <c r="N103" s="116">
        <f>IF($R103="","",IF(INDEX('_list'!$H$2:$H$652,$R103)="","",INDEX('_list'!$H$2:$H$652,$R103)))</f>
        <v/>
      </c>
      <c r="O103" s="113">
        <f>IF($R103="","",IF(INDEX('_list'!$I$2:$I$652,$R103)="","",INDEX('_list'!$I$2:$I$652,$R103)))</f>
        <v/>
      </c>
      <c r="R103">
        <f>IFERROR(MATCH(83,'_list'!$N$2:$N$652,0),"")</f>
        <v/>
      </c>
      <c r="S103">
        <f>IF($R103="","",INDEX('_list'!$C$2:$C$652,$R103))</f>
        <v/>
      </c>
    </row>
    <row r="104" ht="16" customHeight="1">
      <c r="B104" s="112">
        <f>IF($R104="","",84)</f>
        <v/>
      </c>
      <c r="C104" s="113">
        <f>IF($R104="","",IF(INDEX('_list'!$D$2:$D$652,$R104)="","",INDEX('_list'!$D$2:$D$652,$R104)))</f>
        <v/>
      </c>
      <c r="D104" s="113">
        <f>IF($R104="","",IF(INDEX('_list'!$E$2:$E$652,$R104)="","",INDEX('_list'!$E$2:$E$652,$R104)))</f>
        <v/>
      </c>
      <c r="E104" s="113">
        <f>IF($R104="","",IF(INDEX('_list'!$F$2:$F$652,$R104)="","",INDEX('_list'!$F$2:$F$652,$R104)))</f>
        <v/>
      </c>
      <c r="F104" s="114">
        <f>IF($R104="","",IF(INDEX('_list'!$G$2:$G$652,$R104)="","",INDEX('_list'!$G$2:$G$652,$R104)))</f>
        <v/>
      </c>
      <c r="G104" s="115">
        <f>IF($S104="","",IF(INDEX('_pockets'!$AH:$AH,$S104)="","",INDEX('_pockets'!$AH:$AH,$S104)))</f>
        <v/>
      </c>
      <c r="H104" s="115">
        <f>IF($S104="","",IF(INDEX('_pockets'!$AF:$AF,$S104)="","",INDEX('_pockets'!$AF:$AF,$S104)))</f>
        <v/>
      </c>
      <c r="I104" s="116">
        <f>IF(IF($S104="","",IF(INDEX('_pockets'!$AB:$AB,$S104)="","",INDEX('_pockets'!$AB:$AB,$S104)))="","",IF($S104="","",IF(INDEX('_pockets'!$AB:$AB,$S104)="","",INDEX('_pockets'!$AB:$AB,$S104)))*IF($U$19,100,1))</f>
        <v/>
      </c>
      <c r="J104" s="114">
        <f>IF($S104="","",IF(INDEX('_pockets'!$Z:$Z,$S104)="","",INDEX('_pockets'!$Z:$Z,$S104)))</f>
        <v/>
      </c>
      <c r="K104" s="117">
        <f>IF($R104="","",IF(INDEX('_list'!$K$2:$K$652,$R104)="","",INDEX('_list'!$K$2:$K$652,$R104)))</f>
        <v/>
      </c>
      <c r="L104" s="118">
        <f>IF($S104="","",IF(INDEX('_pockets'!$AC:$AC,$S104)="","",INDEX('_pockets'!$AC:$AC,$S104)))</f>
        <v/>
      </c>
      <c r="M104" s="117">
        <f>IF($R104="","",IF(INDEX('_list'!$L$2:$L$652,$R104)="","",INDEX('_list'!$L$2:$L$652,$R104)))</f>
        <v/>
      </c>
      <c r="N104" s="116">
        <f>IF($R104="","",IF(INDEX('_list'!$H$2:$H$652,$R104)="","",INDEX('_list'!$H$2:$H$652,$R104)))</f>
        <v/>
      </c>
      <c r="O104" s="113">
        <f>IF($R104="","",IF(INDEX('_list'!$I$2:$I$652,$R104)="","",INDEX('_list'!$I$2:$I$652,$R104)))</f>
        <v/>
      </c>
      <c r="R104">
        <f>IFERROR(MATCH(84,'_list'!$N$2:$N$652,0),"")</f>
        <v/>
      </c>
      <c r="S104">
        <f>IF($R104="","",INDEX('_list'!$C$2:$C$652,$R104))</f>
        <v/>
      </c>
    </row>
    <row r="105" ht="16" customHeight="1">
      <c r="B105" s="112">
        <f>IF($R105="","",85)</f>
        <v/>
      </c>
      <c r="C105" s="113">
        <f>IF($R105="","",IF(INDEX('_list'!$D$2:$D$652,$R105)="","",INDEX('_list'!$D$2:$D$652,$R105)))</f>
        <v/>
      </c>
      <c r="D105" s="113">
        <f>IF($R105="","",IF(INDEX('_list'!$E$2:$E$652,$R105)="","",INDEX('_list'!$E$2:$E$652,$R105)))</f>
        <v/>
      </c>
      <c r="E105" s="113">
        <f>IF($R105="","",IF(INDEX('_list'!$F$2:$F$652,$R105)="","",INDEX('_list'!$F$2:$F$652,$R105)))</f>
        <v/>
      </c>
      <c r="F105" s="114">
        <f>IF($R105="","",IF(INDEX('_list'!$G$2:$G$652,$R105)="","",INDEX('_list'!$G$2:$G$652,$R105)))</f>
        <v/>
      </c>
      <c r="G105" s="115">
        <f>IF($S105="","",IF(INDEX('_pockets'!$AH:$AH,$S105)="","",INDEX('_pockets'!$AH:$AH,$S105)))</f>
        <v/>
      </c>
      <c r="H105" s="115">
        <f>IF($S105="","",IF(INDEX('_pockets'!$AF:$AF,$S105)="","",INDEX('_pockets'!$AF:$AF,$S105)))</f>
        <v/>
      </c>
      <c r="I105" s="116">
        <f>IF(IF($S105="","",IF(INDEX('_pockets'!$AB:$AB,$S105)="","",INDEX('_pockets'!$AB:$AB,$S105)))="","",IF($S105="","",IF(INDEX('_pockets'!$AB:$AB,$S105)="","",INDEX('_pockets'!$AB:$AB,$S105)))*IF($U$19,100,1))</f>
        <v/>
      </c>
      <c r="J105" s="114">
        <f>IF($S105="","",IF(INDEX('_pockets'!$Z:$Z,$S105)="","",INDEX('_pockets'!$Z:$Z,$S105)))</f>
        <v/>
      </c>
      <c r="K105" s="117">
        <f>IF($R105="","",IF(INDEX('_list'!$K$2:$K$652,$R105)="","",INDEX('_list'!$K$2:$K$652,$R105)))</f>
        <v/>
      </c>
      <c r="L105" s="118">
        <f>IF($S105="","",IF(INDEX('_pockets'!$AC:$AC,$S105)="","",INDEX('_pockets'!$AC:$AC,$S105)))</f>
        <v/>
      </c>
      <c r="M105" s="117">
        <f>IF($R105="","",IF(INDEX('_list'!$L$2:$L$652,$R105)="","",INDEX('_list'!$L$2:$L$652,$R105)))</f>
        <v/>
      </c>
      <c r="N105" s="116">
        <f>IF($R105="","",IF(INDEX('_list'!$H$2:$H$652,$R105)="","",INDEX('_list'!$H$2:$H$652,$R105)))</f>
        <v/>
      </c>
      <c r="O105" s="113">
        <f>IF($R105="","",IF(INDEX('_list'!$I$2:$I$652,$R105)="","",INDEX('_list'!$I$2:$I$652,$R105)))</f>
        <v/>
      </c>
      <c r="R105">
        <f>IFERROR(MATCH(85,'_list'!$N$2:$N$652,0),"")</f>
        <v/>
      </c>
      <c r="S105">
        <f>IF($R105="","",INDEX('_list'!$C$2:$C$652,$R105))</f>
        <v/>
      </c>
    </row>
    <row r="106" ht="16" customHeight="1">
      <c r="B106" s="112">
        <f>IF($R106="","",86)</f>
        <v/>
      </c>
      <c r="C106" s="113">
        <f>IF($R106="","",IF(INDEX('_list'!$D$2:$D$652,$R106)="","",INDEX('_list'!$D$2:$D$652,$R106)))</f>
        <v/>
      </c>
      <c r="D106" s="113">
        <f>IF($R106="","",IF(INDEX('_list'!$E$2:$E$652,$R106)="","",INDEX('_list'!$E$2:$E$652,$R106)))</f>
        <v/>
      </c>
      <c r="E106" s="113">
        <f>IF($R106="","",IF(INDEX('_list'!$F$2:$F$652,$R106)="","",INDEX('_list'!$F$2:$F$652,$R106)))</f>
        <v/>
      </c>
      <c r="F106" s="114">
        <f>IF($R106="","",IF(INDEX('_list'!$G$2:$G$652,$R106)="","",INDEX('_list'!$G$2:$G$652,$R106)))</f>
        <v/>
      </c>
      <c r="G106" s="115">
        <f>IF($S106="","",IF(INDEX('_pockets'!$AH:$AH,$S106)="","",INDEX('_pockets'!$AH:$AH,$S106)))</f>
        <v/>
      </c>
      <c r="H106" s="115">
        <f>IF($S106="","",IF(INDEX('_pockets'!$AF:$AF,$S106)="","",INDEX('_pockets'!$AF:$AF,$S106)))</f>
        <v/>
      </c>
      <c r="I106" s="116">
        <f>IF(IF($S106="","",IF(INDEX('_pockets'!$AB:$AB,$S106)="","",INDEX('_pockets'!$AB:$AB,$S106)))="","",IF($S106="","",IF(INDEX('_pockets'!$AB:$AB,$S106)="","",INDEX('_pockets'!$AB:$AB,$S106)))*IF($U$19,100,1))</f>
        <v/>
      </c>
      <c r="J106" s="114">
        <f>IF($S106="","",IF(INDEX('_pockets'!$Z:$Z,$S106)="","",INDEX('_pockets'!$Z:$Z,$S106)))</f>
        <v/>
      </c>
      <c r="K106" s="117">
        <f>IF($R106="","",IF(INDEX('_list'!$K$2:$K$652,$R106)="","",INDEX('_list'!$K$2:$K$652,$R106)))</f>
        <v/>
      </c>
      <c r="L106" s="118">
        <f>IF($S106="","",IF(INDEX('_pockets'!$AC:$AC,$S106)="","",INDEX('_pockets'!$AC:$AC,$S106)))</f>
        <v/>
      </c>
      <c r="M106" s="117">
        <f>IF($R106="","",IF(INDEX('_list'!$L$2:$L$652,$R106)="","",INDEX('_list'!$L$2:$L$652,$R106)))</f>
        <v/>
      </c>
      <c r="N106" s="116">
        <f>IF($R106="","",IF(INDEX('_list'!$H$2:$H$652,$R106)="","",INDEX('_list'!$H$2:$H$652,$R106)))</f>
        <v/>
      </c>
      <c r="O106" s="113">
        <f>IF($R106="","",IF(INDEX('_list'!$I$2:$I$652,$R106)="","",INDEX('_list'!$I$2:$I$652,$R106)))</f>
        <v/>
      </c>
      <c r="R106">
        <f>IFERROR(MATCH(86,'_list'!$N$2:$N$652,0),"")</f>
        <v/>
      </c>
      <c r="S106">
        <f>IF($R106="","",INDEX('_list'!$C$2:$C$652,$R106))</f>
        <v/>
      </c>
    </row>
    <row r="107" ht="16" customHeight="1">
      <c r="B107" s="112">
        <f>IF($R107="","",87)</f>
        <v/>
      </c>
      <c r="C107" s="113">
        <f>IF($R107="","",IF(INDEX('_list'!$D$2:$D$652,$R107)="","",INDEX('_list'!$D$2:$D$652,$R107)))</f>
        <v/>
      </c>
      <c r="D107" s="113">
        <f>IF($R107="","",IF(INDEX('_list'!$E$2:$E$652,$R107)="","",INDEX('_list'!$E$2:$E$652,$R107)))</f>
        <v/>
      </c>
      <c r="E107" s="113">
        <f>IF($R107="","",IF(INDEX('_list'!$F$2:$F$652,$R107)="","",INDEX('_list'!$F$2:$F$652,$R107)))</f>
        <v/>
      </c>
      <c r="F107" s="114">
        <f>IF($R107="","",IF(INDEX('_list'!$G$2:$G$652,$R107)="","",INDEX('_list'!$G$2:$G$652,$R107)))</f>
        <v/>
      </c>
      <c r="G107" s="115">
        <f>IF($S107="","",IF(INDEX('_pockets'!$AH:$AH,$S107)="","",INDEX('_pockets'!$AH:$AH,$S107)))</f>
        <v/>
      </c>
      <c r="H107" s="115">
        <f>IF($S107="","",IF(INDEX('_pockets'!$AF:$AF,$S107)="","",INDEX('_pockets'!$AF:$AF,$S107)))</f>
        <v/>
      </c>
      <c r="I107" s="116">
        <f>IF(IF($S107="","",IF(INDEX('_pockets'!$AB:$AB,$S107)="","",INDEX('_pockets'!$AB:$AB,$S107)))="","",IF($S107="","",IF(INDEX('_pockets'!$AB:$AB,$S107)="","",INDEX('_pockets'!$AB:$AB,$S107)))*IF($U$19,100,1))</f>
        <v/>
      </c>
      <c r="J107" s="114">
        <f>IF($S107="","",IF(INDEX('_pockets'!$Z:$Z,$S107)="","",INDEX('_pockets'!$Z:$Z,$S107)))</f>
        <v/>
      </c>
      <c r="K107" s="117">
        <f>IF($R107="","",IF(INDEX('_list'!$K$2:$K$652,$R107)="","",INDEX('_list'!$K$2:$K$652,$R107)))</f>
        <v/>
      </c>
      <c r="L107" s="118">
        <f>IF($S107="","",IF(INDEX('_pockets'!$AC:$AC,$S107)="","",INDEX('_pockets'!$AC:$AC,$S107)))</f>
        <v/>
      </c>
      <c r="M107" s="117">
        <f>IF($R107="","",IF(INDEX('_list'!$L$2:$L$652,$R107)="","",INDEX('_list'!$L$2:$L$652,$R107)))</f>
        <v/>
      </c>
      <c r="N107" s="116">
        <f>IF($R107="","",IF(INDEX('_list'!$H$2:$H$652,$R107)="","",INDEX('_list'!$H$2:$H$652,$R107)))</f>
        <v/>
      </c>
      <c r="O107" s="113">
        <f>IF($R107="","",IF(INDEX('_list'!$I$2:$I$652,$R107)="","",INDEX('_list'!$I$2:$I$652,$R107)))</f>
        <v/>
      </c>
      <c r="R107">
        <f>IFERROR(MATCH(87,'_list'!$N$2:$N$652,0),"")</f>
        <v/>
      </c>
      <c r="S107">
        <f>IF($R107="","",INDEX('_list'!$C$2:$C$652,$R107))</f>
        <v/>
      </c>
    </row>
    <row r="108" ht="16" customHeight="1">
      <c r="B108" s="112">
        <f>IF($R108="","",88)</f>
        <v/>
      </c>
      <c r="C108" s="113">
        <f>IF($R108="","",IF(INDEX('_list'!$D$2:$D$652,$R108)="","",INDEX('_list'!$D$2:$D$652,$R108)))</f>
        <v/>
      </c>
      <c r="D108" s="113">
        <f>IF($R108="","",IF(INDEX('_list'!$E$2:$E$652,$R108)="","",INDEX('_list'!$E$2:$E$652,$R108)))</f>
        <v/>
      </c>
      <c r="E108" s="113">
        <f>IF($R108="","",IF(INDEX('_list'!$F$2:$F$652,$R108)="","",INDEX('_list'!$F$2:$F$652,$R108)))</f>
        <v/>
      </c>
      <c r="F108" s="114">
        <f>IF($R108="","",IF(INDEX('_list'!$G$2:$G$652,$R108)="","",INDEX('_list'!$G$2:$G$652,$R108)))</f>
        <v/>
      </c>
      <c r="G108" s="115">
        <f>IF($S108="","",IF(INDEX('_pockets'!$AH:$AH,$S108)="","",INDEX('_pockets'!$AH:$AH,$S108)))</f>
        <v/>
      </c>
      <c r="H108" s="115">
        <f>IF($S108="","",IF(INDEX('_pockets'!$AF:$AF,$S108)="","",INDEX('_pockets'!$AF:$AF,$S108)))</f>
        <v/>
      </c>
      <c r="I108" s="116">
        <f>IF(IF($S108="","",IF(INDEX('_pockets'!$AB:$AB,$S108)="","",INDEX('_pockets'!$AB:$AB,$S108)))="","",IF($S108="","",IF(INDEX('_pockets'!$AB:$AB,$S108)="","",INDEX('_pockets'!$AB:$AB,$S108)))*IF($U$19,100,1))</f>
        <v/>
      </c>
      <c r="J108" s="114">
        <f>IF($S108="","",IF(INDEX('_pockets'!$Z:$Z,$S108)="","",INDEX('_pockets'!$Z:$Z,$S108)))</f>
        <v/>
      </c>
      <c r="K108" s="117">
        <f>IF($R108="","",IF(INDEX('_list'!$K$2:$K$652,$R108)="","",INDEX('_list'!$K$2:$K$652,$R108)))</f>
        <v/>
      </c>
      <c r="L108" s="118">
        <f>IF($S108="","",IF(INDEX('_pockets'!$AC:$AC,$S108)="","",INDEX('_pockets'!$AC:$AC,$S108)))</f>
        <v/>
      </c>
      <c r="M108" s="117">
        <f>IF($R108="","",IF(INDEX('_list'!$L$2:$L$652,$R108)="","",INDEX('_list'!$L$2:$L$652,$R108)))</f>
        <v/>
      </c>
      <c r="N108" s="116">
        <f>IF($R108="","",IF(INDEX('_list'!$H$2:$H$652,$R108)="","",INDEX('_list'!$H$2:$H$652,$R108)))</f>
        <v/>
      </c>
      <c r="O108" s="113">
        <f>IF($R108="","",IF(INDEX('_list'!$I$2:$I$652,$R108)="","",INDEX('_list'!$I$2:$I$652,$R108)))</f>
        <v/>
      </c>
      <c r="R108">
        <f>IFERROR(MATCH(88,'_list'!$N$2:$N$652,0),"")</f>
        <v/>
      </c>
      <c r="S108">
        <f>IF($R108="","",INDEX('_list'!$C$2:$C$652,$R108))</f>
        <v/>
      </c>
    </row>
    <row r="109" ht="16" customHeight="1">
      <c r="B109" s="112">
        <f>IF($R109="","",89)</f>
        <v/>
      </c>
      <c r="C109" s="113">
        <f>IF($R109="","",IF(INDEX('_list'!$D$2:$D$652,$R109)="","",INDEX('_list'!$D$2:$D$652,$R109)))</f>
        <v/>
      </c>
      <c r="D109" s="113">
        <f>IF($R109="","",IF(INDEX('_list'!$E$2:$E$652,$R109)="","",INDEX('_list'!$E$2:$E$652,$R109)))</f>
        <v/>
      </c>
      <c r="E109" s="113">
        <f>IF($R109="","",IF(INDEX('_list'!$F$2:$F$652,$R109)="","",INDEX('_list'!$F$2:$F$652,$R109)))</f>
        <v/>
      </c>
      <c r="F109" s="114">
        <f>IF($R109="","",IF(INDEX('_list'!$G$2:$G$652,$R109)="","",INDEX('_list'!$G$2:$G$652,$R109)))</f>
        <v/>
      </c>
      <c r="G109" s="115">
        <f>IF($S109="","",IF(INDEX('_pockets'!$AH:$AH,$S109)="","",INDEX('_pockets'!$AH:$AH,$S109)))</f>
        <v/>
      </c>
      <c r="H109" s="115">
        <f>IF($S109="","",IF(INDEX('_pockets'!$AF:$AF,$S109)="","",INDEX('_pockets'!$AF:$AF,$S109)))</f>
        <v/>
      </c>
      <c r="I109" s="116">
        <f>IF(IF($S109="","",IF(INDEX('_pockets'!$AB:$AB,$S109)="","",INDEX('_pockets'!$AB:$AB,$S109)))="","",IF($S109="","",IF(INDEX('_pockets'!$AB:$AB,$S109)="","",INDEX('_pockets'!$AB:$AB,$S109)))*IF($U$19,100,1))</f>
        <v/>
      </c>
      <c r="J109" s="114">
        <f>IF($S109="","",IF(INDEX('_pockets'!$Z:$Z,$S109)="","",INDEX('_pockets'!$Z:$Z,$S109)))</f>
        <v/>
      </c>
      <c r="K109" s="117">
        <f>IF($R109="","",IF(INDEX('_list'!$K$2:$K$652,$R109)="","",INDEX('_list'!$K$2:$K$652,$R109)))</f>
        <v/>
      </c>
      <c r="L109" s="118">
        <f>IF($S109="","",IF(INDEX('_pockets'!$AC:$AC,$S109)="","",INDEX('_pockets'!$AC:$AC,$S109)))</f>
        <v/>
      </c>
      <c r="M109" s="117">
        <f>IF($R109="","",IF(INDEX('_list'!$L$2:$L$652,$R109)="","",INDEX('_list'!$L$2:$L$652,$R109)))</f>
        <v/>
      </c>
      <c r="N109" s="116">
        <f>IF($R109="","",IF(INDEX('_list'!$H$2:$H$652,$R109)="","",INDEX('_list'!$H$2:$H$652,$R109)))</f>
        <v/>
      </c>
      <c r="O109" s="113">
        <f>IF($R109="","",IF(INDEX('_list'!$I$2:$I$652,$R109)="","",INDEX('_list'!$I$2:$I$652,$R109)))</f>
        <v/>
      </c>
      <c r="R109">
        <f>IFERROR(MATCH(89,'_list'!$N$2:$N$652,0),"")</f>
        <v/>
      </c>
      <c r="S109">
        <f>IF($R109="","",INDEX('_list'!$C$2:$C$652,$R109))</f>
        <v/>
      </c>
    </row>
    <row r="110" ht="16" customHeight="1">
      <c r="B110" s="112">
        <f>IF($R110="","",90)</f>
        <v/>
      </c>
      <c r="C110" s="113">
        <f>IF($R110="","",IF(INDEX('_list'!$D$2:$D$652,$R110)="","",INDEX('_list'!$D$2:$D$652,$R110)))</f>
        <v/>
      </c>
      <c r="D110" s="113">
        <f>IF($R110="","",IF(INDEX('_list'!$E$2:$E$652,$R110)="","",INDEX('_list'!$E$2:$E$652,$R110)))</f>
        <v/>
      </c>
      <c r="E110" s="113">
        <f>IF($R110="","",IF(INDEX('_list'!$F$2:$F$652,$R110)="","",INDEX('_list'!$F$2:$F$652,$R110)))</f>
        <v/>
      </c>
      <c r="F110" s="114">
        <f>IF($R110="","",IF(INDEX('_list'!$G$2:$G$652,$R110)="","",INDEX('_list'!$G$2:$G$652,$R110)))</f>
        <v/>
      </c>
      <c r="G110" s="115">
        <f>IF($S110="","",IF(INDEX('_pockets'!$AH:$AH,$S110)="","",INDEX('_pockets'!$AH:$AH,$S110)))</f>
        <v/>
      </c>
      <c r="H110" s="115">
        <f>IF($S110="","",IF(INDEX('_pockets'!$AF:$AF,$S110)="","",INDEX('_pockets'!$AF:$AF,$S110)))</f>
        <v/>
      </c>
      <c r="I110" s="116">
        <f>IF(IF($S110="","",IF(INDEX('_pockets'!$AB:$AB,$S110)="","",INDEX('_pockets'!$AB:$AB,$S110)))="","",IF($S110="","",IF(INDEX('_pockets'!$AB:$AB,$S110)="","",INDEX('_pockets'!$AB:$AB,$S110)))*IF($U$19,100,1))</f>
        <v/>
      </c>
      <c r="J110" s="114">
        <f>IF($S110="","",IF(INDEX('_pockets'!$Z:$Z,$S110)="","",INDEX('_pockets'!$Z:$Z,$S110)))</f>
        <v/>
      </c>
      <c r="K110" s="117">
        <f>IF($R110="","",IF(INDEX('_list'!$K$2:$K$652,$R110)="","",INDEX('_list'!$K$2:$K$652,$R110)))</f>
        <v/>
      </c>
      <c r="L110" s="118">
        <f>IF($S110="","",IF(INDEX('_pockets'!$AC:$AC,$S110)="","",INDEX('_pockets'!$AC:$AC,$S110)))</f>
        <v/>
      </c>
      <c r="M110" s="117">
        <f>IF($R110="","",IF(INDEX('_list'!$L$2:$L$652,$R110)="","",INDEX('_list'!$L$2:$L$652,$R110)))</f>
        <v/>
      </c>
      <c r="N110" s="116">
        <f>IF($R110="","",IF(INDEX('_list'!$H$2:$H$652,$R110)="","",INDEX('_list'!$H$2:$H$652,$R110)))</f>
        <v/>
      </c>
      <c r="O110" s="113">
        <f>IF($R110="","",IF(INDEX('_list'!$I$2:$I$652,$R110)="","",INDEX('_list'!$I$2:$I$652,$R110)))</f>
        <v/>
      </c>
      <c r="R110">
        <f>IFERROR(MATCH(90,'_list'!$N$2:$N$652,0),"")</f>
        <v/>
      </c>
      <c r="S110">
        <f>IF($R110="","",INDEX('_list'!$C$2:$C$652,$R110))</f>
        <v/>
      </c>
    </row>
    <row r="111" ht="16" customHeight="1">
      <c r="B111" s="112">
        <f>IF($R111="","",91)</f>
        <v/>
      </c>
      <c r="C111" s="113">
        <f>IF($R111="","",IF(INDEX('_list'!$D$2:$D$652,$R111)="","",INDEX('_list'!$D$2:$D$652,$R111)))</f>
        <v/>
      </c>
      <c r="D111" s="113">
        <f>IF($R111="","",IF(INDEX('_list'!$E$2:$E$652,$R111)="","",INDEX('_list'!$E$2:$E$652,$R111)))</f>
        <v/>
      </c>
      <c r="E111" s="113">
        <f>IF($R111="","",IF(INDEX('_list'!$F$2:$F$652,$R111)="","",INDEX('_list'!$F$2:$F$652,$R111)))</f>
        <v/>
      </c>
      <c r="F111" s="114">
        <f>IF($R111="","",IF(INDEX('_list'!$G$2:$G$652,$R111)="","",INDEX('_list'!$G$2:$G$652,$R111)))</f>
        <v/>
      </c>
      <c r="G111" s="115">
        <f>IF($S111="","",IF(INDEX('_pockets'!$AH:$AH,$S111)="","",INDEX('_pockets'!$AH:$AH,$S111)))</f>
        <v/>
      </c>
      <c r="H111" s="115">
        <f>IF($S111="","",IF(INDEX('_pockets'!$AF:$AF,$S111)="","",INDEX('_pockets'!$AF:$AF,$S111)))</f>
        <v/>
      </c>
      <c r="I111" s="116">
        <f>IF(IF($S111="","",IF(INDEX('_pockets'!$AB:$AB,$S111)="","",INDEX('_pockets'!$AB:$AB,$S111)))="","",IF($S111="","",IF(INDEX('_pockets'!$AB:$AB,$S111)="","",INDEX('_pockets'!$AB:$AB,$S111)))*IF($U$19,100,1))</f>
        <v/>
      </c>
      <c r="J111" s="114">
        <f>IF($S111="","",IF(INDEX('_pockets'!$Z:$Z,$S111)="","",INDEX('_pockets'!$Z:$Z,$S111)))</f>
        <v/>
      </c>
      <c r="K111" s="117">
        <f>IF($R111="","",IF(INDEX('_list'!$K$2:$K$652,$R111)="","",INDEX('_list'!$K$2:$K$652,$R111)))</f>
        <v/>
      </c>
      <c r="L111" s="118">
        <f>IF($S111="","",IF(INDEX('_pockets'!$AC:$AC,$S111)="","",INDEX('_pockets'!$AC:$AC,$S111)))</f>
        <v/>
      </c>
      <c r="M111" s="117">
        <f>IF($R111="","",IF(INDEX('_list'!$L$2:$L$652,$R111)="","",INDEX('_list'!$L$2:$L$652,$R111)))</f>
        <v/>
      </c>
      <c r="N111" s="116">
        <f>IF($R111="","",IF(INDEX('_list'!$H$2:$H$652,$R111)="","",INDEX('_list'!$H$2:$H$652,$R111)))</f>
        <v/>
      </c>
      <c r="O111" s="113">
        <f>IF($R111="","",IF(INDEX('_list'!$I$2:$I$652,$R111)="","",INDEX('_list'!$I$2:$I$652,$R111)))</f>
        <v/>
      </c>
      <c r="R111">
        <f>IFERROR(MATCH(91,'_list'!$N$2:$N$652,0),"")</f>
        <v/>
      </c>
      <c r="S111">
        <f>IF($R111="","",INDEX('_list'!$C$2:$C$652,$R111))</f>
        <v/>
      </c>
    </row>
    <row r="112" ht="16" customHeight="1">
      <c r="B112" s="112">
        <f>IF($R112="","",92)</f>
        <v/>
      </c>
      <c r="C112" s="113">
        <f>IF($R112="","",IF(INDEX('_list'!$D$2:$D$652,$R112)="","",INDEX('_list'!$D$2:$D$652,$R112)))</f>
        <v/>
      </c>
      <c r="D112" s="113">
        <f>IF($R112="","",IF(INDEX('_list'!$E$2:$E$652,$R112)="","",INDEX('_list'!$E$2:$E$652,$R112)))</f>
        <v/>
      </c>
      <c r="E112" s="113">
        <f>IF($R112="","",IF(INDEX('_list'!$F$2:$F$652,$R112)="","",INDEX('_list'!$F$2:$F$652,$R112)))</f>
        <v/>
      </c>
      <c r="F112" s="114">
        <f>IF($R112="","",IF(INDEX('_list'!$G$2:$G$652,$R112)="","",INDEX('_list'!$G$2:$G$652,$R112)))</f>
        <v/>
      </c>
      <c r="G112" s="115">
        <f>IF($S112="","",IF(INDEX('_pockets'!$AH:$AH,$S112)="","",INDEX('_pockets'!$AH:$AH,$S112)))</f>
        <v/>
      </c>
      <c r="H112" s="115">
        <f>IF($S112="","",IF(INDEX('_pockets'!$AF:$AF,$S112)="","",INDEX('_pockets'!$AF:$AF,$S112)))</f>
        <v/>
      </c>
      <c r="I112" s="116">
        <f>IF(IF($S112="","",IF(INDEX('_pockets'!$AB:$AB,$S112)="","",INDEX('_pockets'!$AB:$AB,$S112)))="","",IF($S112="","",IF(INDEX('_pockets'!$AB:$AB,$S112)="","",INDEX('_pockets'!$AB:$AB,$S112)))*IF($U$19,100,1))</f>
        <v/>
      </c>
      <c r="J112" s="114">
        <f>IF($S112="","",IF(INDEX('_pockets'!$Z:$Z,$S112)="","",INDEX('_pockets'!$Z:$Z,$S112)))</f>
        <v/>
      </c>
      <c r="K112" s="117">
        <f>IF($R112="","",IF(INDEX('_list'!$K$2:$K$652,$R112)="","",INDEX('_list'!$K$2:$K$652,$R112)))</f>
        <v/>
      </c>
      <c r="L112" s="118">
        <f>IF($S112="","",IF(INDEX('_pockets'!$AC:$AC,$S112)="","",INDEX('_pockets'!$AC:$AC,$S112)))</f>
        <v/>
      </c>
      <c r="M112" s="117">
        <f>IF($R112="","",IF(INDEX('_list'!$L$2:$L$652,$R112)="","",INDEX('_list'!$L$2:$L$652,$R112)))</f>
        <v/>
      </c>
      <c r="N112" s="116">
        <f>IF($R112="","",IF(INDEX('_list'!$H$2:$H$652,$R112)="","",INDEX('_list'!$H$2:$H$652,$R112)))</f>
        <v/>
      </c>
      <c r="O112" s="113">
        <f>IF($R112="","",IF(INDEX('_list'!$I$2:$I$652,$R112)="","",INDEX('_list'!$I$2:$I$652,$R112)))</f>
        <v/>
      </c>
      <c r="R112">
        <f>IFERROR(MATCH(92,'_list'!$N$2:$N$652,0),"")</f>
        <v/>
      </c>
      <c r="S112">
        <f>IF($R112="","",INDEX('_list'!$C$2:$C$652,$R112))</f>
        <v/>
      </c>
    </row>
    <row r="113" ht="16" customHeight="1">
      <c r="B113" s="112">
        <f>IF($R113="","",93)</f>
        <v/>
      </c>
      <c r="C113" s="113">
        <f>IF($R113="","",IF(INDEX('_list'!$D$2:$D$652,$R113)="","",INDEX('_list'!$D$2:$D$652,$R113)))</f>
        <v/>
      </c>
      <c r="D113" s="113">
        <f>IF($R113="","",IF(INDEX('_list'!$E$2:$E$652,$R113)="","",INDEX('_list'!$E$2:$E$652,$R113)))</f>
        <v/>
      </c>
      <c r="E113" s="113">
        <f>IF($R113="","",IF(INDEX('_list'!$F$2:$F$652,$R113)="","",INDEX('_list'!$F$2:$F$652,$R113)))</f>
        <v/>
      </c>
      <c r="F113" s="114">
        <f>IF($R113="","",IF(INDEX('_list'!$G$2:$G$652,$R113)="","",INDEX('_list'!$G$2:$G$652,$R113)))</f>
        <v/>
      </c>
      <c r="G113" s="115">
        <f>IF($S113="","",IF(INDEX('_pockets'!$AH:$AH,$S113)="","",INDEX('_pockets'!$AH:$AH,$S113)))</f>
        <v/>
      </c>
      <c r="H113" s="115">
        <f>IF($S113="","",IF(INDEX('_pockets'!$AF:$AF,$S113)="","",INDEX('_pockets'!$AF:$AF,$S113)))</f>
        <v/>
      </c>
      <c r="I113" s="116">
        <f>IF(IF($S113="","",IF(INDEX('_pockets'!$AB:$AB,$S113)="","",INDEX('_pockets'!$AB:$AB,$S113)))="","",IF($S113="","",IF(INDEX('_pockets'!$AB:$AB,$S113)="","",INDEX('_pockets'!$AB:$AB,$S113)))*IF($U$19,100,1))</f>
        <v/>
      </c>
      <c r="J113" s="114">
        <f>IF($S113="","",IF(INDEX('_pockets'!$Z:$Z,$S113)="","",INDEX('_pockets'!$Z:$Z,$S113)))</f>
        <v/>
      </c>
      <c r="K113" s="117">
        <f>IF($R113="","",IF(INDEX('_list'!$K$2:$K$652,$R113)="","",INDEX('_list'!$K$2:$K$652,$R113)))</f>
        <v/>
      </c>
      <c r="L113" s="118">
        <f>IF($S113="","",IF(INDEX('_pockets'!$AC:$AC,$S113)="","",INDEX('_pockets'!$AC:$AC,$S113)))</f>
        <v/>
      </c>
      <c r="M113" s="117">
        <f>IF($R113="","",IF(INDEX('_list'!$L$2:$L$652,$R113)="","",INDEX('_list'!$L$2:$L$652,$R113)))</f>
        <v/>
      </c>
      <c r="N113" s="116">
        <f>IF($R113="","",IF(INDEX('_list'!$H$2:$H$652,$R113)="","",INDEX('_list'!$H$2:$H$652,$R113)))</f>
        <v/>
      </c>
      <c r="O113" s="113">
        <f>IF($R113="","",IF(INDEX('_list'!$I$2:$I$652,$R113)="","",INDEX('_list'!$I$2:$I$652,$R113)))</f>
        <v/>
      </c>
      <c r="R113">
        <f>IFERROR(MATCH(93,'_list'!$N$2:$N$652,0),"")</f>
        <v/>
      </c>
      <c r="S113">
        <f>IF($R113="","",INDEX('_list'!$C$2:$C$652,$R113))</f>
        <v/>
      </c>
    </row>
    <row r="114" ht="16" customHeight="1">
      <c r="B114" s="112">
        <f>IF($R114="","",94)</f>
        <v/>
      </c>
      <c r="C114" s="113">
        <f>IF($R114="","",IF(INDEX('_list'!$D$2:$D$652,$R114)="","",INDEX('_list'!$D$2:$D$652,$R114)))</f>
        <v/>
      </c>
      <c r="D114" s="113">
        <f>IF($R114="","",IF(INDEX('_list'!$E$2:$E$652,$R114)="","",INDEX('_list'!$E$2:$E$652,$R114)))</f>
        <v/>
      </c>
      <c r="E114" s="113">
        <f>IF($R114="","",IF(INDEX('_list'!$F$2:$F$652,$R114)="","",INDEX('_list'!$F$2:$F$652,$R114)))</f>
        <v/>
      </c>
      <c r="F114" s="114">
        <f>IF($R114="","",IF(INDEX('_list'!$G$2:$G$652,$R114)="","",INDEX('_list'!$G$2:$G$652,$R114)))</f>
        <v/>
      </c>
      <c r="G114" s="115">
        <f>IF($S114="","",IF(INDEX('_pockets'!$AH:$AH,$S114)="","",INDEX('_pockets'!$AH:$AH,$S114)))</f>
        <v/>
      </c>
      <c r="H114" s="115">
        <f>IF($S114="","",IF(INDEX('_pockets'!$AF:$AF,$S114)="","",INDEX('_pockets'!$AF:$AF,$S114)))</f>
        <v/>
      </c>
      <c r="I114" s="116">
        <f>IF(IF($S114="","",IF(INDEX('_pockets'!$AB:$AB,$S114)="","",INDEX('_pockets'!$AB:$AB,$S114)))="","",IF($S114="","",IF(INDEX('_pockets'!$AB:$AB,$S114)="","",INDEX('_pockets'!$AB:$AB,$S114)))*IF($U$19,100,1))</f>
        <v/>
      </c>
      <c r="J114" s="114">
        <f>IF($S114="","",IF(INDEX('_pockets'!$Z:$Z,$S114)="","",INDEX('_pockets'!$Z:$Z,$S114)))</f>
        <v/>
      </c>
      <c r="K114" s="117">
        <f>IF($R114="","",IF(INDEX('_list'!$K$2:$K$652,$R114)="","",INDEX('_list'!$K$2:$K$652,$R114)))</f>
        <v/>
      </c>
      <c r="L114" s="118">
        <f>IF($S114="","",IF(INDEX('_pockets'!$AC:$AC,$S114)="","",INDEX('_pockets'!$AC:$AC,$S114)))</f>
        <v/>
      </c>
      <c r="M114" s="117">
        <f>IF($R114="","",IF(INDEX('_list'!$L$2:$L$652,$R114)="","",INDEX('_list'!$L$2:$L$652,$R114)))</f>
        <v/>
      </c>
      <c r="N114" s="116">
        <f>IF($R114="","",IF(INDEX('_list'!$H$2:$H$652,$R114)="","",INDEX('_list'!$H$2:$H$652,$R114)))</f>
        <v/>
      </c>
      <c r="O114" s="113">
        <f>IF($R114="","",IF(INDEX('_list'!$I$2:$I$652,$R114)="","",INDEX('_list'!$I$2:$I$652,$R114)))</f>
        <v/>
      </c>
      <c r="R114">
        <f>IFERROR(MATCH(94,'_list'!$N$2:$N$652,0),"")</f>
        <v/>
      </c>
      <c r="S114">
        <f>IF($R114="","",INDEX('_list'!$C$2:$C$652,$R114))</f>
        <v/>
      </c>
    </row>
    <row r="115" ht="16" customHeight="1">
      <c r="B115" s="112">
        <f>IF($R115="","",95)</f>
        <v/>
      </c>
      <c r="C115" s="113">
        <f>IF($R115="","",IF(INDEX('_list'!$D$2:$D$652,$R115)="","",INDEX('_list'!$D$2:$D$652,$R115)))</f>
        <v/>
      </c>
      <c r="D115" s="113">
        <f>IF($R115="","",IF(INDEX('_list'!$E$2:$E$652,$R115)="","",INDEX('_list'!$E$2:$E$652,$R115)))</f>
        <v/>
      </c>
      <c r="E115" s="113">
        <f>IF($R115="","",IF(INDEX('_list'!$F$2:$F$652,$R115)="","",INDEX('_list'!$F$2:$F$652,$R115)))</f>
        <v/>
      </c>
      <c r="F115" s="114">
        <f>IF($R115="","",IF(INDEX('_list'!$G$2:$G$652,$R115)="","",INDEX('_list'!$G$2:$G$652,$R115)))</f>
        <v/>
      </c>
      <c r="G115" s="115">
        <f>IF($S115="","",IF(INDEX('_pockets'!$AH:$AH,$S115)="","",INDEX('_pockets'!$AH:$AH,$S115)))</f>
        <v/>
      </c>
      <c r="H115" s="115">
        <f>IF($S115="","",IF(INDEX('_pockets'!$AF:$AF,$S115)="","",INDEX('_pockets'!$AF:$AF,$S115)))</f>
        <v/>
      </c>
      <c r="I115" s="116">
        <f>IF(IF($S115="","",IF(INDEX('_pockets'!$AB:$AB,$S115)="","",INDEX('_pockets'!$AB:$AB,$S115)))="","",IF($S115="","",IF(INDEX('_pockets'!$AB:$AB,$S115)="","",INDEX('_pockets'!$AB:$AB,$S115)))*IF($U$19,100,1))</f>
        <v/>
      </c>
      <c r="J115" s="114">
        <f>IF($S115="","",IF(INDEX('_pockets'!$Z:$Z,$S115)="","",INDEX('_pockets'!$Z:$Z,$S115)))</f>
        <v/>
      </c>
      <c r="K115" s="117">
        <f>IF($R115="","",IF(INDEX('_list'!$K$2:$K$652,$R115)="","",INDEX('_list'!$K$2:$K$652,$R115)))</f>
        <v/>
      </c>
      <c r="L115" s="118">
        <f>IF($S115="","",IF(INDEX('_pockets'!$AC:$AC,$S115)="","",INDEX('_pockets'!$AC:$AC,$S115)))</f>
        <v/>
      </c>
      <c r="M115" s="117">
        <f>IF($R115="","",IF(INDEX('_list'!$L$2:$L$652,$R115)="","",INDEX('_list'!$L$2:$L$652,$R115)))</f>
        <v/>
      </c>
      <c r="N115" s="116">
        <f>IF($R115="","",IF(INDEX('_list'!$H$2:$H$652,$R115)="","",INDEX('_list'!$H$2:$H$652,$R115)))</f>
        <v/>
      </c>
      <c r="O115" s="113">
        <f>IF($R115="","",IF(INDEX('_list'!$I$2:$I$652,$R115)="","",INDEX('_list'!$I$2:$I$652,$R115)))</f>
        <v/>
      </c>
      <c r="R115">
        <f>IFERROR(MATCH(95,'_list'!$N$2:$N$652,0),"")</f>
        <v/>
      </c>
      <c r="S115">
        <f>IF($R115="","",INDEX('_list'!$C$2:$C$652,$R115))</f>
        <v/>
      </c>
    </row>
    <row r="116" ht="16" customHeight="1">
      <c r="B116" s="112">
        <f>IF($R116="","",96)</f>
        <v/>
      </c>
      <c r="C116" s="113">
        <f>IF($R116="","",IF(INDEX('_list'!$D$2:$D$652,$R116)="","",INDEX('_list'!$D$2:$D$652,$R116)))</f>
        <v/>
      </c>
      <c r="D116" s="113">
        <f>IF($R116="","",IF(INDEX('_list'!$E$2:$E$652,$R116)="","",INDEX('_list'!$E$2:$E$652,$R116)))</f>
        <v/>
      </c>
      <c r="E116" s="113">
        <f>IF($R116="","",IF(INDEX('_list'!$F$2:$F$652,$R116)="","",INDEX('_list'!$F$2:$F$652,$R116)))</f>
        <v/>
      </c>
      <c r="F116" s="114">
        <f>IF($R116="","",IF(INDEX('_list'!$G$2:$G$652,$R116)="","",INDEX('_list'!$G$2:$G$652,$R116)))</f>
        <v/>
      </c>
      <c r="G116" s="115">
        <f>IF($S116="","",IF(INDEX('_pockets'!$AH:$AH,$S116)="","",INDEX('_pockets'!$AH:$AH,$S116)))</f>
        <v/>
      </c>
      <c r="H116" s="115">
        <f>IF($S116="","",IF(INDEX('_pockets'!$AF:$AF,$S116)="","",INDEX('_pockets'!$AF:$AF,$S116)))</f>
        <v/>
      </c>
      <c r="I116" s="116">
        <f>IF(IF($S116="","",IF(INDEX('_pockets'!$AB:$AB,$S116)="","",INDEX('_pockets'!$AB:$AB,$S116)))="","",IF($S116="","",IF(INDEX('_pockets'!$AB:$AB,$S116)="","",INDEX('_pockets'!$AB:$AB,$S116)))*IF($U$19,100,1))</f>
        <v/>
      </c>
      <c r="J116" s="114">
        <f>IF($S116="","",IF(INDEX('_pockets'!$Z:$Z,$S116)="","",INDEX('_pockets'!$Z:$Z,$S116)))</f>
        <v/>
      </c>
      <c r="K116" s="117">
        <f>IF($R116="","",IF(INDEX('_list'!$K$2:$K$652,$R116)="","",INDEX('_list'!$K$2:$K$652,$R116)))</f>
        <v/>
      </c>
      <c r="L116" s="118">
        <f>IF($S116="","",IF(INDEX('_pockets'!$AC:$AC,$S116)="","",INDEX('_pockets'!$AC:$AC,$S116)))</f>
        <v/>
      </c>
      <c r="M116" s="117">
        <f>IF($R116="","",IF(INDEX('_list'!$L$2:$L$652,$R116)="","",INDEX('_list'!$L$2:$L$652,$R116)))</f>
        <v/>
      </c>
      <c r="N116" s="116">
        <f>IF($R116="","",IF(INDEX('_list'!$H$2:$H$652,$R116)="","",INDEX('_list'!$H$2:$H$652,$R116)))</f>
        <v/>
      </c>
      <c r="O116" s="113">
        <f>IF($R116="","",IF(INDEX('_list'!$I$2:$I$652,$R116)="","",INDEX('_list'!$I$2:$I$652,$R116)))</f>
        <v/>
      </c>
      <c r="R116">
        <f>IFERROR(MATCH(96,'_list'!$N$2:$N$652,0),"")</f>
        <v/>
      </c>
      <c r="S116">
        <f>IF($R116="","",INDEX('_list'!$C$2:$C$652,$R116))</f>
        <v/>
      </c>
    </row>
    <row r="117" ht="16" customHeight="1">
      <c r="B117" s="112">
        <f>IF($R117="","",97)</f>
        <v/>
      </c>
      <c r="C117" s="113">
        <f>IF($R117="","",IF(INDEX('_list'!$D$2:$D$652,$R117)="","",INDEX('_list'!$D$2:$D$652,$R117)))</f>
        <v/>
      </c>
      <c r="D117" s="113">
        <f>IF($R117="","",IF(INDEX('_list'!$E$2:$E$652,$R117)="","",INDEX('_list'!$E$2:$E$652,$R117)))</f>
        <v/>
      </c>
      <c r="E117" s="113">
        <f>IF($R117="","",IF(INDEX('_list'!$F$2:$F$652,$R117)="","",INDEX('_list'!$F$2:$F$652,$R117)))</f>
        <v/>
      </c>
      <c r="F117" s="114">
        <f>IF($R117="","",IF(INDEX('_list'!$G$2:$G$652,$R117)="","",INDEX('_list'!$G$2:$G$652,$R117)))</f>
        <v/>
      </c>
      <c r="G117" s="115">
        <f>IF($S117="","",IF(INDEX('_pockets'!$AH:$AH,$S117)="","",INDEX('_pockets'!$AH:$AH,$S117)))</f>
        <v/>
      </c>
      <c r="H117" s="115">
        <f>IF($S117="","",IF(INDEX('_pockets'!$AF:$AF,$S117)="","",INDEX('_pockets'!$AF:$AF,$S117)))</f>
        <v/>
      </c>
      <c r="I117" s="116">
        <f>IF(IF($S117="","",IF(INDEX('_pockets'!$AB:$AB,$S117)="","",INDEX('_pockets'!$AB:$AB,$S117)))="","",IF($S117="","",IF(INDEX('_pockets'!$AB:$AB,$S117)="","",INDEX('_pockets'!$AB:$AB,$S117)))*IF($U$19,100,1))</f>
        <v/>
      </c>
      <c r="J117" s="114">
        <f>IF($S117="","",IF(INDEX('_pockets'!$Z:$Z,$S117)="","",INDEX('_pockets'!$Z:$Z,$S117)))</f>
        <v/>
      </c>
      <c r="K117" s="117">
        <f>IF($R117="","",IF(INDEX('_list'!$K$2:$K$652,$R117)="","",INDEX('_list'!$K$2:$K$652,$R117)))</f>
        <v/>
      </c>
      <c r="L117" s="118">
        <f>IF($S117="","",IF(INDEX('_pockets'!$AC:$AC,$S117)="","",INDEX('_pockets'!$AC:$AC,$S117)))</f>
        <v/>
      </c>
      <c r="M117" s="117">
        <f>IF($R117="","",IF(INDEX('_list'!$L$2:$L$652,$R117)="","",INDEX('_list'!$L$2:$L$652,$R117)))</f>
        <v/>
      </c>
      <c r="N117" s="116">
        <f>IF($R117="","",IF(INDEX('_list'!$H$2:$H$652,$R117)="","",INDEX('_list'!$H$2:$H$652,$R117)))</f>
        <v/>
      </c>
      <c r="O117" s="113">
        <f>IF($R117="","",IF(INDEX('_list'!$I$2:$I$652,$R117)="","",INDEX('_list'!$I$2:$I$652,$R117)))</f>
        <v/>
      </c>
      <c r="R117">
        <f>IFERROR(MATCH(97,'_list'!$N$2:$N$652,0),"")</f>
        <v/>
      </c>
      <c r="S117">
        <f>IF($R117="","",INDEX('_list'!$C$2:$C$652,$R117))</f>
        <v/>
      </c>
    </row>
    <row r="118" ht="16" customHeight="1">
      <c r="B118" s="112">
        <f>IF($R118="","",98)</f>
        <v/>
      </c>
      <c r="C118" s="113">
        <f>IF($R118="","",IF(INDEX('_list'!$D$2:$D$652,$R118)="","",INDEX('_list'!$D$2:$D$652,$R118)))</f>
        <v/>
      </c>
      <c r="D118" s="113">
        <f>IF($R118="","",IF(INDEX('_list'!$E$2:$E$652,$R118)="","",INDEX('_list'!$E$2:$E$652,$R118)))</f>
        <v/>
      </c>
      <c r="E118" s="113">
        <f>IF($R118="","",IF(INDEX('_list'!$F$2:$F$652,$R118)="","",INDEX('_list'!$F$2:$F$652,$R118)))</f>
        <v/>
      </c>
      <c r="F118" s="114">
        <f>IF($R118="","",IF(INDEX('_list'!$G$2:$G$652,$R118)="","",INDEX('_list'!$G$2:$G$652,$R118)))</f>
        <v/>
      </c>
      <c r="G118" s="115">
        <f>IF($S118="","",IF(INDEX('_pockets'!$AH:$AH,$S118)="","",INDEX('_pockets'!$AH:$AH,$S118)))</f>
        <v/>
      </c>
      <c r="H118" s="115">
        <f>IF($S118="","",IF(INDEX('_pockets'!$AF:$AF,$S118)="","",INDEX('_pockets'!$AF:$AF,$S118)))</f>
        <v/>
      </c>
      <c r="I118" s="116">
        <f>IF(IF($S118="","",IF(INDEX('_pockets'!$AB:$AB,$S118)="","",INDEX('_pockets'!$AB:$AB,$S118)))="","",IF($S118="","",IF(INDEX('_pockets'!$AB:$AB,$S118)="","",INDEX('_pockets'!$AB:$AB,$S118)))*IF($U$19,100,1))</f>
        <v/>
      </c>
      <c r="J118" s="114">
        <f>IF($S118="","",IF(INDEX('_pockets'!$Z:$Z,$S118)="","",INDEX('_pockets'!$Z:$Z,$S118)))</f>
        <v/>
      </c>
      <c r="K118" s="117">
        <f>IF($R118="","",IF(INDEX('_list'!$K$2:$K$652,$R118)="","",INDEX('_list'!$K$2:$K$652,$R118)))</f>
        <v/>
      </c>
      <c r="L118" s="118">
        <f>IF($S118="","",IF(INDEX('_pockets'!$AC:$AC,$S118)="","",INDEX('_pockets'!$AC:$AC,$S118)))</f>
        <v/>
      </c>
      <c r="M118" s="117">
        <f>IF($R118="","",IF(INDEX('_list'!$L$2:$L$652,$R118)="","",INDEX('_list'!$L$2:$L$652,$R118)))</f>
        <v/>
      </c>
      <c r="N118" s="116">
        <f>IF($R118="","",IF(INDEX('_list'!$H$2:$H$652,$R118)="","",INDEX('_list'!$H$2:$H$652,$R118)))</f>
        <v/>
      </c>
      <c r="O118" s="113">
        <f>IF($R118="","",IF(INDEX('_list'!$I$2:$I$652,$R118)="","",INDEX('_list'!$I$2:$I$652,$R118)))</f>
        <v/>
      </c>
      <c r="R118">
        <f>IFERROR(MATCH(98,'_list'!$N$2:$N$652,0),"")</f>
        <v/>
      </c>
      <c r="S118">
        <f>IF($R118="","",INDEX('_list'!$C$2:$C$652,$R118))</f>
        <v/>
      </c>
    </row>
    <row r="119" ht="16" customHeight="1">
      <c r="B119" s="112">
        <f>IF($R119="","",99)</f>
        <v/>
      </c>
      <c r="C119" s="113">
        <f>IF($R119="","",IF(INDEX('_list'!$D$2:$D$652,$R119)="","",INDEX('_list'!$D$2:$D$652,$R119)))</f>
        <v/>
      </c>
      <c r="D119" s="113">
        <f>IF($R119="","",IF(INDEX('_list'!$E$2:$E$652,$R119)="","",INDEX('_list'!$E$2:$E$652,$R119)))</f>
        <v/>
      </c>
      <c r="E119" s="113">
        <f>IF($R119="","",IF(INDEX('_list'!$F$2:$F$652,$R119)="","",INDEX('_list'!$F$2:$F$652,$R119)))</f>
        <v/>
      </c>
      <c r="F119" s="114">
        <f>IF($R119="","",IF(INDEX('_list'!$G$2:$G$652,$R119)="","",INDEX('_list'!$G$2:$G$652,$R119)))</f>
        <v/>
      </c>
      <c r="G119" s="115">
        <f>IF($S119="","",IF(INDEX('_pockets'!$AH:$AH,$S119)="","",INDEX('_pockets'!$AH:$AH,$S119)))</f>
        <v/>
      </c>
      <c r="H119" s="115">
        <f>IF($S119="","",IF(INDEX('_pockets'!$AF:$AF,$S119)="","",INDEX('_pockets'!$AF:$AF,$S119)))</f>
        <v/>
      </c>
      <c r="I119" s="116">
        <f>IF(IF($S119="","",IF(INDEX('_pockets'!$AB:$AB,$S119)="","",INDEX('_pockets'!$AB:$AB,$S119)))="","",IF($S119="","",IF(INDEX('_pockets'!$AB:$AB,$S119)="","",INDEX('_pockets'!$AB:$AB,$S119)))*IF($U$19,100,1))</f>
        <v/>
      </c>
      <c r="J119" s="114">
        <f>IF($S119="","",IF(INDEX('_pockets'!$Z:$Z,$S119)="","",INDEX('_pockets'!$Z:$Z,$S119)))</f>
        <v/>
      </c>
      <c r="K119" s="117">
        <f>IF($R119="","",IF(INDEX('_list'!$K$2:$K$652,$R119)="","",INDEX('_list'!$K$2:$K$652,$R119)))</f>
        <v/>
      </c>
      <c r="L119" s="118">
        <f>IF($S119="","",IF(INDEX('_pockets'!$AC:$AC,$S119)="","",INDEX('_pockets'!$AC:$AC,$S119)))</f>
        <v/>
      </c>
      <c r="M119" s="117">
        <f>IF($R119="","",IF(INDEX('_list'!$L$2:$L$652,$R119)="","",INDEX('_list'!$L$2:$L$652,$R119)))</f>
        <v/>
      </c>
      <c r="N119" s="116">
        <f>IF($R119="","",IF(INDEX('_list'!$H$2:$H$652,$R119)="","",INDEX('_list'!$H$2:$H$652,$R119)))</f>
        <v/>
      </c>
      <c r="O119" s="113">
        <f>IF($R119="","",IF(INDEX('_list'!$I$2:$I$652,$R119)="","",INDEX('_list'!$I$2:$I$652,$R119)))</f>
        <v/>
      </c>
      <c r="R119">
        <f>IFERROR(MATCH(99,'_list'!$N$2:$N$652,0),"")</f>
        <v/>
      </c>
      <c r="S119">
        <f>IF($R119="","",INDEX('_list'!$C$2:$C$652,$R119))</f>
        <v/>
      </c>
    </row>
    <row r="120" ht="16" customHeight="1">
      <c r="B120" s="112">
        <f>IF($R120="","",100)</f>
        <v/>
      </c>
      <c r="C120" s="113">
        <f>IF($R120="","",IF(INDEX('_list'!$D$2:$D$652,$R120)="","",INDEX('_list'!$D$2:$D$652,$R120)))</f>
        <v/>
      </c>
      <c r="D120" s="113">
        <f>IF($R120="","",IF(INDEX('_list'!$E$2:$E$652,$R120)="","",INDEX('_list'!$E$2:$E$652,$R120)))</f>
        <v/>
      </c>
      <c r="E120" s="113">
        <f>IF($R120="","",IF(INDEX('_list'!$F$2:$F$652,$R120)="","",INDEX('_list'!$F$2:$F$652,$R120)))</f>
        <v/>
      </c>
      <c r="F120" s="114">
        <f>IF($R120="","",IF(INDEX('_list'!$G$2:$G$652,$R120)="","",INDEX('_list'!$G$2:$G$652,$R120)))</f>
        <v/>
      </c>
      <c r="G120" s="115">
        <f>IF($S120="","",IF(INDEX('_pockets'!$AH:$AH,$S120)="","",INDEX('_pockets'!$AH:$AH,$S120)))</f>
        <v/>
      </c>
      <c r="H120" s="115">
        <f>IF($S120="","",IF(INDEX('_pockets'!$AF:$AF,$S120)="","",INDEX('_pockets'!$AF:$AF,$S120)))</f>
        <v/>
      </c>
      <c r="I120" s="116">
        <f>IF(IF($S120="","",IF(INDEX('_pockets'!$AB:$AB,$S120)="","",INDEX('_pockets'!$AB:$AB,$S120)))="","",IF($S120="","",IF(INDEX('_pockets'!$AB:$AB,$S120)="","",INDEX('_pockets'!$AB:$AB,$S120)))*IF($U$19,100,1))</f>
        <v/>
      </c>
      <c r="J120" s="114">
        <f>IF($S120="","",IF(INDEX('_pockets'!$Z:$Z,$S120)="","",INDEX('_pockets'!$Z:$Z,$S120)))</f>
        <v/>
      </c>
      <c r="K120" s="117">
        <f>IF($R120="","",IF(INDEX('_list'!$K$2:$K$652,$R120)="","",INDEX('_list'!$K$2:$K$652,$R120)))</f>
        <v/>
      </c>
      <c r="L120" s="118">
        <f>IF($S120="","",IF(INDEX('_pockets'!$AC:$AC,$S120)="","",INDEX('_pockets'!$AC:$AC,$S120)))</f>
        <v/>
      </c>
      <c r="M120" s="117">
        <f>IF($R120="","",IF(INDEX('_list'!$L$2:$L$652,$R120)="","",INDEX('_list'!$L$2:$L$652,$R120)))</f>
        <v/>
      </c>
      <c r="N120" s="116">
        <f>IF($R120="","",IF(INDEX('_list'!$H$2:$H$652,$R120)="","",INDEX('_list'!$H$2:$H$652,$R120)))</f>
        <v/>
      </c>
      <c r="O120" s="113">
        <f>IF($R120="","",IF(INDEX('_list'!$I$2:$I$652,$R120)="","",INDEX('_list'!$I$2:$I$652,$R120)))</f>
        <v/>
      </c>
      <c r="R120">
        <f>IFERROR(MATCH(100,'_list'!$N$2:$N$652,0),"")</f>
        <v/>
      </c>
      <c r="S120">
        <f>IF($R120="","",INDEX('_list'!$C$2:$C$652,$R120))</f>
        <v/>
      </c>
    </row>
    <row r="121" ht="16" customHeight="1">
      <c r="B121" s="112">
        <f>IF($R121="","",101)</f>
        <v/>
      </c>
      <c r="C121" s="113">
        <f>IF($R121="","",IF(INDEX('_list'!$D$2:$D$652,$R121)="","",INDEX('_list'!$D$2:$D$652,$R121)))</f>
        <v/>
      </c>
      <c r="D121" s="113">
        <f>IF($R121="","",IF(INDEX('_list'!$E$2:$E$652,$R121)="","",INDEX('_list'!$E$2:$E$652,$R121)))</f>
        <v/>
      </c>
      <c r="E121" s="113">
        <f>IF($R121="","",IF(INDEX('_list'!$F$2:$F$652,$R121)="","",INDEX('_list'!$F$2:$F$652,$R121)))</f>
        <v/>
      </c>
      <c r="F121" s="114">
        <f>IF($R121="","",IF(INDEX('_list'!$G$2:$G$652,$R121)="","",INDEX('_list'!$G$2:$G$652,$R121)))</f>
        <v/>
      </c>
      <c r="G121" s="115">
        <f>IF($S121="","",IF(INDEX('_pockets'!$AH:$AH,$S121)="","",INDEX('_pockets'!$AH:$AH,$S121)))</f>
        <v/>
      </c>
      <c r="H121" s="115">
        <f>IF($S121="","",IF(INDEX('_pockets'!$AF:$AF,$S121)="","",INDEX('_pockets'!$AF:$AF,$S121)))</f>
        <v/>
      </c>
      <c r="I121" s="116">
        <f>IF(IF($S121="","",IF(INDEX('_pockets'!$AB:$AB,$S121)="","",INDEX('_pockets'!$AB:$AB,$S121)))="","",IF($S121="","",IF(INDEX('_pockets'!$AB:$AB,$S121)="","",INDEX('_pockets'!$AB:$AB,$S121)))*IF($U$19,100,1))</f>
        <v/>
      </c>
      <c r="J121" s="114">
        <f>IF($S121="","",IF(INDEX('_pockets'!$Z:$Z,$S121)="","",INDEX('_pockets'!$Z:$Z,$S121)))</f>
        <v/>
      </c>
      <c r="K121" s="117">
        <f>IF($R121="","",IF(INDEX('_list'!$K$2:$K$652,$R121)="","",INDEX('_list'!$K$2:$K$652,$R121)))</f>
        <v/>
      </c>
      <c r="L121" s="118">
        <f>IF($S121="","",IF(INDEX('_pockets'!$AC:$AC,$S121)="","",INDEX('_pockets'!$AC:$AC,$S121)))</f>
        <v/>
      </c>
      <c r="M121" s="117">
        <f>IF($R121="","",IF(INDEX('_list'!$L$2:$L$652,$R121)="","",INDEX('_list'!$L$2:$L$652,$R121)))</f>
        <v/>
      </c>
      <c r="N121" s="116">
        <f>IF($R121="","",IF(INDEX('_list'!$H$2:$H$652,$R121)="","",INDEX('_list'!$H$2:$H$652,$R121)))</f>
        <v/>
      </c>
      <c r="O121" s="113">
        <f>IF($R121="","",IF(INDEX('_list'!$I$2:$I$652,$R121)="","",INDEX('_list'!$I$2:$I$652,$R121)))</f>
        <v/>
      </c>
      <c r="R121">
        <f>IFERROR(MATCH(101,'_list'!$N$2:$N$652,0),"")</f>
        <v/>
      </c>
      <c r="S121">
        <f>IF($R121="","",INDEX('_list'!$C$2:$C$652,$R121))</f>
        <v/>
      </c>
    </row>
    <row r="122" ht="16" customHeight="1">
      <c r="B122" s="112">
        <f>IF($R122="","",102)</f>
        <v/>
      </c>
      <c r="C122" s="113">
        <f>IF($R122="","",IF(INDEX('_list'!$D$2:$D$652,$R122)="","",INDEX('_list'!$D$2:$D$652,$R122)))</f>
        <v/>
      </c>
      <c r="D122" s="113">
        <f>IF($R122="","",IF(INDEX('_list'!$E$2:$E$652,$R122)="","",INDEX('_list'!$E$2:$E$652,$R122)))</f>
        <v/>
      </c>
      <c r="E122" s="113">
        <f>IF($R122="","",IF(INDEX('_list'!$F$2:$F$652,$R122)="","",INDEX('_list'!$F$2:$F$652,$R122)))</f>
        <v/>
      </c>
      <c r="F122" s="114">
        <f>IF($R122="","",IF(INDEX('_list'!$G$2:$G$652,$R122)="","",INDEX('_list'!$G$2:$G$652,$R122)))</f>
        <v/>
      </c>
      <c r="G122" s="115">
        <f>IF($S122="","",IF(INDEX('_pockets'!$AH:$AH,$S122)="","",INDEX('_pockets'!$AH:$AH,$S122)))</f>
        <v/>
      </c>
      <c r="H122" s="115">
        <f>IF($S122="","",IF(INDEX('_pockets'!$AF:$AF,$S122)="","",INDEX('_pockets'!$AF:$AF,$S122)))</f>
        <v/>
      </c>
      <c r="I122" s="116">
        <f>IF(IF($S122="","",IF(INDEX('_pockets'!$AB:$AB,$S122)="","",INDEX('_pockets'!$AB:$AB,$S122)))="","",IF($S122="","",IF(INDEX('_pockets'!$AB:$AB,$S122)="","",INDEX('_pockets'!$AB:$AB,$S122)))*IF($U$19,100,1))</f>
        <v/>
      </c>
      <c r="J122" s="114">
        <f>IF($S122="","",IF(INDEX('_pockets'!$Z:$Z,$S122)="","",INDEX('_pockets'!$Z:$Z,$S122)))</f>
        <v/>
      </c>
      <c r="K122" s="117">
        <f>IF($R122="","",IF(INDEX('_list'!$K$2:$K$652,$R122)="","",INDEX('_list'!$K$2:$K$652,$R122)))</f>
        <v/>
      </c>
      <c r="L122" s="118">
        <f>IF($S122="","",IF(INDEX('_pockets'!$AC:$AC,$S122)="","",INDEX('_pockets'!$AC:$AC,$S122)))</f>
        <v/>
      </c>
      <c r="M122" s="117">
        <f>IF($R122="","",IF(INDEX('_list'!$L$2:$L$652,$R122)="","",INDEX('_list'!$L$2:$L$652,$R122)))</f>
        <v/>
      </c>
      <c r="N122" s="116">
        <f>IF($R122="","",IF(INDEX('_list'!$H$2:$H$652,$R122)="","",INDEX('_list'!$H$2:$H$652,$R122)))</f>
        <v/>
      </c>
      <c r="O122" s="113">
        <f>IF($R122="","",IF(INDEX('_list'!$I$2:$I$652,$R122)="","",INDEX('_list'!$I$2:$I$652,$R122)))</f>
        <v/>
      </c>
      <c r="R122">
        <f>IFERROR(MATCH(102,'_list'!$N$2:$N$652,0),"")</f>
        <v/>
      </c>
      <c r="S122">
        <f>IF($R122="","",INDEX('_list'!$C$2:$C$652,$R122))</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122 C21:C122 D21:D122 E21:E122 F21:F122 G21:G122 H21:H122 L21:L122">
    <cfRule type="expression" priority="1" dxfId="5">
      <formula>AND($B21&lt;&gt;"",LEFT($O21,3)="No:")</formula>
    </cfRule>
    <cfRule type="expression" priority="2" dxfId="6">
      <formula>$B21&lt;&gt;""</formula>
    </cfRule>
  </conditionalFormatting>
  <conditionalFormatting sqref="I21:I122">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122">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122">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122">
    <cfRule type="expression" priority="15" dxfId="5">
      <formula>AND($B21&lt;&gt;"",LEFT($O21,3)="No:")</formula>
    </cfRule>
    <cfRule type="expression" priority="16" dxfId="11">
      <formula>AND($B21&lt;&gt;"",$K21="Yes")</formula>
    </cfRule>
    <cfRule type="expression" priority="17" dxfId="12">
      <formula>AND($B21&lt;&gt;"",$K21="Not sure")</formula>
    </cfRule>
    <cfRule type="expression" priority="18" dxfId="5">
      <formula>AND($B21&lt;&gt;"",OR($K21="No",$K21="Too few losses"))</formula>
    </cfRule>
    <cfRule type="expression" priority="19" dxfId="6">
      <formula>$B21&lt;&gt;""</formula>
    </cfRule>
  </conditionalFormatting>
  <conditionalFormatting sqref="M21:M122">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122">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U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2" customWidth="1" min="2" max="2"/>
    <col width="18" customWidth="1" min="3" max="3"/>
    <col width="9" customWidth="1" min="4" max="4"/>
    <col width="11" customWidth="1" min="5" max="5"/>
    <col width="13" customWidth="1" min="6" max="6"/>
    <col width="11" customWidth="1" min="7" max="7"/>
    <col width="13" customWidth="1" min="8" max="8"/>
    <col width="11" customWidth="1" min="9" max="9"/>
    <col width="13" customWidth="1" min="10" max="10"/>
    <col width="28"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59"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45" customHeight="1">
      <c r="B9" s="6" t="inlineStr">
        <is>
          <t>Together</t>
        </is>
      </c>
      <c r="C9" s="7" t="inlineStr">
        <is>
          <t>The two sides read at once. Priced for it: more charge-offs and more kept. Net drain: more charge-offs and less kept. Strong: fewer charge-offs and more kept. Safe but idle: fewer charge-offs and less kept. Earns less, not from losses: less kept while charge-offs are about the same. Losing more, profit holding: more charge-offs while what we kept is about the same. Blank: nothing to read together.</t>
        </is>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2026-09-29 21:04.</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AND($B20&lt;&gt;"",OR($K20="Priced for it",$K20="Strong"))</formula>
    </cfRule>
    <cfRule type="expression" priority="11" dxfId="14">
      <formula>AND($B20&lt;&gt;"",$K20="Net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H78"/>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3" customWidth="1" min="12" max="12"/>
    <col width="20"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row>
    <row r="4" outlineLevel="1" ht="17" customHeight="1">
      <c r="B4" s="6" t="inlineStr">
        <is>
          <t>Rate</t>
        </is>
      </c>
      <c r="C4" s="7" t="inlineStr">
        <is>
          <t>The measure picked above, in every pocket: one band (down) by one segment (across), with the band's and the segment's totals in All.</t>
        </is>
      </c>
    </row>
    <row r="5" outlineLevel="1" ht="17" customHeight="1">
      <c r="B5" s="6" t="inlineStr">
        <is>
          <t>vs the book</t>
        </is>
      </c>
      <c r="C5" s="7" t="inlineStr">
        <is>
          <t>The pocket's rate over the book's: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Groups</t>
        </is>
      </c>
      <c r="C9" s="7" t="inlineStr">
        <is>
          <t>Under the blocks: how many loans, and booked dollars, fall in each group of the split column or a new column, pocket by pocket. The count is checked against the grid's before it is shown.</t>
        </is>
      </c>
    </row>
    <row r="10" outlineLevel="1" ht="17" customHeight="1">
      <c r="B10" s="6" t="inlineStr">
        <is>
          <t>As of</t>
        </is>
      </c>
      <c r="C10" s="7" t="inlineStr">
        <is>
          <t>Everything here is as of the last Run: no line on Control changes it.</t>
        </is>
      </c>
    </row>
    <row r="12">
      <c r="B12" s="110" t="inlineStr">
        <is>
          <t>GRID</t>
        </is>
      </c>
      <c r="F12" s="110" t="inlineStr">
        <is>
          <t>MEASURE</t>
        </is>
      </c>
      <c r="J12" s="110" t="inlineStr">
        <is>
          <t>ROW</t>
        </is>
      </c>
      <c r="N12" s="110" t="inlineStr">
        <is>
          <t>COLUMN</t>
        </is>
      </c>
    </row>
    <row r="13" ht="20" customHeight="1">
      <c r="B13" s="32" t="inlineStr">
        <is>
          <t>FICO x CHANNEL</t>
        </is>
      </c>
      <c r="C13" s="126" t="n"/>
      <c r="D13" s="119" t="n"/>
      <c r="F13" s="32" t="inlineStr">
        <is>
          <t>Bad loans</t>
        </is>
      </c>
      <c r="G13" s="126" t="n"/>
      <c r="H13" s="119" t="n"/>
      <c r="J13" s="32" t="inlineStr">
        <is>
          <t>496 - 653</t>
        </is>
      </c>
      <c r="K13" s="126" t="n"/>
      <c r="L13" s="119" t="n"/>
      <c r="N13" s="32" t="inlineStr">
        <is>
          <t>Branch</t>
        </is>
      </c>
      <c r="O13" s="126" t="n"/>
      <c r="P13" s="119" t="n"/>
      <c r="X13">
        <f>IFERROR(INDEX('_choices'!$J$2:$J$6,MATCH($F$13,'_choices'!$I$2:$I$6,0)),"")</f>
        <v/>
      </c>
      <c r="Y13">
        <f>IF($X$14="","",IF(INDEX('_views'!$B:$ZZ,$X$14,1)="","",INDEX('_views'!$B:$ZZ,$X$14,1)))</f>
        <v/>
      </c>
      <c r="AE13">
        <f>IF(IF($X$16="","",IF(INDEX('_views'!$B:$ZZ,$X$16,1)="","",INDEX('_views'!$B:$ZZ,$X$16,1)))="All","",IF($X$16="","",IF(INDEX('_views'!$B:$ZZ,$X$16,1)="","",INDEX('_views'!$B:$ZZ,$X$16,1))))</f>
        <v/>
      </c>
      <c r="AF13">
        <f>IF(IF($X$15="","",IF(INDEX('_views'!$B:$ZZ,$X$15,1)="","",INDEX('_views'!$B:$ZZ,$X$15,1)))="All","",IF($X$15="","",IF(INDEX('_views'!$B:$ZZ,$X$15,1)="","",INDEX('_views'!$B:$ZZ,$X$15,1))))</f>
        <v/>
      </c>
      <c r="AG13">
        <f>SUMPRODUCT(--(LEN($AE$13:$AE$19)&gt;0))</f>
        <v/>
      </c>
      <c r="AH13">
        <f>IF($J$13="","",IFERROR(MATCH($J$13,$AE$13:$AE$19,0),""))</f>
        <v/>
      </c>
    </row>
    <row r="14">
      <c r="X14">
        <f>IFERROR(MATCH("G|"&amp;$B$13&amp;"|"&amp;$X$13&amp;"|meta",'_views'!$A:$A,0),"")</f>
        <v/>
      </c>
      <c r="Y14">
        <f>IF($X$14="","",IF(INDEX('_views'!$B:$ZZ,$X$14,2)="","",INDEX('_views'!$B:$ZZ,$X$14,2)))</f>
        <v/>
      </c>
      <c r="AE14">
        <f>IF(IF($X$16="","",IF(INDEX('_views'!$B:$ZZ,$X$16,2)="","",INDEX('_views'!$B:$ZZ,$X$16,2)))="All","",IF($X$16="","",IF(INDEX('_views'!$B:$ZZ,$X$16,2)="","",INDEX('_views'!$B:$ZZ,$X$16,2))))</f>
        <v/>
      </c>
      <c r="AF14">
        <f>IF(IF($X$15="","",IF(INDEX('_views'!$B:$ZZ,$X$15,2)="","",INDEX('_views'!$B:$ZZ,$X$15,2)))="All","",IF($X$15="","",IF(INDEX('_views'!$B:$ZZ,$X$15,2)="","",INDEX('_views'!$B:$ZZ,$X$15,2))))</f>
        <v/>
      </c>
      <c r="AG14">
        <f>SUMPRODUCT(--(LEN($AF$13:$AF$20)&gt;0))</f>
        <v/>
      </c>
      <c r="AH14">
        <f>IF($N$13="","",IFERROR(MATCH($N$13,$AF$13:$AF$20,0),""))</f>
        <v/>
      </c>
    </row>
    <row r="15" ht="20" customHeight="1">
      <c r="B15" s="127">
        <f>"Rate · "&amp;$F$13</f>
        <v/>
      </c>
      <c r="C15" s="26" t="n"/>
      <c r="D15" s="26" t="n"/>
      <c r="E15" s="26" t="n"/>
      <c r="F15" s="26" t="n"/>
      <c r="G15" s="26" t="n"/>
      <c r="H15" s="26" t="n"/>
      <c r="I15" s="26" t="n"/>
      <c r="J15" s="26" t="n"/>
      <c r="K15" s="26" t="n"/>
      <c r="M15" s="127" t="inlineStr">
        <is>
          <t>vs the book</t>
        </is>
      </c>
      <c r="N15" s="26" t="n"/>
      <c r="O15" s="26" t="n"/>
      <c r="P15" s="26" t="n"/>
      <c r="Q15" s="26" t="n"/>
      <c r="R15" s="26" t="n"/>
      <c r="S15" s="26" t="n"/>
      <c r="T15" s="26" t="n"/>
      <c r="U15" s="26" t="n"/>
      <c r="V15" s="26" t="n"/>
      <c r="X15">
        <f>IFERROR(MATCH("G|"&amp;$B$13&amp;"|cols",'_views'!$A:$A,0),"")</f>
        <v/>
      </c>
      <c r="AE15">
        <f>IF(IF($X$16="","",IF(INDEX('_views'!$B:$ZZ,$X$16,3)="","",INDEX('_views'!$B:$ZZ,$X$16,3)))="All","",IF($X$16="","",IF(INDEX('_views'!$B:$ZZ,$X$16,3)="","",INDEX('_views'!$B:$ZZ,$X$16,3))))</f>
        <v/>
      </c>
      <c r="AF15">
        <f>IF(IF($X$15="","",IF(INDEX('_views'!$B:$ZZ,$X$15,3)="","",INDEX('_views'!$B:$ZZ,$X$15,3)))="All","",IF($X$15="","",IF(INDEX('_views'!$B:$ZZ,$X$15,3)="","",INDEX('_views'!$B:$ZZ,$X$15,3))))</f>
        <v/>
      </c>
      <c r="AH15">
        <f>IF(OR($AH$13="",$AH$14=""),"",INDEX($C$17:$K$24,$AH$13,$AH$14))</f>
        <v/>
      </c>
    </row>
    <row r="16">
      <c r="B16" s="128">
        <f>IF($X$17="","",IF(INDEX('_views'!$B:$ZZ,$X$17,1)="","",INDEX('_views'!$B:$ZZ,$X$17,1)))</f>
        <v/>
      </c>
      <c r="C16" s="30">
        <f>IF($X$15="","",IF(INDEX('_views'!$B:$ZZ,$X$15,1)="","",INDEX('_views'!$B:$ZZ,$X$15,1)))</f>
        <v/>
      </c>
      <c r="D16" s="30">
        <f>IF($X$15="","",IF(INDEX('_views'!$B:$ZZ,$X$15,2)="","",INDEX('_views'!$B:$ZZ,$X$15,2)))</f>
        <v/>
      </c>
      <c r="E16" s="30">
        <f>IF($X$15="","",IF(INDEX('_views'!$B:$ZZ,$X$15,3)="","",INDEX('_views'!$B:$ZZ,$X$15,3)))</f>
        <v/>
      </c>
      <c r="F16" s="30">
        <f>IF($X$15="","",IF(INDEX('_views'!$B:$ZZ,$X$15,4)="","",INDEX('_views'!$B:$ZZ,$X$15,4)))</f>
        <v/>
      </c>
      <c r="G16" s="30">
        <f>IF($X$15="","",IF(INDEX('_views'!$B:$ZZ,$X$15,5)="","",INDEX('_views'!$B:$ZZ,$X$15,5)))</f>
        <v/>
      </c>
      <c r="H16" s="30">
        <f>IF($X$15="","",IF(INDEX('_views'!$B:$ZZ,$X$15,6)="","",INDEX('_views'!$B:$ZZ,$X$15,6)))</f>
        <v/>
      </c>
      <c r="I16" s="30">
        <f>IF($X$15="","",IF(INDEX('_views'!$B:$ZZ,$X$15,7)="","",INDEX('_views'!$B:$ZZ,$X$15,7)))</f>
        <v/>
      </c>
      <c r="J16" s="30">
        <f>IF($X$15="","",IF(INDEX('_views'!$B:$ZZ,$X$15,8)="","",INDEX('_views'!$B:$ZZ,$X$15,8)))</f>
        <v/>
      </c>
      <c r="K16" s="30">
        <f>IF($X$15="","",IF(INDEX('_views'!$B:$ZZ,$X$15,9)="","",INDEX('_views'!$B:$ZZ,$X$15,9)))</f>
        <v/>
      </c>
      <c r="M16" s="128">
        <f>IF($X$17="","",IF(INDEX('_views'!$B:$ZZ,$X$17,1)="","",INDEX('_views'!$B:$ZZ,$X$17,1)))</f>
        <v/>
      </c>
      <c r="N16" s="30">
        <f>IF($X$15="","",IF(INDEX('_views'!$B:$ZZ,$X$15,1)="","",INDEX('_views'!$B:$ZZ,$X$15,1)))</f>
        <v/>
      </c>
      <c r="O16" s="30">
        <f>IF($X$15="","",IF(INDEX('_views'!$B:$ZZ,$X$15,2)="","",INDEX('_views'!$B:$ZZ,$X$15,2)))</f>
        <v/>
      </c>
      <c r="P16" s="30">
        <f>IF($X$15="","",IF(INDEX('_views'!$B:$ZZ,$X$15,3)="","",INDEX('_views'!$B:$ZZ,$X$15,3)))</f>
        <v/>
      </c>
      <c r="Q16" s="30">
        <f>IF($X$15="","",IF(INDEX('_views'!$B:$ZZ,$X$15,4)="","",INDEX('_views'!$B:$ZZ,$X$15,4)))</f>
        <v/>
      </c>
      <c r="R16" s="30">
        <f>IF($X$15="","",IF(INDEX('_views'!$B:$ZZ,$X$15,5)="","",INDEX('_views'!$B:$ZZ,$X$15,5)))</f>
        <v/>
      </c>
      <c r="S16" s="30">
        <f>IF($X$15="","",IF(INDEX('_views'!$B:$ZZ,$X$15,6)="","",INDEX('_views'!$B:$ZZ,$X$15,6)))</f>
        <v/>
      </c>
      <c r="T16" s="30">
        <f>IF($X$15="","",IF(INDEX('_views'!$B:$ZZ,$X$15,7)="","",INDEX('_views'!$B:$ZZ,$X$15,7)))</f>
        <v/>
      </c>
      <c r="U16" s="30">
        <f>IF($X$15="","",IF(INDEX('_views'!$B:$ZZ,$X$15,8)="","",INDEX('_views'!$B:$ZZ,$X$15,8)))</f>
        <v/>
      </c>
      <c r="V16" s="30">
        <f>IF($X$15="","",IF(INDEX('_views'!$B:$ZZ,$X$15,9)="","",INDEX('_views'!$B:$ZZ,$X$15,9)))</f>
        <v/>
      </c>
      <c r="X16">
        <f>IFERROR(MATCH("G|"&amp;$B$13&amp;"|rows",'_views'!$A:$A,0),"")</f>
        <v/>
      </c>
      <c r="AE16">
        <f>IF(IF($X$16="","",IF(INDEX('_views'!$B:$ZZ,$X$16,4)="","",INDEX('_views'!$B:$ZZ,$X$16,4)))="All","",IF($X$16="","",IF(INDEX('_views'!$B:$ZZ,$X$16,4)="","",INDEX('_views'!$B:$ZZ,$X$16,4))))</f>
        <v/>
      </c>
      <c r="AF16">
        <f>IF(IF($X$15="","",IF(INDEX('_views'!$B:$ZZ,$X$15,4)="","",INDEX('_views'!$B:$ZZ,$X$15,4)))="All","",IF($X$15="","",IF(INDEX('_views'!$B:$ZZ,$X$15,4)="","",INDEX('_views'!$B:$ZZ,$X$15,4))))</f>
        <v/>
      </c>
      <c r="AH16">
        <f>IF(OR($AH$13="",$AH$14=""),"",INDEX($N$17:$V$24,$AH$13,$AH$14))</f>
        <v/>
      </c>
    </row>
    <row r="17" ht="16" customHeight="1">
      <c r="B17" s="113">
        <f>IF($X$16="","",IF(INDEX('_views'!$B:$ZZ,$X$16,1)="","",INDEX('_views'!$B:$ZZ,$X$16,1)))</f>
        <v/>
      </c>
      <c r="C17" s="115">
        <f>IF($Z17="","",IF(INDEX('_views'!$B:$ZZ,$Z17,1)="","",INDEX('_views'!$B:$ZZ,$Z17,1)))</f>
        <v/>
      </c>
      <c r="D17" s="115">
        <f>IF($Z17="","",IF(INDEX('_views'!$B:$ZZ,$Z17,2)="","",INDEX('_views'!$B:$ZZ,$Z17,2)))</f>
        <v/>
      </c>
      <c r="E17" s="115">
        <f>IF($Z17="","",IF(INDEX('_views'!$B:$ZZ,$Z17,3)="","",INDEX('_views'!$B:$ZZ,$Z17,3)))</f>
        <v/>
      </c>
      <c r="F17" s="115">
        <f>IF($Z17="","",IF(INDEX('_views'!$B:$ZZ,$Z17,4)="","",INDEX('_views'!$B:$ZZ,$Z17,4)))</f>
        <v/>
      </c>
      <c r="G17" s="115">
        <f>IF($Z17="","",IF(INDEX('_views'!$B:$ZZ,$Z17,5)="","",INDEX('_views'!$B:$ZZ,$Z17,5)))</f>
        <v/>
      </c>
      <c r="H17" s="115">
        <f>IF($Z17="","",IF(INDEX('_views'!$B:$ZZ,$Z17,6)="","",INDEX('_views'!$B:$ZZ,$Z17,6)))</f>
        <v/>
      </c>
      <c r="I17" s="115">
        <f>IF($Z17="","",IF(INDEX('_views'!$B:$ZZ,$Z17,7)="","",INDEX('_views'!$B:$ZZ,$Z17,7)))</f>
        <v/>
      </c>
      <c r="J17" s="115">
        <f>IF($Z17="","",IF(INDEX('_views'!$B:$ZZ,$Z17,8)="","",INDEX('_views'!$B:$ZZ,$Z17,8)))</f>
        <v/>
      </c>
      <c r="K17" s="115">
        <f>IF($Z17="","",IF(INDEX('_views'!$B:$ZZ,$Z17,9)="","",INDEX('_views'!$B:$ZZ,$Z17,9)))</f>
        <v/>
      </c>
      <c r="M17" s="113">
        <f>IF($X$16="","",IF(INDEX('_views'!$B:$ZZ,$X$16,1)="","",INDEX('_views'!$B:$ZZ,$X$16,1)))</f>
        <v/>
      </c>
      <c r="N17" s="116">
        <f>IF($AA17="","",IF(INDEX('_views'!$B:$ZZ,$AA17,1)="","",INDEX('_views'!$B:$ZZ,$AA17,1)))</f>
        <v/>
      </c>
      <c r="O17" s="116">
        <f>IF($AA17="","",IF(INDEX('_views'!$B:$ZZ,$AA17,2)="","",INDEX('_views'!$B:$ZZ,$AA17,2)))</f>
        <v/>
      </c>
      <c r="P17" s="116">
        <f>IF($AA17="","",IF(INDEX('_views'!$B:$ZZ,$AA17,3)="","",INDEX('_views'!$B:$ZZ,$AA17,3)))</f>
        <v/>
      </c>
      <c r="Q17" s="116">
        <f>IF($AA17="","",IF(INDEX('_views'!$B:$ZZ,$AA17,4)="","",INDEX('_views'!$B:$ZZ,$AA17,4)))</f>
        <v/>
      </c>
      <c r="R17" s="116">
        <f>IF($AA17="","",IF(INDEX('_views'!$B:$ZZ,$AA17,5)="","",INDEX('_views'!$B:$ZZ,$AA17,5)))</f>
        <v/>
      </c>
      <c r="S17" s="116">
        <f>IF($AA17="","",IF(INDEX('_views'!$B:$ZZ,$AA17,6)="","",INDEX('_views'!$B:$ZZ,$AA17,6)))</f>
        <v/>
      </c>
      <c r="T17" s="116">
        <f>IF($AA17="","",IF(INDEX('_views'!$B:$ZZ,$AA17,7)="","",INDEX('_views'!$B:$ZZ,$AA17,7)))</f>
        <v/>
      </c>
      <c r="U17" s="116">
        <f>IF($AA17="","",IF(INDEX('_views'!$B:$ZZ,$AA17,8)="","",INDEX('_views'!$B:$ZZ,$AA17,8)))</f>
        <v/>
      </c>
      <c r="V17" s="116">
        <f>IF($AA17="","",IF(INDEX('_views'!$B:$ZZ,$AA17,9)="","",INDEX('_views'!$B:$ZZ,$AA17,9)))</f>
        <v/>
      </c>
      <c r="X17">
        <f>IFERROR(MATCH("G|"&amp;$B$13&amp;"|names",'_views'!$A:$A,0),"")</f>
        <v/>
      </c>
      <c r="Z17">
        <f>IFERROR(MATCH("G|"&amp;$B$13&amp;"|"&amp;$X$13&amp;"|rate|1",'_views'!$A:$A,0),"")</f>
        <v/>
      </c>
      <c r="AA17">
        <f>IFERROR(MATCH("G|"&amp;$B$13&amp;"|"&amp;$X$13&amp;"|book|1",'_views'!$A:$A,0),"")</f>
        <v/>
      </c>
      <c r="AE17">
        <f>IF(IF($X$16="","",IF(INDEX('_views'!$B:$ZZ,$X$16,5)="","",INDEX('_views'!$B:$ZZ,$X$16,5)))="All","",IF($X$16="","",IF(INDEX('_views'!$B:$ZZ,$X$16,5)="","",INDEX('_views'!$B:$ZZ,$X$16,5))))</f>
        <v/>
      </c>
      <c r="AF17">
        <f>IF(IF($X$15="","",IF(INDEX('_views'!$B:$ZZ,$X$15,5)="","",INDEX('_views'!$B:$ZZ,$X$15,5)))="All","",IF($X$15="","",IF(INDEX('_views'!$B:$ZZ,$X$15,5)="","",INDEX('_views'!$B:$ZZ,$X$15,5))))</f>
        <v/>
      </c>
      <c r="AH17">
        <f>IF(OR($AH$13="",$AH$14=""),"",INDEX($C$28:$K$35,$AH$13,$AH$14))</f>
        <v/>
      </c>
    </row>
    <row r="18" ht="16" customHeight="1">
      <c r="B18" s="113">
        <f>IF($X$16="","",IF(INDEX('_views'!$B:$ZZ,$X$16,2)="","",INDEX('_views'!$B:$ZZ,$X$16,2)))</f>
        <v/>
      </c>
      <c r="C18" s="115">
        <f>IF($Z18="","",IF(INDEX('_views'!$B:$ZZ,$Z18,1)="","",INDEX('_views'!$B:$ZZ,$Z18,1)))</f>
        <v/>
      </c>
      <c r="D18" s="115">
        <f>IF($Z18="","",IF(INDEX('_views'!$B:$ZZ,$Z18,2)="","",INDEX('_views'!$B:$ZZ,$Z18,2)))</f>
        <v/>
      </c>
      <c r="E18" s="115">
        <f>IF($Z18="","",IF(INDEX('_views'!$B:$ZZ,$Z18,3)="","",INDEX('_views'!$B:$ZZ,$Z18,3)))</f>
        <v/>
      </c>
      <c r="F18" s="115">
        <f>IF($Z18="","",IF(INDEX('_views'!$B:$ZZ,$Z18,4)="","",INDEX('_views'!$B:$ZZ,$Z18,4)))</f>
        <v/>
      </c>
      <c r="G18" s="115">
        <f>IF($Z18="","",IF(INDEX('_views'!$B:$ZZ,$Z18,5)="","",INDEX('_views'!$B:$ZZ,$Z18,5)))</f>
        <v/>
      </c>
      <c r="H18" s="115">
        <f>IF($Z18="","",IF(INDEX('_views'!$B:$ZZ,$Z18,6)="","",INDEX('_views'!$B:$ZZ,$Z18,6)))</f>
        <v/>
      </c>
      <c r="I18" s="115">
        <f>IF($Z18="","",IF(INDEX('_views'!$B:$ZZ,$Z18,7)="","",INDEX('_views'!$B:$ZZ,$Z18,7)))</f>
        <v/>
      </c>
      <c r="J18" s="115">
        <f>IF($Z18="","",IF(INDEX('_views'!$B:$ZZ,$Z18,8)="","",INDEX('_views'!$B:$ZZ,$Z18,8)))</f>
        <v/>
      </c>
      <c r="K18" s="115">
        <f>IF($Z18="","",IF(INDEX('_views'!$B:$ZZ,$Z18,9)="","",INDEX('_views'!$B:$ZZ,$Z18,9)))</f>
        <v/>
      </c>
      <c r="M18" s="113">
        <f>IF($X$16="","",IF(INDEX('_views'!$B:$ZZ,$X$16,2)="","",INDEX('_views'!$B:$ZZ,$X$16,2)))</f>
        <v/>
      </c>
      <c r="N18" s="116">
        <f>IF($AA18="","",IF(INDEX('_views'!$B:$ZZ,$AA18,1)="","",INDEX('_views'!$B:$ZZ,$AA18,1)))</f>
        <v/>
      </c>
      <c r="O18" s="116">
        <f>IF($AA18="","",IF(INDEX('_views'!$B:$ZZ,$AA18,2)="","",INDEX('_views'!$B:$ZZ,$AA18,2)))</f>
        <v/>
      </c>
      <c r="P18" s="116">
        <f>IF($AA18="","",IF(INDEX('_views'!$B:$ZZ,$AA18,3)="","",INDEX('_views'!$B:$ZZ,$AA18,3)))</f>
        <v/>
      </c>
      <c r="Q18" s="116">
        <f>IF($AA18="","",IF(INDEX('_views'!$B:$ZZ,$AA18,4)="","",INDEX('_views'!$B:$ZZ,$AA18,4)))</f>
        <v/>
      </c>
      <c r="R18" s="116">
        <f>IF($AA18="","",IF(INDEX('_views'!$B:$ZZ,$AA18,5)="","",INDEX('_views'!$B:$ZZ,$AA18,5)))</f>
        <v/>
      </c>
      <c r="S18" s="116">
        <f>IF($AA18="","",IF(INDEX('_views'!$B:$ZZ,$AA18,6)="","",INDEX('_views'!$B:$ZZ,$AA18,6)))</f>
        <v/>
      </c>
      <c r="T18" s="116">
        <f>IF($AA18="","",IF(INDEX('_views'!$B:$ZZ,$AA18,7)="","",INDEX('_views'!$B:$ZZ,$AA18,7)))</f>
        <v/>
      </c>
      <c r="U18" s="116">
        <f>IF($AA18="","",IF(INDEX('_views'!$B:$ZZ,$AA18,8)="","",INDEX('_views'!$B:$ZZ,$AA18,8)))</f>
        <v/>
      </c>
      <c r="V18" s="116">
        <f>IF($AA18="","",IF(INDEX('_views'!$B:$ZZ,$AA18,9)="","",INDEX('_views'!$B:$ZZ,$AA18,9)))</f>
        <v/>
      </c>
      <c r="X18">
        <f>IFERROR(MATCH("G|"&amp;$B$13&amp;"|total",'_views'!$A:$A,0),"")</f>
        <v/>
      </c>
      <c r="Z18">
        <f>IFERROR(MATCH("G|"&amp;$B$13&amp;"|"&amp;$X$13&amp;"|rate|2",'_views'!$A:$A,0),"")</f>
        <v/>
      </c>
      <c r="AA18">
        <f>IFERROR(MATCH("G|"&amp;$B$13&amp;"|"&amp;$X$13&amp;"|book|2",'_views'!$A:$A,0),"")</f>
        <v/>
      </c>
      <c r="AE18">
        <f>IF(IF($X$16="","",IF(INDEX('_views'!$B:$ZZ,$X$16,6)="","",INDEX('_views'!$B:$ZZ,$X$16,6)))="All","",IF($X$16="","",IF(INDEX('_views'!$B:$ZZ,$X$16,6)="","",INDEX('_views'!$B:$ZZ,$X$16,6))))</f>
        <v/>
      </c>
      <c r="AF18">
        <f>IF(IF($X$15="","",IF(INDEX('_views'!$B:$ZZ,$X$15,6)="","",INDEX('_views'!$B:$ZZ,$X$15,6)))="All","",IF($X$15="","",IF(INDEX('_views'!$B:$ZZ,$X$15,6)="","",INDEX('_views'!$B:$ZZ,$X$15,6))))</f>
        <v/>
      </c>
      <c r="AH18">
        <f>IF(OR($AH$13="",$AH$14=""),"",INDEX($N$28:$V$35,$AH$13,$AH$14))</f>
        <v/>
      </c>
    </row>
    <row r="19" ht="16" customHeight="1">
      <c r="B19" s="113">
        <f>IF($X$16="","",IF(INDEX('_views'!$B:$ZZ,$X$16,3)="","",INDEX('_views'!$B:$ZZ,$X$16,3)))</f>
        <v/>
      </c>
      <c r="C19" s="115">
        <f>IF($Z19="","",IF(INDEX('_views'!$B:$ZZ,$Z19,1)="","",INDEX('_views'!$B:$ZZ,$Z19,1)))</f>
        <v/>
      </c>
      <c r="D19" s="115">
        <f>IF($Z19="","",IF(INDEX('_views'!$B:$ZZ,$Z19,2)="","",INDEX('_views'!$B:$ZZ,$Z19,2)))</f>
        <v/>
      </c>
      <c r="E19" s="115">
        <f>IF($Z19="","",IF(INDEX('_views'!$B:$ZZ,$Z19,3)="","",INDEX('_views'!$B:$ZZ,$Z19,3)))</f>
        <v/>
      </c>
      <c r="F19" s="115">
        <f>IF($Z19="","",IF(INDEX('_views'!$B:$ZZ,$Z19,4)="","",INDEX('_views'!$B:$ZZ,$Z19,4)))</f>
        <v/>
      </c>
      <c r="G19" s="115">
        <f>IF($Z19="","",IF(INDEX('_views'!$B:$ZZ,$Z19,5)="","",INDEX('_views'!$B:$ZZ,$Z19,5)))</f>
        <v/>
      </c>
      <c r="H19" s="115">
        <f>IF($Z19="","",IF(INDEX('_views'!$B:$ZZ,$Z19,6)="","",INDEX('_views'!$B:$ZZ,$Z19,6)))</f>
        <v/>
      </c>
      <c r="I19" s="115">
        <f>IF($Z19="","",IF(INDEX('_views'!$B:$ZZ,$Z19,7)="","",INDEX('_views'!$B:$ZZ,$Z19,7)))</f>
        <v/>
      </c>
      <c r="J19" s="115">
        <f>IF($Z19="","",IF(INDEX('_views'!$B:$ZZ,$Z19,8)="","",INDEX('_views'!$B:$ZZ,$Z19,8)))</f>
        <v/>
      </c>
      <c r="K19" s="115">
        <f>IF($Z19="","",IF(INDEX('_views'!$B:$ZZ,$Z19,9)="","",INDEX('_views'!$B:$ZZ,$Z19,9)))</f>
        <v/>
      </c>
      <c r="M19" s="113">
        <f>IF($X$16="","",IF(INDEX('_views'!$B:$ZZ,$X$16,3)="","",INDEX('_views'!$B:$ZZ,$X$16,3)))</f>
        <v/>
      </c>
      <c r="N19" s="116">
        <f>IF($AA19="","",IF(INDEX('_views'!$B:$ZZ,$AA19,1)="","",INDEX('_views'!$B:$ZZ,$AA19,1)))</f>
        <v/>
      </c>
      <c r="O19" s="116">
        <f>IF($AA19="","",IF(INDEX('_views'!$B:$ZZ,$AA19,2)="","",INDEX('_views'!$B:$ZZ,$AA19,2)))</f>
        <v/>
      </c>
      <c r="P19" s="116">
        <f>IF($AA19="","",IF(INDEX('_views'!$B:$ZZ,$AA19,3)="","",INDEX('_views'!$B:$ZZ,$AA19,3)))</f>
        <v/>
      </c>
      <c r="Q19" s="116">
        <f>IF($AA19="","",IF(INDEX('_views'!$B:$ZZ,$AA19,4)="","",INDEX('_views'!$B:$ZZ,$AA19,4)))</f>
        <v/>
      </c>
      <c r="R19" s="116">
        <f>IF($AA19="","",IF(INDEX('_views'!$B:$ZZ,$AA19,5)="","",INDEX('_views'!$B:$ZZ,$AA19,5)))</f>
        <v/>
      </c>
      <c r="S19" s="116">
        <f>IF($AA19="","",IF(INDEX('_views'!$B:$ZZ,$AA19,6)="","",INDEX('_views'!$B:$ZZ,$AA19,6)))</f>
        <v/>
      </c>
      <c r="T19" s="116">
        <f>IF($AA19="","",IF(INDEX('_views'!$B:$ZZ,$AA19,7)="","",INDEX('_views'!$B:$ZZ,$AA19,7)))</f>
        <v/>
      </c>
      <c r="U19" s="116">
        <f>IF($AA19="","",IF(INDEX('_views'!$B:$ZZ,$AA19,8)="","",INDEX('_views'!$B:$ZZ,$AA19,8)))</f>
        <v/>
      </c>
      <c r="V19" s="116">
        <f>IF($AA19="","",IF(INDEX('_views'!$B:$ZZ,$AA19,9)="","",INDEX('_views'!$B:$ZZ,$AA19,9)))</f>
        <v/>
      </c>
      <c r="Z19">
        <f>IFERROR(MATCH("G|"&amp;$B$13&amp;"|"&amp;$X$13&amp;"|rate|3",'_views'!$A:$A,0),"")</f>
        <v/>
      </c>
      <c r="AA19">
        <f>IFERROR(MATCH("G|"&amp;$B$13&amp;"|"&amp;$X$13&amp;"|book|3",'_views'!$A:$A,0),"")</f>
        <v/>
      </c>
      <c r="AE19">
        <f>IF(IF($X$16="","",IF(INDEX('_views'!$B:$ZZ,$X$16,7)="","",INDEX('_views'!$B:$ZZ,$X$16,7)))="All","",IF($X$16="","",IF(INDEX('_views'!$B:$ZZ,$X$16,7)="","",INDEX('_views'!$B:$ZZ,$X$16,7))))</f>
        <v/>
      </c>
      <c r="AF19">
        <f>IF(IF($X$15="","",IF(INDEX('_views'!$B:$ZZ,$X$15,7)="","",INDEX('_views'!$B:$ZZ,$X$15,7)))="All","",IF($X$15="","",IF(INDEX('_views'!$B:$ZZ,$X$15,7)="","",INDEX('_views'!$B:$ZZ,$X$15,7))))</f>
        <v/>
      </c>
      <c r="AH19">
        <f>IF($AH$13="","",INDEX($N$28:$V$35,$AH$13,$AG$14+1))</f>
        <v/>
      </c>
    </row>
    <row r="20" ht="16" customHeight="1">
      <c r="B20" s="113">
        <f>IF($X$16="","",IF(INDEX('_views'!$B:$ZZ,$X$16,4)="","",INDEX('_views'!$B:$ZZ,$X$16,4)))</f>
        <v/>
      </c>
      <c r="C20" s="115">
        <f>IF($Z20="","",IF(INDEX('_views'!$B:$ZZ,$Z20,1)="","",INDEX('_views'!$B:$ZZ,$Z20,1)))</f>
        <v/>
      </c>
      <c r="D20" s="115">
        <f>IF($Z20="","",IF(INDEX('_views'!$B:$ZZ,$Z20,2)="","",INDEX('_views'!$B:$ZZ,$Z20,2)))</f>
        <v/>
      </c>
      <c r="E20" s="115">
        <f>IF($Z20="","",IF(INDEX('_views'!$B:$ZZ,$Z20,3)="","",INDEX('_views'!$B:$ZZ,$Z20,3)))</f>
        <v/>
      </c>
      <c r="F20" s="115">
        <f>IF($Z20="","",IF(INDEX('_views'!$B:$ZZ,$Z20,4)="","",INDEX('_views'!$B:$ZZ,$Z20,4)))</f>
        <v/>
      </c>
      <c r="G20" s="115">
        <f>IF($Z20="","",IF(INDEX('_views'!$B:$ZZ,$Z20,5)="","",INDEX('_views'!$B:$ZZ,$Z20,5)))</f>
        <v/>
      </c>
      <c r="H20" s="115">
        <f>IF($Z20="","",IF(INDEX('_views'!$B:$ZZ,$Z20,6)="","",INDEX('_views'!$B:$ZZ,$Z20,6)))</f>
        <v/>
      </c>
      <c r="I20" s="115">
        <f>IF($Z20="","",IF(INDEX('_views'!$B:$ZZ,$Z20,7)="","",INDEX('_views'!$B:$ZZ,$Z20,7)))</f>
        <v/>
      </c>
      <c r="J20" s="115">
        <f>IF($Z20="","",IF(INDEX('_views'!$B:$ZZ,$Z20,8)="","",INDEX('_views'!$B:$ZZ,$Z20,8)))</f>
        <v/>
      </c>
      <c r="K20" s="115">
        <f>IF($Z20="","",IF(INDEX('_views'!$B:$ZZ,$Z20,9)="","",INDEX('_views'!$B:$ZZ,$Z20,9)))</f>
        <v/>
      </c>
      <c r="M20" s="113">
        <f>IF($X$16="","",IF(INDEX('_views'!$B:$ZZ,$X$16,4)="","",INDEX('_views'!$B:$ZZ,$X$16,4)))</f>
        <v/>
      </c>
      <c r="N20" s="116">
        <f>IF($AA20="","",IF(INDEX('_views'!$B:$ZZ,$AA20,1)="","",INDEX('_views'!$B:$ZZ,$AA20,1)))</f>
        <v/>
      </c>
      <c r="O20" s="116">
        <f>IF($AA20="","",IF(INDEX('_views'!$B:$ZZ,$AA20,2)="","",INDEX('_views'!$B:$ZZ,$AA20,2)))</f>
        <v/>
      </c>
      <c r="P20" s="116">
        <f>IF($AA20="","",IF(INDEX('_views'!$B:$ZZ,$AA20,3)="","",INDEX('_views'!$B:$ZZ,$AA20,3)))</f>
        <v/>
      </c>
      <c r="Q20" s="116">
        <f>IF($AA20="","",IF(INDEX('_views'!$B:$ZZ,$AA20,4)="","",INDEX('_views'!$B:$ZZ,$AA20,4)))</f>
        <v/>
      </c>
      <c r="R20" s="116">
        <f>IF($AA20="","",IF(INDEX('_views'!$B:$ZZ,$AA20,5)="","",INDEX('_views'!$B:$ZZ,$AA20,5)))</f>
        <v/>
      </c>
      <c r="S20" s="116">
        <f>IF($AA20="","",IF(INDEX('_views'!$B:$ZZ,$AA20,6)="","",INDEX('_views'!$B:$ZZ,$AA20,6)))</f>
        <v/>
      </c>
      <c r="T20" s="116">
        <f>IF($AA20="","",IF(INDEX('_views'!$B:$ZZ,$AA20,7)="","",INDEX('_views'!$B:$ZZ,$AA20,7)))</f>
        <v/>
      </c>
      <c r="U20" s="116">
        <f>IF($AA20="","",IF(INDEX('_views'!$B:$ZZ,$AA20,8)="","",INDEX('_views'!$B:$ZZ,$AA20,8)))</f>
        <v/>
      </c>
      <c r="V20" s="116">
        <f>IF($AA20="","",IF(INDEX('_views'!$B:$ZZ,$AA20,9)="","",INDEX('_views'!$B:$ZZ,$AA20,9)))</f>
        <v/>
      </c>
      <c r="Z20">
        <f>IFERROR(MATCH("G|"&amp;$B$13&amp;"|"&amp;$X$13&amp;"|rate|4",'_views'!$A:$A,0),"")</f>
        <v/>
      </c>
      <c r="AA20">
        <f>IFERROR(MATCH("G|"&amp;$B$13&amp;"|"&amp;$X$13&amp;"|book|4",'_views'!$A:$A,0),"")</f>
        <v/>
      </c>
      <c r="AF20">
        <f>IF(IF($X$15="","",IF(INDEX('_views'!$B:$ZZ,$X$15,8)="","",INDEX('_views'!$B:$ZZ,$X$15,8)))="All","",IF($X$15="","",IF(INDEX('_views'!$B:$ZZ,$X$15,8)="","",INDEX('_views'!$B:$ZZ,$X$15,8))))</f>
        <v/>
      </c>
      <c r="AH20">
        <f>IF(OR($AH$13="",$AH$14=""),"",COUNT(OFFSET($N$28,$AH$13-1,0,1,$AG$14))-IF(ISNUMBER($AH$18),1,0))</f>
        <v/>
      </c>
    </row>
    <row r="21" ht="16" customHeight="1">
      <c r="B21" s="113">
        <f>IF($X$16="","",IF(INDEX('_views'!$B:$ZZ,$X$16,5)="","",INDEX('_views'!$B:$ZZ,$X$16,5)))</f>
        <v/>
      </c>
      <c r="C21" s="115">
        <f>IF($Z21="","",IF(INDEX('_views'!$B:$ZZ,$Z21,1)="","",INDEX('_views'!$B:$ZZ,$Z21,1)))</f>
        <v/>
      </c>
      <c r="D21" s="115">
        <f>IF($Z21="","",IF(INDEX('_views'!$B:$ZZ,$Z21,2)="","",INDEX('_views'!$B:$ZZ,$Z21,2)))</f>
        <v/>
      </c>
      <c r="E21" s="115">
        <f>IF($Z21="","",IF(INDEX('_views'!$B:$ZZ,$Z21,3)="","",INDEX('_views'!$B:$ZZ,$Z21,3)))</f>
        <v/>
      </c>
      <c r="F21" s="115">
        <f>IF($Z21="","",IF(INDEX('_views'!$B:$ZZ,$Z21,4)="","",INDEX('_views'!$B:$ZZ,$Z21,4)))</f>
        <v/>
      </c>
      <c r="G21" s="115">
        <f>IF($Z21="","",IF(INDEX('_views'!$B:$ZZ,$Z21,5)="","",INDEX('_views'!$B:$ZZ,$Z21,5)))</f>
        <v/>
      </c>
      <c r="H21" s="115">
        <f>IF($Z21="","",IF(INDEX('_views'!$B:$ZZ,$Z21,6)="","",INDEX('_views'!$B:$ZZ,$Z21,6)))</f>
        <v/>
      </c>
      <c r="I21" s="115">
        <f>IF($Z21="","",IF(INDEX('_views'!$B:$ZZ,$Z21,7)="","",INDEX('_views'!$B:$ZZ,$Z21,7)))</f>
        <v/>
      </c>
      <c r="J21" s="115">
        <f>IF($Z21="","",IF(INDEX('_views'!$B:$ZZ,$Z21,8)="","",INDEX('_views'!$B:$ZZ,$Z21,8)))</f>
        <v/>
      </c>
      <c r="K21" s="115">
        <f>IF($Z21="","",IF(INDEX('_views'!$B:$ZZ,$Z21,9)="","",INDEX('_views'!$B:$ZZ,$Z21,9)))</f>
        <v/>
      </c>
      <c r="M21" s="113">
        <f>IF($X$16="","",IF(INDEX('_views'!$B:$ZZ,$X$16,5)="","",INDEX('_views'!$B:$ZZ,$X$16,5)))</f>
        <v/>
      </c>
      <c r="N21" s="116">
        <f>IF($AA21="","",IF(INDEX('_views'!$B:$ZZ,$AA21,1)="","",INDEX('_views'!$B:$ZZ,$AA21,1)))</f>
        <v/>
      </c>
      <c r="O21" s="116">
        <f>IF($AA21="","",IF(INDEX('_views'!$B:$ZZ,$AA21,2)="","",INDEX('_views'!$B:$ZZ,$AA21,2)))</f>
        <v/>
      </c>
      <c r="P21" s="116">
        <f>IF($AA21="","",IF(INDEX('_views'!$B:$ZZ,$AA21,3)="","",INDEX('_views'!$B:$ZZ,$AA21,3)))</f>
        <v/>
      </c>
      <c r="Q21" s="116">
        <f>IF($AA21="","",IF(INDEX('_views'!$B:$ZZ,$AA21,4)="","",INDEX('_views'!$B:$ZZ,$AA21,4)))</f>
        <v/>
      </c>
      <c r="R21" s="116">
        <f>IF($AA21="","",IF(INDEX('_views'!$B:$ZZ,$AA21,5)="","",INDEX('_views'!$B:$ZZ,$AA21,5)))</f>
        <v/>
      </c>
      <c r="S21" s="116">
        <f>IF($AA21="","",IF(INDEX('_views'!$B:$ZZ,$AA21,6)="","",INDEX('_views'!$B:$ZZ,$AA21,6)))</f>
        <v/>
      </c>
      <c r="T21" s="116">
        <f>IF($AA21="","",IF(INDEX('_views'!$B:$ZZ,$AA21,7)="","",INDEX('_views'!$B:$ZZ,$AA21,7)))</f>
        <v/>
      </c>
      <c r="U21" s="116">
        <f>IF($AA21="","",IF(INDEX('_views'!$B:$ZZ,$AA21,8)="","",INDEX('_views'!$B:$ZZ,$AA21,8)))</f>
        <v/>
      </c>
      <c r="V21" s="116">
        <f>IF($AA21="","",IF(INDEX('_views'!$B:$ZZ,$AA21,9)="","",INDEX('_views'!$B:$ZZ,$AA21,9)))</f>
        <v/>
      </c>
      <c r="Z21">
        <f>IFERROR(MATCH("G|"&amp;$B$13&amp;"|"&amp;$X$13&amp;"|rate|5",'_views'!$A:$A,0),"")</f>
        <v/>
      </c>
      <c r="AA21">
        <f>IFERROR(MATCH("G|"&amp;$B$13&amp;"|"&amp;$X$13&amp;"|book|5",'_views'!$A:$A,0),"")</f>
        <v/>
      </c>
      <c r="AH21">
        <f>IFERROR(MID(IF(AND(1&lt;&gt;$AH$14,1&lt;=$AG$14,ISNUMBER(INDEX($N$28:$V$35,$AH$13,1))),", "&amp;$N$27,"")&amp;IF(AND(2&lt;&gt;$AH$14,2&lt;=$AG$14,ISNUMBER(INDEX($N$28:$V$35,$AH$13,2))),", "&amp;$O$27,"")&amp;IF(AND(3&lt;&gt;$AH$14,3&lt;=$AG$14,ISNUMBER(INDEX($N$28:$V$35,$AH$13,3))),", "&amp;$P$27,"")&amp;IF(AND(4&lt;&gt;$AH$14,4&lt;=$AG$14,ISNUMBER(INDEX($N$28:$V$35,$AH$13,4))),", "&amp;$Q$27,"")&amp;IF(AND(5&lt;&gt;$AH$14,5&lt;=$AG$14,ISNUMBER(INDEX($N$28:$V$35,$AH$13,5))),", "&amp;$R$27,"")&amp;IF(AND(6&lt;&gt;$AH$14,6&lt;=$AG$14,ISNUMBER(INDEX($N$28:$V$35,$AH$13,6))),", "&amp;$S$27,"")&amp;IF(AND(7&lt;&gt;$AH$14,7&lt;=$AG$14,ISNUMBER(INDEX($N$28:$V$35,$AH$13,7))),", "&amp;$T$27,"")&amp;IF(AND(8&lt;&gt;$AH$14,8&lt;=$AG$14,ISNUMBER(INDEX($N$28:$V$35,$AH$13,8))),", "&amp;$U$27,"")&amp;IF(AND(9&lt;&gt;$AH$14,9&lt;=$AG$14,ISNUMBER(INDEX($N$28:$V$35,$AH$13,9))),", "&amp;$V$27,""),3,999),"")</f>
        <v/>
      </c>
    </row>
    <row r="22" ht="16" customHeight="1">
      <c r="B22" s="113">
        <f>IF($X$16="","",IF(INDEX('_views'!$B:$ZZ,$X$16,6)="","",INDEX('_views'!$B:$ZZ,$X$16,6)))</f>
        <v/>
      </c>
      <c r="C22" s="115">
        <f>IF($Z22="","",IF(INDEX('_views'!$B:$ZZ,$Z22,1)="","",INDEX('_views'!$B:$ZZ,$Z22,1)))</f>
        <v/>
      </c>
      <c r="D22" s="115">
        <f>IF($Z22="","",IF(INDEX('_views'!$B:$ZZ,$Z22,2)="","",INDEX('_views'!$B:$ZZ,$Z22,2)))</f>
        <v/>
      </c>
      <c r="E22" s="115">
        <f>IF($Z22="","",IF(INDEX('_views'!$B:$ZZ,$Z22,3)="","",INDEX('_views'!$B:$ZZ,$Z22,3)))</f>
        <v/>
      </c>
      <c r="F22" s="115">
        <f>IF($Z22="","",IF(INDEX('_views'!$B:$ZZ,$Z22,4)="","",INDEX('_views'!$B:$ZZ,$Z22,4)))</f>
        <v/>
      </c>
      <c r="G22" s="115">
        <f>IF($Z22="","",IF(INDEX('_views'!$B:$ZZ,$Z22,5)="","",INDEX('_views'!$B:$ZZ,$Z22,5)))</f>
        <v/>
      </c>
      <c r="H22" s="115">
        <f>IF($Z22="","",IF(INDEX('_views'!$B:$ZZ,$Z22,6)="","",INDEX('_views'!$B:$ZZ,$Z22,6)))</f>
        <v/>
      </c>
      <c r="I22" s="115">
        <f>IF($Z22="","",IF(INDEX('_views'!$B:$ZZ,$Z22,7)="","",INDEX('_views'!$B:$ZZ,$Z22,7)))</f>
        <v/>
      </c>
      <c r="J22" s="115">
        <f>IF($Z22="","",IF(INDEX('_views'!$B:$ZZ,$Z22,8)="","",INDEX('_views'!$B:$ZZ,$Z22,8)))</f>
        <v/>
      </c>
      <c r="K22" s="115">
        <f>IF($Z22="","",IF(INDEX('_views'!$B:$ZZ,$Z22,9)="","",INDEX('_views'!$B:$ZZ,$Z22,9)))</f>
        <v/>
      </c>
      <c r="M22" s="113">
        <f>IF($X$16="","",IF(INDEX('_views'!$B:$ZZ,$X$16,6)="","",INDEX('_views'!$B:$ZZ,$X$16,6)))</f>
        <v/>
      </c>
      <c r="N22" s="116">
        <f>IF($AA22="","",IF(INDEX('_views'!$B:$ZZ,$AA22,1)="","",INDEX('_views'!$B:$ZZ,$AA22,1)))</f>
        <v/>
      </c>
      <c r="O22" s="116">
        <f>IF($AA22="","",IF(INDEX('_views'!$B:$ZZ,$AA22,2)="","",INDEX('_views'!$B:$ZZ,$AA22,2)))</f>
        <v/>
      </c>
      <c r="P22" s="116">
        <f>IF($AA22="","",IF(INDEX('_views'!$B:$ZZ,$AA22,3)="","",INDEX('_views'!$B:$ZZ,$AA22,3)))</f>
        <v/>
      </c>
      <c r="Q22" s="116">
        <f>IF($AA22="","",IF(INDEX('_views'!$B:$ZZ,$AA22,4)="","",INDEX('_views'!$B:$ZZ,$AA22,4)))</f>
        <v/>
      </c>
      <c r="R22" s="116">
        <f>IF($AA22="","",IF(INDEX('_views'!$B:$ZZ,$AA22,5)="","",INDEX('_views'!$B:$ZZ,$AA22,5)))</f>
        <v/>
      </c>
      <c r="S22" s="116">
        <f>IF($AA22="","",IF(INDEX('_views'!$B:$ZZ,$AA22,6)="","",INDEX('_views'!$B:$ZZ,$AA22,6)))</f>
        <v/>
      </c>
      <c r="T22" s="116">
        <f>IF($AA22="","",IF(INDEX('_views'!$B:$ZZ,$AA22,7)="","",INDEX('_views'!$B:$ZZ,$AA22,7)))</f>
        <v/>
      </c>
      <c r="U22" s="116">
        <f>IF($AA22="","",IF(INDEX('_views'!$B:$ZZ,$AA22,8)="","",INDEX('_views'!$B:$ZZ,$AA22,8)))</f>
        <v/>
      </c>
      <c r="V22" s="116">
        <f>IF($AA22="","",IF(INDEX('_views'!$B:$ZZ,$AA22,9)="","",INDEX('_views'!$B:$ZZ,$AA22,9)))</f>
        <v/>
      </c>
      <c r="Z22">
        <f>IFERROR(MATCH("G|"&amp;$B$13&amp;"|"&amp;$X$13&amp;"|rate|6",'_views'!$A:$A,0),"")</f>
        <v/>
      </c>
      <c r="AA22">
        <f>IFERROR(MATCH("G|"&amp;$B$13&amp;"|"&amp;$X$13&amp;"|book|6",'_views'!$A:$A,0),"")</f>
        <v/>
      </c>
      <c r="AH22">
        <f>IFERROR(INDEX('_choices'!$K$2:$K$6,MATCH($F$13,'_choices'!$I$2:$I$6,0)),"")</f>
        <v/>
      </c>
    </row>
    <row r="23" ht="16" customHeight="1">
      <c r="B23" s="113">
        <f>IF($X$16="","",IF(INDEX('_views'!$B:$ZZ,$X$16,7)="","",INDEX('_views'!$B:$ZZ,$X$16,7)))</f>
        <v/>
      </c>
      <c r="C23" s="115">
        <f>IF($Z23="","",IF(INDEX('_views'!$B:$ZZ,$Z23,1)="","",INDEX('_views'!$B:$ZZ,$Z23,1)))</f>
        <v/>
      </c>
      <c r="D23" s="115">
        <f>IF($Z23="","",IF(INDEX('_views'!$B:$ZZ,$Z23,2)="","",INDEX('_views'!$B:$ZZ,$Z23,2)))</f>
        <v/>
      </c>
      <c r="E23" s="115">
        <f>IF($Z23="","",IF(INDEX('_views'!$B:$ZZ,$Z23,3)="","",INDEX('_views'!$B:$ZZ,$Z23,3)))</f>
        <v/>
      </c>
      <c r="F23" s="115">
        <f>IF($Z23="","",IF(INDEX('_views'!$B:$ZZ,$Z23,4)="","",INDEX('_views'!$B:$ZZ,$Z23,4)))</f>
        <v/>
      </c>
      <c r="G23" s="115">
        <f>IF($Z23="","",IF(INDEX('_views'!$B:$ZZ,$Z23,5)="","",INDEX('_views'!$B:$ZZ,$Z23,5)))</f>
        <v/>
      </c>
      <c r="H23" s="115">
        <f>IF($Z23="","",IF(INDEX('_views'!$B:$ZZ,$Z23,6)="","",INDEX('_views'!$B:$ZZ,$Z23,6)))</f>
        <v/>
      </c>
      <c r="I23" s="115">
        <f>IF($Z23="","",IF(INDEX('_views'!$B:$ZZ,$Z23,7)="","",INDEX('_views'!$B:$ZZ,$Z23,7)))</f>
        <v/>
      </c>
      <c r="J23" s="115">
        <f>IF($Z23="","",IF(INDEX('_views'!$B:$ZZ,$Z23,8)="","",INDEX('_views'!$B:$ZZ,$Z23,8)))</f>
        <v/>
      </c>
      <c r="K23" s="115">
        <f>IF($Z23="","",IF(INDEX('_views'!$B:$ZZ,$Z23,9)="","",INDEX('_views'!$B:$ZZ,$Z23,9)))</f>
        <v/>
      </c>
      <c r="M23" s="113">
        <f>IF($X$16="","",IF(INDEX('_views'!$B:$ZZ,$X$16,7)="","",INDEX('_views'!$B:$ZZ,$X$16,7)))</f>
        <v/>
      </c>
      <c r="N23" s="116">
        <f>IF($AA23="","",IF(INDEX('_views'!$B:$ZZ,$AA23,1)="","",INDEX('_views'!$B:$ZZ,$AA23,1)))</f>
        <v/>
      </c>
      <c r="O23" s="116">
        <f>IF($AA23="","",IF(INDEX('_views'!$B:$ZZ,$AA23,2)="","",INDEX('_views'!$B:$ZZ,$AA23,2)))</f>
        <v/>
      </c>
      <c r="P23" s="116">
        <f>IF($AA23="","",IF(INDEX('_views'!$B:$ZZ,$AA23,3)="","",INDEX('_views'!$B:$ZZ,$AA23,3)))</f>
        <v/>
      </c>
      <c r="Q23" s="116">
        <f>IF($AA23="","",IF(INDEX('_views'!$B:$ZZ,$AA23,4)="","",INDEX('_views'!$B:$ZZ,$AA23,4)))</f>
        <v/>
      </c>
      <c r="R23" s="116">
        <f>IF($AA23="","",IF(INDEX('_views'!$B:$ZZ,$AA23,5)="","",INDEX('_views'!$B:$ZZ,$AA23,5)))</f>
        <v/>
      </c>
      <c r="S23" s="116">
        <f>IF($AA23="","",IF(INDEX('_views'!$B:$ZZ,$AA23,6)="","",INDEX('_views'!$B:$ZZ,$AA23,6)))</f>
        <v/>
      </c>
      <c r="T23" s="116">
        <f>IF($AA23="","",IF(INDEX('_views'!$B:$ZZ,$AA23,7)="","",INDEX('_views'!$B:$ZZ,$AA23,7)))</f>
        <v/>
      </c>
      <c r="U23" s="116">
        <f>IF($AA23="","",IF(INDEX('_views'!$B:$ZZ,$AA23,8)="","",INDEX('_views'!$B:$ZZ,$AA23,8)))</f>
        <v/>
      </c>
      <c r="V23" s="116">
        <f>IF($AA23="","",IF(INDEX('_views'!$B:$ZZ,$AA23,9)="","",INDEX('_views'!$B:$ZZ,$AA23,9)))</f>
        <v/>
      </c>
      <c r="Z23">
        <f>IFERROR(MATCH("G|"&amp;$B$13&amp;"|"&amp;$X$13&amp;"|rate|7",'_views'!$A:$A,0),"")</f>
        <v/>
      </c>
      <c r="AA23">
        <f>IFERROR(MATCH("G|"&amp;$B$13&amp;"|"&amp;$X$13&amp;"|book|7",'_views'!$A:$A,0),"")</f>
        <v/>
      </c>
      <c r="AH23">
        <f>IFERROR(INDEX('_choices'!$L$2:$L$6,MATCH($F$13,'_choices'!$I$2:$I$6,0)),"")</f>
        <v/>
      </c>
    </row>
    <row r="24" ht="16" customHeight="1">
      <c r="B24" s="113">
        <f>IF($X$16="","",IF(INDEX('_views'!$B:$ZZ,$X$16,8)="","",INDEX('_views'!$B:$ZZ,$X$16,8)))</f>
        <v/>
      </c>
      <c r="C24" s="115">
        <f>IF($Z24="","",IF(INDEX('_views'!$B:$ZZ,$Z24,1)="","",INDEX('_views'!$B:$ZZ,$Z24,1)))</f>
        <v/>
      </c>
      <c r="D24" s="115">
        <f>IF($Z24="","",IF(INDEX('_views'!$B:$ZZ,$Z24,2)="","",INDEX('_views'!$B:$ZZ,$Z24,2)))</f>
        <v/>
      </c>
      <c r="E24" s="115">
        <f>IF($Z24="","",IF(INDEX('_views'!$B:$ZZ,$Z24,3)="","",INDEX('_views'!$B:$ZZ,$Z24,3)))</f>
        <v/>
      </c>
      <c r="F24" s="115">
        <f>IF($Z24="","",IF(INDEX('_views'!$B:$ZZ,$Z24,4)="","",INDEX('_views'!$B:$ZZ,$Z24,4)))</f>
        <v/>
      </c>
      <c r="G24" s="115">
        <f>IF($Z24="","",IF(INDEX('_views'!$B:$ZZ,$Z24,5)="","",INDEX('_views'!$B:$ZZ,$Z24,5)))</f>
        <v/>
      </c>
      <c r="H24" s="115">
        <f>IF($Z24="","",IF(INDEX('_views'!$B:$ZZ,$Z24,6)="","",INDEX('_views'!$B:$ZZ,$Z24,6)))</f>
        <v/>
      </c>
      <c r="I24" s="115">
        <f>IF($Z24="","",IF(INDEX('_views'!$B:$ZZ,$Z24,7)="","",INDEX('_views'!$B:$ZZ,$Z24,7)))</f>
        <v/>
      </c>
      <c r="J24" s="115">
        <f>IF($Z24="","",IF(INDEX('_views'!$B:$ZZ,$Z24,8)="","",INDEX('_views'!$B:$ZZ,$Z24,8)))</f>
        <v/>
      </c>
      <c r="K24" s="115">
        <f>IF($Z24="","",IF(INDEX('_views'!$B:$ZZ,$Z24,9)="","",INDEX('_views'!$B:$ZZ,$Z24,9)))</f>
        <v/>
      </c>
      <c r="M24" s="113">
        <f>IF($X$16="","",IF(INDEX('_views'!$B:$ZZ,$X$16,8)="","",INDEX('_views'!$B:$ZZ,$X$16,8)))</f>
        <v/>
      </c>
      <c r="N24" s="116">
        <f>IF($AA24="","",IF(INDEX('_views'!$B:$ZZ,$AA24,1)="","",INDEX('_views'!$B:$ZZ,$AA24,1)))</f>
        <v/>
      </c>
      <c r="O24" s="116">
        <f>IF($AA24="","",IF(INDEX('_views'!$B:$ZZ,$AA24,2)="","",INDEX('_views'!$B:$ZZ,$AA24,2)))</f>
        <v/>
      </c>
      <c r="P24" s="116">
        <f>IF($AA24="","",IF(INDEX('_views'!$B:$ZZ,$AA24,3)="","",INDEX('_views'!$B:$ZZ,$AA24,3)))</f>
        <v/>
      </c>
      <c r="Q24" s="116">
        <f>IF($AA24="","",IF(INDEX('_views'!$B:$ZZ,$AA24,4)="","",INDEX('_views'!$B:$ZZ,$AA24,4)))</f>
        <v/>
      </c>
      <c r="R24" s="116">
        <f>IF($AA24="","",IF(INDEX('_views'!$B:$ZZ,$AA24,5)="","",INDEX('_views'!$B:$ZZ,$AA24,5)))</f>
        <v/>
      </c>
      <c r="S24" s="116">
        <f>IF($AA24="","",IF(INDEX('_views'!$B:$ZZ,$AA24,6)="","",INDEX('_views'!$B:$ZZ,$AA24,6)))</f>
        <v/>
      </c>
      <c r="T24" s="116">
        <f>IF($AA24="","",IF(INDEX('_views'!$B:$ZZ,$AA24,7)="","",INDEX('_views'!$B:$ZZ,$AA24,7)))</f>
        <v/>
      </c>
      <c r="U24" s="116">
        <f>IF($AA24="","",IF(INDEX('_views'!$B:$ZZ,$AA24,8)="","",INDEX('_views'!$B:$ZZ,$AA24,8)))</f>
        <v/>
      </c>
      <c r="V24" s="116">
        <f>IF($AA24="","",IF(INDEX('_views'!$B:$ZZ,$AA24,9)="","",INDEX('_views'!$B:$ZZ,$AA24,9)))</f>
        <v/>
      </c>
      <c r="Z24">
        <f>IFERROR(MATCH("G|"&amp;$B$13&amp;"|"&amp;$X$13&amp;"|rate|8",'_views'!$A:$A,0),"")</f>
        <v/>
      </c>
      <c r="AA24">
        <f>IFERROR(MATCH("G|"&amp;$B$13&amp;"|"&amp;$X$13&amp;"|book|8",'_views'!$A:$A,0),"")</f>
        <v/>
      </c>
      <c r="AH24">
        <f>IF($X$14="","",IF(INDEX('_views'!$B:$ZZ,$X$14,3)="","",INDEX('_views'!$B:$ZZ,$X$14,3)))</f>
        <v/>
      </c>
    </row>
    <row r="26" ht="20" customHeight="1">
      <c r="B26" s="127" t="inlineStr">
        <is>
          <t>vs rest of band</t>
        </is>
      </c>
      <c r="C26" s="26" t="n"/>
      <c r="D26" s="26" t="n"/>
      <c r="E26" s="26" t="n"/>
      <c r="F26" s="26" t="n"/>
      <c r="G26" s="26" t="n"/>
      <c r="H26" s="26" t="n"/>
      <c r="I26" s="26" t="n"/>
      <c r="J26" s="26" t="n"/>
      <c r="K26" s="26" t="n"/>
      <c r="M26" s="127" t="inlineStr">
        <is>
          <t>Loans</t>
        </is>
      </c>
      <c r="N26" s="26" t="n"/>
      <c r="O26" s="26" t="n"/>
      <c r="P26" s="26" t="n"/>
      <c r="Q26" s="26" t="n"/>
      <c r="R26" s="26" t="n"/>
      <c r="S26" s="26" t="n"/>
      <c r="T26" s="26" t="n"/>
      <c r="U26" s="26" t="n"/>
      <c r="V26" s="26" t="n"/>
    </row>
    <row r="27">
      <c r="B27" s="128">
        <f>IF($X$17="","",IF(INDEX('_views'!$B:$ZZ,$X$17,1)="","",INDEX('_views'!$B:$ZZ,$X$17,1)))</f>
        <v/>
      </c>
      <c r="C27" s="30">
        <f>IF($X$15="","",IF(INDEX('_views'!$B:$ZZ,$X$15,1)="","",INDEX('_views'!$B:$ZZ,$X$15,1)))</f>
        <v/>
      </c>
      <c r="D27" s="30">
        <f>IF($X$15="","",IF(INDEX('_views'!$B:$ZZ,$X$15,2)="","",INDEX('_views'!$B:$ZZ,$X$15,2)))</f>
        <v/>
      </c>
      <c r="E27" s="30">
        <f>IF($X$15="","",IF(INDEX('_views'!$B:$ZZ,$X$15,3)="","",INDEX('_views'!$B:$ZZ,$X$15,3)))</f>
        <v/>
      </c>
      <c r="F27" s="30">
        <f>IF($X$15="","",IF(INDEX('_views'!$B:$ZZ,$X$15,4)="","",INDEX('_views'!$B:$ZZ,$X$15,4)))</f>
        <v/>
      </c>
      <c r="G27" s="30">
        <f>IF($X$15="","",IF(INDEX('_views'!$B:$ZZ,$X$15,5)="","",INDEX('_views'!$B:$ZZ,$X$15,5)))</f>
        <v/>
      </c>
      <c r="H27" s="30">
        <f>IF($X$15="","",IF(INDEX('_views'!$B:$ZZ,$X$15,6)="","",INDEX('_views'!$B:$ZZ,$X$15,6)))</f>
        <v/>
      </c>
      <c r="I27" s="30">
        <f>IF($X$15="","",IF(INDEX('_views'!$B:$ZZ,$X$15,7)="","",INDEX('_views'!$B:$ZZ,$X$15,7)))</f>
        <v/>
      </c>
      <c r="J27" s="30">
        <f>IF($X$15="","",IF(INDEX('_views'!$B:$ZZ,$X$15,8)="","",INDEX('_views'!$B:$ZZ,$X$15,8)))</f>
        <v/>
      </c>
      <c r="K27" s="30">
        <f>IF($X$15="","",IF(INDEX('_views'!$B:$ZZ,$X$15,9)="","",INDEX('_views'!$B:$ZZ,$X$15,9)))</f>
        <v/>
      </c>
      <c r="M27" s="128">
        <f>IF($X$17="","",IF(INDEX('_views'!$B:$ZZ,$X$17,1)="","",INDEX('_views'!$B:$ZZ,$X$17,1)))</f>
        <v/>
      </c>
      <c r="N27" s="30">
        <f>IF($X$15="","",IF(INDEX('_views'!$B:$ZZ,$X$15,1)="","",INDEX('_views'!$B:$ZZ,$X$15,1)))</f>
        <v/>
      </c>
      <c r="O27" s="30">
        <f>IF($X$15="","",IF(INDEX('_views'!$B:$ZZ,$X$15,2)="","",INDEX('_views'!$B:$ZZ,$X$15,2)))</f>
        <v/>
      </c>
      <c r="P27" s="30">
        <f>IF($X$15="","",IF(INDEX('_views'!$B:$ZZ,$X$15,3)="","",INDEX('_views'!$B:$ZZ,$X$15,3)))</f>
        <v/>
      </c>
      <c r="Q27" s="30">
        <f>IF($X$15="","",IF(INDEX('_views'!$B:$ZZ,$X$15,4)="","",INDEX('_views'!$B:$ZZ,$X$15,4)))</f>
        <v/>
      </c>
      <c r="R27" s="30">
        <f>IF($X$15="","",IF(INDEX('_views'!$B:$ZZ,$X$15,5)="","",INDEX('_views'!$B:$ZZ,$X$15,5)))</f>
        <v/>
      </c>
      <c r="S27" s="30">
        <f>IF($X$15="","",IF(INDEX('_views'!$B:$ZZ,$X$15,6)="","",INDEX('_views'!$B:$ZZ,$X$15,6)))</f>
        <v/>
      </c>
      <c r="T27" s="30">
        <f>IF($X$15="","",IF(INDEX('_views'!$B:$ZZ,$X$15,7)="","",INDEX('_views'!$B:$ZZ,$X$15,7)))</f>
        <v/>
      </c>
      <c r="U27" s="30">
        <f>IF($X$15="","",IF(INDEX('_views'!$B:$ZZ,$X$15,8)="","",INDEX('_views'!$B:$ZZ,$X$15,8)))</f>
        <v/>
      </c>
      <c r="V27" s="30">
        <f>IF($X$15="","",IF(INDEX('_views'!$B:$ZZ,$X$15,9)="","",INDEX('_views'!$B:$ZZ,$X$15,9)))</f>
        <v/>
      </c>
    </row>
    <row r="28" ht="16" customHeight="1">
      <c r="B28" s="113">
        <f>IF($X$16="","",IF(INDEX('_views'!$B:$ZZ,$X$16,1)="","",INDEX('_views'!$B:$ZZ,$X$16,1)))</f>
        <v/>
      </c>
      <c r="C28" s="116">
        <f>IF($Z28="","",IF(INDEX('_views'!$B:$ZZ,$Z28,1)="","",INDEX('_views'!$B:$ZZ,$Z28,1)))</f>
        <v/>
      </c>
      <c r="D28" s="116">
        <f>IF($Z28="","",IF(INDEX('_views'!$B:$ZZ,$Z28,2)="","",INDEX('_views'!$B:$ZZ,$Z28,2)))</f>
        <v/>
      </c>
      <c r="E28" s="116">
        <f>IF($Z28="","",IF(INDEX('_views'!$B:$ZZ,$Z28,3)="","",INDEX('_views'!$B:$ZZ,$Z28,3)))</f>
        <v/>
      </c>
      <c r="F28" s="116">
        <f>IF($Z28="","",IF(INDEX('_views'!$B:$ZZ,$Z28,4)="","",INDEX('_views'!$B:$ZZ,$Z28,4)))</f>
        <v/>
      </c>
      <c r="G28" s="116">
        <f>IF($Z28="","",IF(INDEX('_views'!$B:$ZZ,$Z28,5)="","",INDEX('_views'!$B:$ZZ,$Z28,5)))</f>
        <v/>
      </c>
      <c r="H28" s="116">
        <f>IF($Z28="","",IF(INDEX('_views'!$B:$ZZ,$Z28,6)="","",INDEX('_views'!$B:$ZZ,$Z28,6)))</f>
        <v/>
      </c>
      <c r="I28" s="116">
        <f>IF($Z28="","",IF(INDEX('_views'!$B:$ZZ,$Z28,7)="","",INDEX('_views'!$B:$ZZ,$Z28,7)))</f>
        <v/>
      </c>
      <c r="J28" s="116">
        <f>IF($Z28="","",IF(INDEX('_views'!$B:$ZZ,$Z28,8)="","",INDEX('_views'!$B:$ZZ,$Z28,8)))</f>
        <v/>
      </c>
      <c r="K28" s="116">
        <f>IF($Z28="","",IF(INDEX('_views'!$B:$ZZ,$Z28,9)="","",INDEX('_views'!$B:$ZZ,$Z28,9)))</f>
        <v/>
      </c>
      <c r="M28" s="113">
        <f>IF($X$16="","",IF(INDEX('_views'!$B:$ZZ,$X$16,1)="","",INDEX('_views'!$B:$ZZ,$X$16,1)))</f>
        <v/>
      </c>
      <c r="N28" s="114">
        <f>IF($AA28="","",IF(INDEX('_views'!$B:$ZZ,$AA28,1)="","",INDEX('_views'!$B:$ZZ,$AA28,1)))</f>
        <v/>
      </c>
      <c r="O28" s="114">
        <f>IF($AA28="","",IF(INDEX('_views'!$B:$ZZ,$AA28,2)="","",INDEX('_views'!$B:$ZZ,$AA28,2)))</f>
        <v/>
      </c>
      <c r="P28" s="114">
        <f>IF($AA28="","",IF(INDEX('_views'!$B:$ZZ,$AA28,3)="","",INDEX('_views'!$B:$ZZ,$AA28,3)))</f>
        <v/>
      </c>
      <c r="Q28" s="114">
        <f>IF($AA28="","",IF(INDEX('_views'!$B:$ZZ,$AA28,4)="","",INDEX('_views'!$B:$ZZ,$AA28,4)))</f>
        <v/>
      </c>
      <c r="R28" s="114">
        <f>IF($AA28="","",IF(INDEX('_views'!$B:$ZZ,$AA28,5)="","",INDEX('_views'!$B:$ZZ,$AA28,5)))</f>
        <v/>
      </c>
      <c r="S28" s="114">
        <f>IF($AA28="","",IF(INDEX('_views'!$B:$ZZ,$AA28,6)="","",INDEX('_views'!$B:$ZZ,$AA28,6)))</f>
        <v/>
      </c>
      <c r="T28" s="114">
        <f>IF($AA28="","",IF(INDEX('_views'!$B:$ZZ,$AA28,7)="","",INDEX('_views'!$B:$ZZ,$AA28,7)))</f>
        <v/>
      </c>
      <c r="U28" s="114">
        <f>IF($AA28="","",IF(INDEX('_views'!$B:$ZZ,$AA28,8)="","",INDEX('_views'!$B:$ZZ,$AA28,8)))</f>
        <v/>
      </c>
      <c r="V28" s="114">
        <f>IF($AA28="","",IF(INDEX('_views'!$B:$ZZ,$AA28,9)="","",INDEX('_views'!$B:$ZZ,$AA28,9)))</f>
        <v/>
      </c>
      <c r="Z28">
        <f>IFERROR(MATCH("G|"&amp;$B$13&amp;"|"&amp;$X$13&amp;"|band|1",'_views'!$A:$A,0),"")</f>
        <v/>
      </c>
      <c r="AA28">
        <f>IFERROR(MATCH("G|"&amp;$B$13&amp;"|loans|1",'_views'!$A:$A,0),"")</f>
        <v/>
      </c>
    </row>
    <row r="29" ht="16" customHeight="1">
      <c r="B29" s="113">
        <f>IF($X$16="","",IF(INDEX('_views'!$B:$ZZ,$X$16,2)="","",INDEX('_views'!$B:$ZZ,$X$16,2)))</f>
        <v/>
      </c>
      <c r="C29" s="116">
        <f>IF($Z29="","",IF(INDEX('_views'!$B:$ZZ,$Z29,1)="","",INDEX('_views'!$B:$ZZ,$Z29,1)))</f>
        <v/>
      </c>
      <c r="D29" s="116">
        <f>IF($Z29="","",IF(INDEX('_views'!$B:$ZZ,$Z29,2)="","",INDEX('_views'!$B:$ZZ,$Z29,2)))</f>
        <v/>
      </c>
      <c r="E29" s="116">
        <f>IF($Z29="","",IF(INDEX('_views'!$B:$ZZ,$Z29,3)="","",INDEX('_views'!$B:$ZZ,$Z29,3)))</f>
        <v/>
      </c>
      <c r="F29" s="116">
        <f>IF($Z29="","",IF(INDEX('_views'!$B:$ZZ,$Z29,4)="","",INDEX('_views'!$B:$ZZ,$Z29,4)))</f>
        <v/>
      </c>
      <c r="G29" s="116">
        <f>IF($Z29="","",IF(INDEX('_views'!$B:$ZZ,$Z29,5)="","",INDEX('_views'!$B:$ZZ,$Z29,5)))</f>
        <v/>
      </c>
      <c r="H29" s="116">
        <f>IF($Z29="","",IF(INDEX('_views'!$B:$ZZ,$Z29,6)="","",INDEX('_views'!$B:$ZZ,$Z29,6)))</f>
        <v/>
      </c>
      <c r="I29" s="116">
        <f>IF($Z29="","",IF(INDEX('_views'!$B:$ZZ,$Z29,7)="","",INDEX('_views'!$B:$ZZ,$Z29,7)))</f>
        <v/>
      </c>
      <c r="J29" s="116">
        <f>IF($Z29="","",IF(INDEX('_views'!$B:$ZZ,$Z29,8)="","",INDEX('_views'!$B:$ZZ,$Z29,8)))</f>
        <v/>
      </c>
      <c r="K29" s="116">
        <f>IF($Z29="","",IF(INDEX('_views'!$B:$ZZ,$Z29,9)="","",INDEX('_views'!$B:$ZZ,$Z29,9)))</f>
        <v/>
      </c>
      <c r="M29" s="113">
        <f>IF($X$16="","",IF(INDEX('_views'!$B:$ZZ,$X$16,2)="","",INDEX('_views'!$B:$ZZ,$X$16,2)))</f>
        <v/>
      </c>
      <c r="N29" s="114">
        <f>IF($AA29="","",IF(INDEX('_views'!$B:$ZZ,$AA29,1)="","",INDEX('_views'!$B:$ZZ,$AA29,1)))</f>
        <v/>
      </c>
      <c r="O29" s="114">
        <f>IF($AA29="","",IF(INDEX('_views'!$B:$ZZ,$AA29,2)="","",INDEX('_views'!$B:$ZZ,$AA29,2)))</f>
        <v/>
      </c>
      <c r="P29" s="114">
        <f>IF($AA29="","",IF(INDEX('_views'!$B:$ZZ,$AA29,3)="","",INDEX('_views'!$B:$ZZ,$AA29,3)))</f>
        <v/>
      </c>
      <c r="Q29" s="114">
        <f>IF($AA29="","",IF(INDEX('_views'!$B:$ZZ,$AA29,4)="","",INDEX('_views'!$B:$ZZ,$AA29,4)))</f>
        <v/>
      </c>
      <c r="R29" s="114">
        <f>IF($AA29="","",IF(INDEX('_views'!$B:$ZZ,$AA29,5)="","",INDEX('_views'!$B:$ZZ,$AA29,5)))</f>
        <v/>
      </c>
      <c r="S29" s="114">
        <f>IF($AA29="","",IF(INDEX('_views'!$B:$ZZ,$AA29,6)="","",INDEX('_views'!$B:$ZZ,$AA29,6)))</f>
        <v/>
      </c>
      <c r="T29" s="114">
        <f>IF($AA29="","",IF(INDEX('_views'!$B:$ZZ,$AA29,7)="","",INDEX('_views'!$B:$ZZ,$AA29,7)))</f>
        <v/>
      </c>
      <c r="U29" s="114">
        <f>IF($AA29="","",IF(INDEX('_views'!$B:$ZZ,$AA29,8)="","",INDEX('_views'!$B:$ZZ,$AA29,8)))</f>
        <v/>
      </c>
      <c r="V29" s="114">
        <f>IF($AA29="","",IF(INDEX('_views'!$B:$ZZ,$AA29,9)="","",INDEX('_views'!$B:$ZZ,$AA29,9)))</f>
        <v/>
      </c>
      <c r="Z29">
        <f>IFERROR(MATCH("G|"&amp;$B$13&amp;"|"&amp;$X$13&amp;"|band|2",'_views'!$A:$A,0),"")</f>
        <v/>
      </c>
      <c r="AA29">
        <f>IFERROR(MATCH("G|"&amp;$B$13&amp;"|loans|2",'_views'!$A:$A,0),"")</f>
        <v/>
      </c>
    </row>
    <row r="30" ht="16" customHeight="1">
      <c r="B30" s="113">
        <f>IF($X$16="","",IF(INDEX('_views'!$B:$ZZ,$X$16,3)="","",INDEX('_views'!$B:$ZZ,$X$16,3)))</f>
        <v/>
      </c>
      <c r="C30" s="116">
        <f>IF($Z30="","",IF(INDEX('_views'!$B:$ZZ,$Z30,1)="","",INDEX('_views'!$B:$ZZ,$Z30,1)))</f>
        <v/>
      </c>
      <c r="D30" s="116">
        <f>IF($Z30="","",IF(INDEX('_views'!$B:$ZZ,$Z30,2)="","",INDEX('_views'!$B:$ZZ,$Z30,2)))</f>
        <v/>
      </c>
      <c r="E30" s="116">
        <f>IF($Z30="","",IF(INDEX('_views'!$B:$ZZ,$Z30,3)="","",INDEX('_views'!$B:$ZZ,$Z30,3)))</f>
        <v/>
      </c>
      <c r="F30" s="116">
        <f>IF($Z30="","",IF(INDEX('_views'!$B:$ZZ,$Z30,4)="","",INDEX('_views'!$B:$ZZ,$Z30,4)))</f>
        <v/>
      </c>
      <c r="G30" s="116">
        <f>IF($Z30="","",IF(INDEX('_views'!$B:$ZZ,$Z30,5)="","",INDEX('_views'!$B:$ZZ,$Z30,5)))</f>
        <v/>
      </c>
      <c r="H30" s="116">
        <f>IF($Z30="","",IF(INDEX('_views'!$B:$ZZ,$Z30,6)="","",INDEX('_views'!$B:$ZZ,$Z30,6)))</f>
        <v/>
      </c>
      <c r="I30" s="116">
        <f>IF($Z30="","",IF(INDEX('_views'!$B:$ZZ,$Z30,7)="","",INDEX('_views'!$B:$ZZ,$Z30,7)))</f>
        <v/>
      </c>
      <c r="J30" s="116">
        <f>IF($Z30="","",IF(INDEX('_views'!$B:$ZZ,$Z30,8)="","",INDEX('_views'!$B:$ZZ,$Z30,8)))</f>
        <v/>
      </c>
      <c r="K30" s="116">
        <f>IF($Z30="","",IF(INDEX('_views'!$B:$ZZ,$Z30,9)="","",INDEX('_views'!$B:$ZZ,$Z30,9)))</f>
        <v/>
      </c>
      <c r="M30" s="113">
        <f>IF($X$16="","",IF(INDEX('_views'!$B:$ZZ,$X$16,3)="","",INDEX('_views'!$B:$ZZ,$X$16,3)))</f>
        <v/>
      </c>
      <c r="N30" s="114">
        <f>IF($AA30="","",IF(INDEX('_views'!$B:$ZZ,$AA30,1)="","",INDEX('_views'!$B:$ZZ,$AA30,1)))</f>
        <v/>
      </c>
      <c r="O30" s="114">
        <f>IF($AA30="","",IF(INDEX('_views'!$B:$ZZ,$AA30,2)="","",INDEX('_views'!$B:$ZZ,$AA30,2)))</f>
        <v/>
      </c>
      <c r="P30" s="114">
        <f>IF($AA30="","",IF(INDEX('_views'!$B:$ZZ,$AA30,3)="","",INDEX('_views'!$B:$ZZ,$AA30,3)))</f>
        <v/>
      </c>
      <c r="Q30" s="114">
        <f>IF($AA30="","",IF(INDEX('_views'!$B:$ZZ,$AA30,4)="","",INDEX('_views'!$B:$ZZ,$AA30,4)))</f>
        <v/>
      </c>
      <c r="R30" s="114">
        <f>IF($AA30="","",IF(INDEX('_views'!$B:$ZZ,$AA30,5)="","",INDEX('_views'!$B:$ZZ,$AA30,5)))</f>
        <v/>
      </c>
      <c r="S30" s="114">
        <f>IF($AA30="","",IF(INDEX('_views'!$B:$ZZ,$AA30,6)="","",INDEX('_views'!$B:$ZZ,$AA30,6)))</f>
        <v/>
      </c>
      <c r="T30" s="114">
        <f>IF($AA30="","",IF(INDEX('_views'!$B:$ZZ,$AA30,7)="","",INDEX('_views'!$B:$ZZ,$AA30,7)))</f>
        <v/>
      </c>
      <c r="U30" s="114">
        <f>IF($AA30="","",IF(INDEX('_views'!$B:$ZZ,$AA30,8)="","",INDEX('_views'!$B:$ZZ,$AA30,8)))</f>
        <v/>
      </c>
      <c r="V30" s="114">
        <f>IF($AA30="","",IF(INDEX('_views'!$B:$ZZ,$AA30,9)="","",INDEX('_views'!$B:$ZZ,$AA30,9)))</f>
        <v/>
      </c>
      <c r="Z30">
        <f>IFERROR(MATCH("G|"&amp;$B$13&amp;"|"&amp;$X$13&amp;"|band|3",'_views'!$A:$A,0),"")</f>
        <v/>
      </c>
      <c r="AA30">
        <f>IFERROR(MATCH("G|"&amp;$B$13&amp;"|loans|3",'_views'!$A:$A,0),"")</f>
        <v/>
      </c>
    </row>
    <row r="31" ht="16" customHeight="1">
      <c r="B31" s="113">
        <f>IF($X$16="","",IF(INDEX('_views'!$B:$ZZ,$X$16,4)="","",INDEX('_views'!$B:$ZZ,$X$16,4)))</f>
        <v/>
      </c>
      <c r="C31" s="116">
        <f>IF($Z31="","",IF(INDEX('_views'!$B:$ZZ,$Z31,1)="","",INDEX('_views'!$B:$ZZ,$Z31,1)))</f>
        <v/>
      </c>
      <c r="D31" s="116">
        <f>IF($Z31="","",IF(INDEX('_views'!$B:$ZZ,$Z31,2)="","",INDEX('_views'!$B:$ZZ,$Z31,2)))</f>
        <v/>
      </c>
      <c r="E31" s="116">
        <f>IF($Z31="","",IF(INDEX('_views'!$B:$ZZ,$Z31,3)="","",INDEX('_views'!$B:$ZZ,$Z31,3)))</f>
        <v/>
      </c>
      <c r="F31" s="116">
        <f>IF($Z31="","",IF(INDEX('_views'!$B:$ZZ,$Z31,4)="","",INDEX('_views'!$B:$ZZ,$Z31,4)))</f>
        <v/>
      </c>
      <c r="G31" s="116">
        <f>IF($Z31="","",IF(INDEX('_views'!$B:$ZZ,$Z31,5)="","",INDEX('_views'!$B:$ZZ,$Z31,5)))</f>
        <v/>
      </c>
      <c r="H31" s="116">
        <f>IF($Z31="","",IF(INDEX('_views'!$B:$ZZ,$Z31,6)="","",INDEX('_views'!$B:$ZZ,$Z31,6)))</f>
        <v/>
      </c>
      <c r="I31" s="116">
        <f>IF($Z31="","",IF(INDEX('_views'!$B:$ZZ,$Z31,7)="","",INDEX('_views'!$B:$ZZ,$Z31,7)))</f>
        <v/>
      </c>
      <c r="J31" s="116">
        <f>IF($Z31="","",IF(INDEX('_views'!$B:$ZZ,$Z31,8)="","",INDEX('_views'!$B:$ZZ,$Z31,8)))</f>
        <v/>
      </c>
      <c r="K31" s="116">
        <f>IF($Z31="","",IF(INDEX('_views'!$B:$ZZ,$Z31,9)="","",INDEX('_views'!$B:$ZZ,$Z31,9)))</f>
        <v/>
      </c>
      <c r="M31" s="113">
        <f>IF($X$16="","",IF(INDEX('_views'!$B:$ZZ,$X$16,4)="","",INDEX('_views'!$B:$ZZ,$X$16,4)))</f>
        <v/>
      </c>
      <c r="N31" s="114">
        <f>IF($AA31="","",IF(INDEX('_views'!$B:$ZZ,$AA31,1)="","",INDEX('_views'!$B:$ZZ,$AA31,1)))</f>
        <v/>
      </c>
      <c r="O31" s="114">
        <f>IF($AA31="","",IF(INDEX('_views'!$B:$ZZ,$AA31,2)="","",INDEX('_views'!$B:$ZZ,$AA31,2)))</f>
        <v/>
      </c>
      <c r="P31" s="114">
        <f>IF($AA31="","",IF(INDEX('_views'!$B:$ZZ,$AA31,3)="","",INDEX('_views'!$B:$ZZ,$AA31,3)))</f>
        <v/>
      </c>
      <c r="Q31" s="114">
        <f>IF($AA31="","",IF(INDEX('_views'!$B:$ZZ,$AA31,4)="","",INDEX('_views'!$B:$ZZ,$AA31,4)))</f>
        <v/>
      </c>
      <c r="R31" s="114">
        <f>IF($AA31="","",IF(INDEX('_views'!$B:$ZZ,$AA31,5)="","",INDEX('_views'!$B:$ZZ,$AA31,5)))</f>
        <v/>
      </c>
      <c r="S31" s="114">
        <f>IF($AA31="","",IF(INDEX('_views'!$B:$ZZ,$AA31,6)="","",INDEX('_views'!$B:$ZZ,$AA31,6)))</f>
        <v/>
      </c>
      <c r="T31" s="114">
        <f>IF($AA31="","",IF(INDEX('_views'!$B:$ZZ,$AA31,7)="","",INDEX('_views'!$B:$ZZ,$AA31,7)))</f>
        <v/>
      </c>
      <c r="U31" s="114">
        <f>IF($AA31="","",IF(INDEX('_views'!$B:$ZZ,$AA31,8)="","",INDEX('_views'!$B:$ZZ,$AA31,8)))</f>
        <v/>
      </c>
      <c r="V31" s="114">
        <f>IF($AA31="","",IF(INDEX('_views'!$B:$ZZ,$AA31,9)="","",INDEX('_views'!$B:$ZZ,$AA31,9)))</f>
        <v/>
      </c>
      <c r="Z31">
        <f>IFERROR(MATCH("G|"&amp;$B$13&amp;"|"&amp;$X$13&amp;"|band|4",'_views'!$A:$A,0),"")</f>
        <v/>
      </c>
      <c r="AA31">
        <f>IFERROR(MATCH("G|"&amp;$B$13&amp;"|loans|4",'_views'!$A:$A,0),"")</f>
        <v/>
      </c>
    </row>
    <row r="32" ht="16" customHeight="1">
      <c r="B32" s="113">
        <f>IF($X$16="","",IF(INDEX('_views'!$B:$ZZ,$X$16,5)="","",INDEX('_views'!$B:$ZZ,$X$16,5)))</f>
        <v/>
      </c>
      <c r="C32" s="116">
        <f>IF($Z32="","",IF(INDEX('_views'!$B:$ZZ,$Z32,1)="","",INDEX('_views'!$B:$ZZ,$Z32,1)))</f>
        <v/>
      </c>
      <c r="D32" s="116">
        <f>IF($Z32="","",IF(INDEX('_views'!$B:$ZZ,$Z32,2)="","",INDEX('_views'!$B:$ZZ,$Z32,2)))</f>
        <v/>
      </c>
      <c r="E32" s="116">
        <f>IF($Z32="","",IF(INDEX('_views'!$B:$ZZ,$Z32,3)="","",INDEX('_views'!$B:$ZZ,$Z32,3)))</f>
        <v/>
      </c>
      <c r="F32" s="116">
        <f>IF($Z32="","",IF(INDEX('_views'!$B:$ZZ,$Z32,4)="","",INDEX('_views'!$B:$ZZ,$Z32,4)))</f>
        <v/>
      </c>
      <c r="G32" s="116">
        <f>IF($Z32="","",IF(INDEX('_views'!$B:$ZZ,$Z32,5)="","",INDEX('_views'!$B:$ZZ,$Z32,5)))</f>
        <v/>
      </c>
      <c r="H32" s="116">
        <f>IF($Z32="","",IF(INDEX('_views'!$B:$ZZ,$Z32,6)="","",INDEX('_views'!$B:$ZZ,$Z32,6)))</f>
        <v/>
      </c>
      <c r="I32" s="116">
        <f>IF($Z32="","",IF(INDEX('_views'!$B:$ZZ,$Z32,7)="","",INDEX('_views'!$B:$ZZ,$Z32,7)))</f>
        <v/>
      </c>
      <c r="J32" s="116">
        <f>IF($Z32="","",IF(INDEX('_views'!$B:$ZZ,$Z32,8)="","",INDEX('_views'!$B:$ZZ,$Z32,8)))</f>
        <v/>
      </c>
      <c r="K32" s="116">
        <f>IF($Z32="","",IF(INDEX('_views'!$B:$ZZ,$Z32,9)="","",INDEX('_views'!$B:$ZZ,$Z32,9)))</f>
        <v/>
      </c>
      <c r="M32" s="113">
        <f>IF($X$16="","",IF(INDEX('_views'!$B:$ZZ,$X$16,5)="","",INDEX('_views'!$B:$ZZ,$X$16,5)))</f>
        <v/>
      </c>
      <c r="N32" s="114">
        <f>IF($AA32="","",IF(INDEX('_views'!$B:$ZZ,$AA32,1)="","",INDEX('_views'!$B:$ZZ,$AA32,1)))</f>
        <v/>
      </c>
      <c r="O32" s="114">
        <f>IF($AA32="","",IF(INDEX('_views'!$B:$ZZ,$AA32,2)="","",INDEX('_views'!$B:$ZZ,$AA32,2)))</f>
        <v/>
      </c>
      <c r="P32" s="114">
        <f>IF($AA32="","",IF(INDEX('_views'!$B:$ZZ,$AA32,3)="","",INDEX('_views'!$B:$ZZ,$AA32,3)))</f>
        <v/>
      </c>
      <c r="Q32" s="114">
        <f>IF($AA32="","",IF(INDEX('_views'!$B:$ZZ,$AA32,4)="","",INDEX('_views'!$B:$ZZ,$AA32,4)))</f>
        <v/>
      </c>
      <c r="R32" s="114">
        <f>IF($AA32="","",IF(INDEX('_views'!$B:$ZZ,$AA32,5)="","",INDEX('_views'!$B:$ZZ,$AA32,5)))</f>
        <v/>
      </c>
      <c r="S32" s="114">
        <f>IF($AA32="","",IF(INDEX('_views'!$B:$ZZ,$AA32,6)="","",INDEX('_views'!$B:$ZZ,$AA32,6)))</f>
        <v/>
      </c>
      <c r="T32" s="114">
        <f>IF($AA32="","",IF(INDEX('_views'!$B:$ZZ,$AA32,7)="","",INDEX('_views'!$B:$ZZ,$AA32,7)))</f>
        <v/>
      </c>
      <c r="U32" s="114">
        <f>IF($AA32="","",IF(INDEX('_views'!$B:$ZZ,$AA32,8)="","",INDEX('_views'!$B:$ZZ,$AA32,8)))</f>
        <v/>
      </c>
      <c r="V32" s="114">
        <f>IF($AA32="","",IF(INDEX('_views'!$B:$ZZ,$AA32,9)="","",INDEX('_views'!$B:$ZZ,$AA32,9)))</f>
        <v/>
      </c>
      <c r="Z32">
        <f>IFERROR(MATCH("G|"&amp;$B$13&amp;"|"&amp;$X$13&amp;"|band|5",'_views'!$A:$A,0),"")</f>
        <v/>
      </c>
      <c r="AA32">
        <f>IFERROR(MATCH("G|"&amp;$B$13&amp;"|loans|5",'_views'!$A:$A,0),"")</f>
        <v/>
      </c>
    </row>
    <row r="33" ht="16" customHeight="1">
      <c r="B33" s="113">
        <f>IF($X$16="","",IF(INDEX('_views'!$B:$ZZ,$X$16,6)="","",INDEX('_views'!$B:$ZZ,$X$16,6)))</f>
        <v/>
      </c>
      <c r="C33" s="116">
        <f>IF($Z33="","",IF(INDEX('_views'!$B:$ZZ,$Z33,1)="","",INDEX('_views'!$B:$ZZ,$Z33,1)))</f>
        <v/>
      </c>
      <c r="D33" s="116">
        <f>IF($Z33="","",IF(INDEX('_views'!$B:$ZZ,$Z33,2)="","",INDEX('_views'!$B:$ZZ,$Z33,2)))</f>
        <v/>
      </c>
      <c r="E33" s="116">
        <f>IF($Z33="","",IF(INDEX('_views'!$B:$ZZ,$Z33,3)="","",INDEX('_views'!$B:$ZZ,$Z33,3)))</f>
        <v/>
      </c>
      <c r="F33" s="116">
        <f>IF($Z33="","",IF(INDEX('_views'!$B:$ZZ,$Z33,4)="","",INDEX('_views'!$B:$ZZ,$Z33,4)))</f>
        <v/>
      </c>
      <c r="G33" s="116">
        <f>IF($Z33="","",IF(INDEX('_views'!$B:$ZZ,$Z33,5)="","",INDEX('_views'!$B:$ZZ,$Z33,5)))</f>
        <v/>
      </c>
      <c r="H33" s="116">
        <f>IF($Z33="","",IF(INDEX('_views'!$B:$ZZ,$Z33,6)="","",INDEX('_views'!$B:$ZZ,$Z33,6)))</f>
        <v/>
      </c>
      <c r="I33" s="116">
        <f>IF($Z33="","",IF(INDEX('_views'!$B:$ZZ,$Z33,7)="","",INDEX('_views'!$B:$ZZ,$Z33,7)))</f>
        <v/>
      </c>
      <c r="J33" s="116">
        <f>IF($Z33="","",IF(INDEX('_views'!$B:$ZZ,$Z33,8)="","",INDEX('_views'!$B:$ZZ,$Z33,8)))</f>
        <v/>
      </c>
      <c r="K33" s="116">
        <f>IF($Z33="","",IF(INDEX('_views'!$B:$ZZ,$Z33,9)="","",INDEX('_views'!$B:$ZZ,$Z33,9)))</f>
        <v/>
      </c>
      <c r="M33" s="113">
        <f>IF($X$16="","",IF(INDEX('_views'!$B:$ZZ,$X$16,6)="","",INDEX('_views'!$B:$ZZ,$X$16,6)))</f>
        <v/>
      </c>
      <c r="N33" s="114">
        <f>IF($AA33="","",IF(INDEX('_views'!$B:$ZZ,$AA33,1)="","",INDEX('_views'!$B:$ZZ,$AA33,1)))</f>
        <v/>
      </c>
      <c r="O33" s="114">
        <f>IF($AA33="","",IF(INDEX('_views'!$B:$ZZ,$AA33,2)="","",INDEX('_views'!$B:$ZZ,$AA33,2)))</f>
        <v/>
      </c>
      <c r="P33" s="114">
        <f>IF($AA33="","",IF(INDEX('_views'!$B:$ZZ,$AA33,3)="","",INDEX('_views'!$B:$ZZ,$AA33,3)))</f>
        <v/>
      </c>
      <c r="Q33" s="114">
        <f>IF($AA33="","",IF(INDEX('_views'!$B:$ZZ,$AA33,4)="","",INDEX('_views'!$B:$ZZ,$AA33,4)))</f>
        <v/>
      </c>
      <c r="R33" s="114">
        <f>IF($AA33="","",IF(INDEX('_views'!$B:$ZZ,$AA33,5)="","",INDEX('_views'!$B:$ZZ,$AA33,5)))</f>
        <v/>
      </c>
      <c r="S33" s="114">
        <f>IF($AA33="","",IF(INDEX('_views'!$B:$ZZ,$AA33,6)="","",INDEX('_views'!$B:$ZZ,$AA33,6)))</f>
        <v/>
      </c>
      <c r="T33" s="114">
        <f>IF($AA33="","",IF(INDEX('_views'!$B:$ZZ,$AA33,7)="","",INDEX('_views'!$B:$ZZ,$AA33,7)))</f>
        <v/>
      </c>
      <c r="U33" s="114">
        <f>IF($AA33="","",IF(INDEX('_views'!$B:$ZZ,$AA33,8)="","",INDEX('_views'!$B:$ZZ,$AA33,8)))</f>
        <v/>
      </c>
      <c r="V33" s="114">
        <f>IF($AA33="","",IF(INDEX('_views'!$B:$ZZ,$AA33,9)="","",INDEX('_views'!$B:$ZZ,$AA33,9)))</f>
        <v/>
      </c>
      <c r="Z33">
        <f>IFERROR(MATCH("G|"&amp;$B$13&amp;"|"&amp;$X$13&amp;"|band|6",'_views'!$A:$A,0),"")</f>
        <v/>
      </c>
      <c r="AA33">
        <f>IFERROR(MATCH("G|"&amp;$B$13&amp;"|loans|6",'_views'!$A:$A,0),"")</f>
        <v/>
      </c>
    </row>
    <row r="34" ht="16" customHeight="1">
      <c r="B34" s="113">
        <f>IF($X$16="","",IF(INDEX('_views'!$B:$ZZ,$X$16,7)="","",INDEX('_views'!$B:$ZZ,$X$16,7)))</f>
        <v/>
      </c>
      <c r="C34" s="116">
        <f>IF($Z34="","",IF(INDEX('_views'!$B:$ZZ,$Z34,1)="","",INDEX('_views'!$B:$ZZ,$Z34,1)))</f>
        <v/>
      </c>
      <c r="D34" s="116">
        <f>IF($Z34="","",IF(INDEX('_views'!$B:$ZZ,$Z34,2)="","",INDEX('_views'!$B:$ZZ,$Z34,2)))</f>
        <v/>
      </c>
      <c r="E34" s="116">
        <f>IF($Z34="","",IF(INDEX('_views'!$B:$ZZ,$Z34,3)="","",INDEX('_views'!$B:$ZZ,$Z34,3)))</f>
        <v/>
      </c>
      <c r="F34" s="116">
        <f>IF($Z34="","",IF(INDEX('_views'!$B:$ZZ,$Z34,4)="","",INDEX('_views'!$B:$ZZ,$Z34,4)))</f>
        <v/>
      </c>
      <c r="G34" s="116">
        <f>IF($Z34="","",IF(INDEX('_views'!$B:$ZZ,$Z34,5)="","",INDEX('_views'!$B:$ZZ,$Z34,5)))</f>
        <v/>
      </c>
      <c r="H34" s="116">
        <f>IF($Z34="","",IF(INDEX('_views'!$B:$ZZ,$Z34,6)="","",INDEX('_views'!$B:$ZZ,$Z34,6)))</f>
        <v/>
      </c>
      <c r="I34" s="116">
        <f>IF($Z34="","",IF(INDEX('_views'!$B:$ZZ,$Z34,7)="","",INDEX('_views'!$B:$ZZ,$Z34,7)))</f>
        <v/>
      </c>
      <c r="J34" s="116">
        <f>IF($Z34="","",IF(INDEX('_views'!$B:$ZZ,$Z34,8)="","",INDEX('_views'!$B:$ZZ,$Z34,8)))</f>
        <v/>
      </c>
      <c r="K34" s="116">
        <f>IF($Z34="","",IF(INDEX('_views'!$B:$ZZ,$Z34,9)="","",INDEX('_views'!$B:$ZZ,$Z34,9)))</f>
        <v/>
      </c>
      <c r="M34" s="113">
        <f>IF($X$16="","",IF(INDEX('_views'!$B:$ZZ,$X$16,7)="","",INDEX('_views'!$B:$ZZ,$X$16,7)))</f>
        <v/>
      </c>
      <c r="N34" s="114">
        <f>IF($AA34="","",IF(INDEX('_views'!$B:$ZZ,$AA34,1)="","",INDEX('_views'!$B:$ZZ,$AA34,1)))</f>
        <v/>
      </c>
      <c r="O34" s="114">
        <f>IF($AA34="","",IF(INDEX('_views'!$B:$ZZ,$AA34,2)="","",INDEX('_views'!$B:$ZZ,$AA34,2)))</f>
        <v/>
      </c>
      <c r="P34" s="114">
        <f>IF($AA34="","",IF(INDEX('_views'!$B:$ZZ,$AA34,3)="","",INDEX('_views'!$B:$ZZ,$AA34,3)))</f>
        <v/>
      </c>
      <c r="Q34" s="114">
        <f>IF($AA34="","",IF(INDEX('_views'!$B:$ZZ,$AA34,4)="","",INDEX('_views'!$B:$ZZ,$AA34,4)))</f>
        <v/>
      </c>
      <c r="R34" s="114">
        <f>IF($AA34="","",IF(INDEX('_views'!$B:$ZZ,$AA34,5)="","",INDEX('_views'!$B:$ZZ,$AA34,5)))</f>
        <v/>
      </c>
      <c r="S34" s="114">
        <f>IF($AA34="","",IF(INDEX('_views'!$B:$ZZ,$AA34,6)="","",INDEX('_views'!$B:$ZZ,$AA34,6)))</f>
        <v/>
      </c>
      <c r="T34" s="114">
        <f>IF($AA34="","",IF(INDEX('_views'!$B:$ZZ,$AA34,7)="","",INDEX('_views'!$B:$ZZ,$AA34,7)))</f>
        <v/>
      </c>
      <c r="U34" s="114">
        <f>IF($AA34="","",IF(INDEX('_views'!$B:$ZZ,$AA34,8)="","",INDEX('_views'!$B:$ZZ,$AA34,8)))</f>
        <v/>
      </c>
      <c r="V34" s="114">
        <f>IF($AA34="","",IF(INDEX('_views'!$B:$ZZ,$AA34,9)="","",INDEX('_views'!$B:$ZZ,$AA34,9)))</f>
        <v/>
      </c>
      <c r="Z34">
        <f>IFERROR(MATCH("G|"&amp;$B$13&amp;"|"&amp;$X$13&amp;"|band|7",'_views'!$A:$A,0),"")</f>
        <v/>
      </c>
      <c r="AA34">
        <f>IFERROR(MATCH("G|"&amp;$B$13&amp;"|loans|7",'_views'!$A:$A,0),"")</f>
        <v/>
      </c>
    </row>
    <row r="35" ht="16" customHeight="1">
      <c r="B35" s="113">
        <f>IF($X$16="","",IF(INDEX('_views'!$B:$ZZ,$X$16,8)="","",INDEX('_views'!$B:$ZZ,$X$16,8)))</f>
        <v/>
      </c>
      <c r="C35" s="116">
        <f>IF($Z35="","",IF(INDEX('_views'!$B:$ZZ,$Z35,1)="","",INDEX('_views'!$B:$ZZ,$Z35,1)))</f>
        <v/>
      </c>
      <c r="D35" s="116">
        <f>IF($Z35="","",IF(INDEX('_views'!$B:$ZZ,$Z35,2)="","",INDEX('_views'!$B:$ZZ,$Z35,2)))</f>
        <v/>
      </c>
      <c r="E35" s="116">
        <f>IF($Z35="","",IF(INDEX('_views'!$B:$ZZ,$Z35,3)="","",INDEX('_views'!$B:$ZZ,$Z35,3)))</f>
        <v/>
      </c>
      <c r="F35" s="116">
        <f>IF($Z35="","",IF(INDEX('_views'!$B:$ZZ,$Z35,4)="","",INDEX('_views'!$B:$ZZ,$Z35,4)))</f>
        <v/>
      </c>
      <c r="G35" s="116">
        <f>IF($Z35="","",IF(INDEX('_views'!$B:$ZZ,$Z35,5)="","",INDEX('_views'!$B:$ZZ,$Z35,5)))</f>
        <v/>
      </c>
      <c r="H35" s="116">
        <f>IF($Z35="","",IF(INDEX('_views'!$B:$ZZ,$Z35,6)="","",INDEX('_views'!$B:$ZZ,$Z35,6)))</f>
        <v/>
      </c>
      <c r="I35" s="116">
        <f>IF($Z35="","",IF(INDEX('_views'!$B:$ZZ,$Z35,7)="","",INDEX('_views'!$B:$ZZ,$Z35,7)))</f>
        <v/>
      </c>
      <c r="J35" s="116">
        <f>IF($Z35="","",IF(INDEX('_views'!$B:$ZZ,$Z35,8)="","",INDEX('_views'!$B:$ZZ,$Z35,8)))</f>
        <v/>
      </c>
      <c r="K35" s="116">
        <f>IF($Z35="","",IF(INDEX('_views'!$B:$ZZ,$Z35,9)="","",INDEX('_views'!$B:$ZZ,$Z35,9)))</f>
        <v/>
      </c>
      <c r="M35" s="113">
        <f>IF($X$16="","",IF(INDEX('_views'!$B:$ZZ,$X$16,8)="","",INDEX('_views'!$B:$ZZ,$X$16,8)))</f>
        <v/>
      </c>
      <c r="N35" s="114">
        <f>IF($AA35="","",IF(INDEX('_views'!$B:$ZZ,$AA35,1)="","",INDEX('_views'!$B:$ZZ,$AA35,1)))</f>
        <v/>
      </c>
      <c r="O35" s="114">
        <f>IF($AA35="","",IF(INDEX('_views'!$B:$ZZ,$AA35,2)="","",INDEX('_views'!$B:$ZZ,$AA35,2)))</f>
        <v/>
      </c>
      <c r="P35" s="114">
        <f>IF($AA35="","",IF(INDEX('_views'!$B:$ZZ,$AA35,3)="","",INDEX('_views'!$B:$ZZ,$AA35,3)))</f>
        <v/>
      </c>
      <c r="Q35" s="114">
        <f>IF($AA35="","",IF(INDEX('_views'!$B:$ZZ,$AA35,4)="","",INDEX('_views'!$B:$ZZ,$AA35,4)))</f>
        <v/>
      </c>
      <c r="R35" s="114">
        <f>IF($AA35="","",IF(INDEX('_views'!$B:$ZZ,$AA35,5)="","",INDEX('_views'!$B:$ZZ,$AA35,5)))</f>
        <v/>
      </c>
      <c r="S35" s="114">
        <f>IF($AA35="","",IF(INDEX('_views'!$B:$ZZ,$AA35,6)="","",INDEX('_views'!$B:$ZZ,$AA35,6)))</f>
        <v/>
      </c>
      <c r="T35" s="114">
        <f>IF($AA35="","",IF(INDEX('_views'!$B:$ZZ,$AA35,7)="","",INDEX('_views'!$B:$ZZ,$AA35,7)))</f>
        <v/>
      </c>
      <c r="U35" s="114">
        <f>IF($AA35="","",IF(INDEX('_views'!$B:$ZZ,$AA35,8)="","",INDEX('_views'!$B:$ZZ,$AA35,8)))</f>
        <v/>
      </c>
      <c r="V35" s="114">
        <f>IF($AA35="","",IF(INDEX('_views'!$B:$ZZ,$AA35,9)="","",INDEX('_views'!$B:$ZZ,$AA35,9)))</f>
        <v/>
      </c>
      <c r="Z35">
        <f>IFERROR(MATCH("G|"&amp;$B$13&amp;"|"&amp;$X$13&amp;"|band|8",'_views'!$A:$A,0),"")</f>
        <v/>
      </c>
      <c r="AA35">
        <f>IFERROR(MATCH("G|"&amp;$B$13&amp;"|loans|8",'_views'!$A:$A,0),"")</f>
        <v/>
      </c>
    </row>
    <row r="37">
      <c r="B37" s="129" t="inlineStr">
        <is>
          <t>A blank: alone in its band, or fewer losses than the minimum, so not compared.</t>
        </is>
      </c>
    </row>
    <row r="39" ht="20" customHeight="1">
      <c r="B39" s="127" t="inlineStr">
        <is>
          <t>What one cell says</t>
        </is>
      </c>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row>
    <row r="40" ht="18" customHeight="1">
      <c r="B40" s="130">
        <f>IF(OR($AH$13="",$AH$14=""),"Pick a Row and a Column above: their lists follow the Grid.",$J$13&amp;" · "&amp;$N$13&amp;", "&amp;$F$13)</f>
        <v/>
      </c>
    </row>
    <row r="41" ht="18" customHeight="1">
      <c r="B41" s="131" t="inlineStr">
        <is>
          <t>Rate</t>
        </is>
      </c>
      <c r="C41" s="113">
        <f>IF(OR($AH$13="",$AH$14=""),"",IF(NOT(ISNUMBER($AH$18)),"No loans in this pocket.",IF($AH$15="","No rate: these loans have nothing to divide by for this measure.",SUBSTITUTE(SUBSTITUTE(SUBSTITUTE(SUBSTITUTE($AH$22,"{these}",IF($AH$18=1,"This one loan","These "&amp;TEXT($AH$18,"#,##0")&amp;" loans")),"{their}",IF($AH$18=1,"its","their")),"{r}",IF($Y$13="amt",TEXT($AH$15,"#,##0.00"),TEXT($AH$15,"0.00%"))),"{measure}",$F$13))))</f>
        <v/>
      </c>
    </row>
    <row r="42" ht="18" customHeight="1">
      <c r="B42" s="131" t="inlineStr">
        <is>
          <t>vs the book</t>
        </is>
      </c>
      <c r="C42" s="113">
        <f>IF(OR(OR($AH$13="",$AH$14=""),NOT(ISNUMBER($AH$18))),"",IF(ISNUMBER($AH$16),SUBSTITUTE(SUBSTITUTE(SUBSTITUTE(SUBSTITUTE($AH$23,"{x}",TEXT($AH$16,"0.00")),"{pts}",TEXT(ABS($AH$16),"0.00")),"{more}",IF($AH$16&lt;0,"less","more")),"{against}","the whole book"),IF($Y$13="amt",$AH$23,IF($Y$13="pts","Blank: not compared.","Blank: fewer losses than the minimum ("&amp;($AH$24)&amp;" losses), so not compared."))))</f>
        <v/>
      </c>
    </row>
    <row r="43" ht="18" customHeight="1">
      <c r="B43" s="131" t="inlineStr">
        <is>
          <t>vs rest of band</t>
        </is>
      </c>
      <c r="C43" s="113">
        <f>IF(OR(OR($AH$13="",$AH$14=""),NOT(ISNUMBER($AH$18))),"",IF(ISNUMBER($AH$17),SUBSTITUTE(SUBSTITUTE(SUBSTITUTE(SUBSTITUTE($AH$23,"{x}",TEXT($AH$17,"0.00")),"{pts}",TEXT(ABS($AH$17),"0.00")),"{more}",IF($AH$17&lt;0,"less","more")),"{against}","the other loans in "&amp;($J$13)&amp;IF(AND($AH$20&gt;=1,$AH$20&lt;=3)," (the "&amp;$AH$21&amp;" loans)","")),IF($Y$13="amt",$AH$23,IF($AH$20&lt;1,"Blank: alone in its band. Nothing else in "&amp;($J$13)&amp;" to compare with.",IF($Y$13="pts","Blank: not compared.","Blank: fewer losses than the minimum ("&amp;($AH$24)&amp;" losses), so not compared.")))))</f>
        <v/>
      </c>
    </row>
    <row r="44" ht="18" customHeight="1">
      <c r="B44" s="131" t="inlineStr">
        <is>
          <t>Loans</t>
        </is>
      </c>
      <c r="C44" s="113">
        <f>IF(OR(OR($AH$13="",$AH$14=""),NOT(ISNUMBER($AH$18))),"",(TEXT($AH$18,"#,##0")&amp;IF($AH$18=1," loan"," loans"))&amp;"; "&amp;($J$13)&amp;" has "&amp;(TEXT($AH$19,"#,##0"))&amp;" in all.")</f>
        <v/>
      </c>
    </row>
    <row r="45" ht="18" customHeight="1">
      <c r="B45" s="131" t="inlineStr">
        <is>
          <t>The colour</t>
        </is>
      </c>
      <c r="C45" s="113">
        <f>IF(OR(OR($AH$13="",$AH$14=""),NOT(ISNUMBER($AH$18))),"",IF($Y$13="amt","No colour: this figure is not compared.","vs the book is "&amp;(IF(ISNUMBER($AH$16),IF(IFERROR(IF($Y$13="pts",-$AH$16/$Y$14,IF($Y$13="x",LOG($AH$16,2),IF($Y$13="xr",-LOG($AH$16,2),0))),0)&gt;=1.0,"deep red",IF(IFERROR(IF($Y$13="pts",-$AH$16/$Y$14,IF($Y$13="x",LOG($AH$16,2),IF($Y$13="xr",-LOG($AH$16,2),0))),0)&gt;=0.585,"red",IF(IFERROR(IF($Y$13="pts",-$AH$16/$Y$14,IF($Y$13="x",LOG($AH$16,2),IF($Y$13="xr",-LOG($AH$16,2),0))),0)&gt;=0.263,"light red",IF(IFERROR(IF($Y$13="pts",-$AH$16/$Y$14,IF($Y$13="x",LOG($AH$16,2),IF($Y$13="xr",-LOG($AH$16,2),0))),0)&lt;=-0.585,"green",IF(IFERROR(IF($Y$13="pts",-$AH$16/$Y$14,IF($Y$13="x",LOG($AH$16,2),IF($Y$13="xr",-LOG($AH$16,2),0))),0)&lt;=-0.263,"light green","pale"))))),"blank"))&amp;", vs rest of band "&amp;(IF(ISNUMBER($AH$17),IF(IFERROR(IF($Y$13="pts",-$AH$17/$Y$14,IF($Y$13="x",LOG($AH$17,2),IF($Y$13="xr",-LOG($AH$17,2),0))),0)&gt;=1.0,"deep red",IF(IFERROR(IF($Y$13="pts",-$AH$17/$Y$14,IF($Y$13="x",LOG($AH$17,2),IF($Y$13="xr",-LOG($AH$17,2),0))),0)&gt;=0.585,"red",IF(IFERROR(IF($Y$13="pts",-$AH$17/$Y$14,IF($Y$13="x",LOG($AH$17,2),IF($Y$13="xr",-LOG($AH$17,2),0))),0)&gt;=0.263,"light red",IF(IFERROR(IF($Y$13="pts",-$AH$17/$Y$14,IF($Y$13="x",LOG($AH$17,2),IF($Y$13="xr",-LOG($AH$17,2),0))),0)&lt;=-0.585,"green",IF(IFERROR(IF($Y$13="pts",-$AH$17/$Y$14,IF($Y$13="x",LOG($AH$17,2),IF($Y$13="xr",-LOG($AH$17,2),0))),0)&lt;=-0.263,"light green","pale"))))),"blank"))&amp;". Red is worse, green better, deeper a bigger gap. It is the size of the gap, not a test."))</f>
        <v/>
      </c>
    </row>
    <row r="47" ht="20" customHeight="1">
      <c r="B47" s="127" t="inlineStr">
        <is>
          <t>How common each group is: a count, not a test</t>
        </is>
      </c>
      <c r="C47" s="26" t="n"/>
      <c r="D47" s="26" t="n"/>
      <c r="E47" s="26" t="n"/>
      <c r="F47" s="26" t="n"/>
      <c r="G47" s="26" t="n"/>
      <c r="H47" s="26" t="n"/>
      <c r="I47" s="26" t="n"/>
    </row>
    <row r="48">
      <c r="B48" s="132" t="inlineStr">
        <is>
          <t>REV_DEBT, each pocket cut at its own median</t>
        </is>
      </c>
    </row>
    <row r="49">
      <c r="B49" s="129">
        <f>IF($AB$49="","",IF(INDEX('_views'!$B:$ZZ,$AB$49,1)="","",INDEX('_views'!$B:$ZZ,$AB$49,1)))</f>
        <v/>
      </c>
      <c r="AB49">
        <f>IFERROR(MATCH("P|0|"&amp;$B$13&amp;"|say",'_views'!$A:$A,0),"")</f>
        <v/>
      </c>
    </row>
    <row r="50">
      <c r="B50" s="55">
        <f>IF($AB$50="","",IF(INDEX('_views'!$B:$ZZ,$AB$50,1)="","",INDEX('_views'!$B:$ZZ,$AB$50,1)))</f>
        <v/>
      </c>
      <c r="C50" s="55">
        <f>IF($AB$50="","",IF(INDEX('_views'!$B:$ZZ,$AB$50,2)="","",INDEX('_views'!$B:$ZZ,$AB$50,2)))</f>
        <v/>
      </c>
      <c r="D50" s="56">
        <f>IF($AB$50="","",IF(INDEX('_views'!$B:$ZZ,$AB$50,3)="","",INDEX('_views'!$B:$ZZ,$AB$50,3)))</f>
        <v/>
      </c>
      <c r="E50" s="56">
        <f>IF($AB$50="","",IF(INDEX('_views'!$B:$ZZ,$AB$50,4)="","",INDEX('_views'!$B:$ZZ,$AB$50,4)))</f>
        <v/>
      </c>
      <c r="F50" s="56">
        <f>IF($AB$50="","",IF(INDEX('_views'!$B:$ZZ,$AB$50,5)="","",INDEX('_views'!$B:$ZZ,$AB$50,5)))</f>
        <v/>
      </c>
      <c r="G50" s="56">
        <f>IF($AB$50="","",IF(INDEX('_views'!$B:$ZZ,$AB$50,6)="","",INDEX('_views'!$B:$ZZ,$AB$50,6)))</f>
        <v/>
      </c>
      <c r="H50" s="56">
        <f>IF($AB$50="","",IF(INDEX('_views'!$B:$ZZ,$AB$50,7)="","",INDEX('_views'!$B:$ZZ,$AB$50,7)))</f>
        <v/>
      </c>
      <c r="I50" s="56">
        <f>IF($AB$50="","",IF(INDEX('_views'!$B:$ZZ,$AB$50,8)="","",INDEX('_views'!$B:$ZZ,$AB$50,8)))</f>
        <v/>
      </c>
      <c r="AB50">
        <f>IFERROR(MATCH("P|0|"&amp;$B$13&amp;"|head",'_views'!$A:$A,0),"")</f>
        <v/>
      </c>
    </row>
    <row r="51">
      <c r="B51" s="5" t="n"/>
      <c r="C51" s="5" t="n"/>
      <c r="D51" s="5" t="n"/>
      <c r="E51" s="5" t="n"/>
      <c r="F51" s="30">
        <f>IF(IF($AB$50="","",IF(INDEX('_views'!$B:$ZZ,$AB$50,5)="","",INDEX('_views'!$B:$ZZ,$AB$50,5)))="","","Loans")</f>
        <v/>
      </c>
      <c r="G51" s="30">
        <f>IF(IF($AB$50="","",IF(INDEX('_views'!$B:$ZZ,$AB$50,5)="","",INDEX('_views'!$B:$ZZ,$AB$50,5)))="","","Booked dollars")</f>
        <v/>
      </c>
      <c r="H51" s="30">
        <f>IF(IF($AB$50="","",IF(INDEX('_views'!$B:$ZZ,$AB$50,7)="","",INDEX('_views'!$B:$ZZ,$AB$50,7)))="","","Loans")</f>
        <v/>
      </c>
      <c r="I51" s="30">
        <f>IF(IF($AB$50="","",IF(INDEX('_views'!$B:$ZZ,$AB$50,7)="","",INDEX('_views'!$B:$ZZ,$AB$50,7)))="","","Booked dollars")</f>
        <v/>
      </c>
    </row>
    <row r="52" ht="16" customHeight="1">
      <c r="B52" s="113">
        <f>IF($AB52="","",IF(INDEX('_views'!$B:$ZZ,$AB52,1)="","",INDEX('_views'!$B:$ZZ,$AB52,1)))</f>
        <v/>
      </c>
      <c r="C52" s="113">
        <f>IF($AB52="","",IF(INDEX('_views'!$B:$ZZ,$AB52,2)="","",INDEX('_views'!$B:$ZZ,$AB52,2)))</f>
        <v/>
      </c>
      <c r="D52" s="114">
        <f>IF($AB52="","",IF(INDEX('_views'!$B:$ZZ,$AB52,3)="","",INDEX('_views'!$B:$ZZ,$AB52,3)))</f>
        <v/>
      </c>
      <c r="E52" s="114">
        <f>IF($AB52="","",IF(INDEX('_views'!$B:$ZZ,$AB52,4)="","",INDEX('_views'!$B:$ZZ,$AB52,4)))</f>
        <v/>
      </c>
      <c r="F52" s="114">
        <f>IF($AB52="","",IF(INDEX('_views'!$B:$ZZ,$AB52,5)="","",INDEX('_views'!$B:$ZZ,$AB52,5)))</f>
        <v/>
      </c>
      <c r="G52" s="114">
        <f>IF($AB52="","",IF(INDEX('_views'!$B:$ZZ,$AB52,6)="","",INDEX('_views'!$B:$ZZ,$AB52,6)))</f>
        <v/>
      </c>
      <c r="H52" s="114">
        <f>IF($AB52="","",IF(INDEX('_views'!$B:$ZZ,$AB52,7)="","",INDEX('_views'!$B:$ZZ,$AB52,7)))</f>
        <v/>
      </c>
      <c r="I52" s="114">
        <f>IF($AB52="","",IF(INDEX('_views'!$B:$ZZ,$AB52,8)="","",INDEX('_views'!$B:$ZZ,$AB52,8)))</f>
        <v/>
      </c>
      <c r="AB52">
        <f>IFERROR(MATCH("P|0|"&amp;$B$13&amp;"|1",'_views'!$A:$A,0),"")</f>
        <v/>
      </c>
    </row>
    <row r="53" ht="16" customHeight="1">
      <c r="B53" s="113">
        <f>IF($AB53="","",IF(INDEX('_views'!$B:$ZZ,$AB53,1)="","",INDEX('_views'!$B:$ZZ,$AB53,1)))</f>
        <v/>
      </c>
      <c r="C53" s="113">
        <f>IF($AB53="","",IF(INDEX('_views'!$B:$ZZ,$AB53,2)="","",INDEX('_views'!$B:$ZZ,$AB53,2)))</f>
        <v/>
      </c>
      <c r="D53" s="114">
        <f>IF($AB53="","",IF(INDEX('_views'!$B:$ZZ,$AB53,3)="","",INDEX('_views'!$B:$ZZ,$AB53,3)))</f>
        <v/>
      </c>
      <c r="E53" s="114">
        <f>IF($AB53="","",IF(INDEX('_views'!$B:$ZZ,$AB53,4)="","",INDEX('_views'!$B:$ZZ,$AB53,4)))</f>
        <v/>
      </c>
      <c r="F53" s="114">
        <f>IF($AB53="","",IF(INDEX('_views'!$B:$ZZ,$AB53,5)="","",INDEX('_views'!$B:$ZZ,$AB53,5)))</f>
        <v/>
      </c>
      <c r="G53" s="114">
        <f>IF($AB53="","",IF(INDEX('_views'!$B:$ZZ,$AB53,6)="","",INDEX('_views'!$B:$ZZ,$AB53,6)))</f>
        <v/>
      </c>
      <c r="H53" s="114">
        <f>IF($AB53="","",IF(INDEX('_views'!$B:$ZZ,$AB53,7)="","",INDEX('_views'!$B:$ZZ,$AB53,7)))</f>
        <v/>
      </c>
      <c r="I53" s="114">
        <f>IF($AB53="","",IF(INDEX('_views'!$B:$ZZ,$AB53,8)="","",INDEX('_views'!$B:$ZZ,$AB53,8)))</f>
        <v/>
      </c>
      <c r="AB53">
        <f>IFERROR(MATCH("P|0|"&amp;$B$13&amp;"|2",'_views'!$A:$A,0),"")</f>
        <v/>
      </c>
    </row>
    <row r="54" ht="16" customHeight="1">
      <c r="B54" s="113">
        <f>IF($AB54="","",IF(INDEX('_views'!$B:$ZZ,$AB54,1)="","",INDEX('_views'!$B:$ZZ,$AB54,1)))</f>
        <v/>
      </c>
      <c r="C54" s="113">
        <f>IF($AB54="","",IF(INDEX('_views'!$B:$ZZ,$AB54,2)="","",INDEX('_views'!$B:$ZZ,$AB54,2)))</f>
        <v/>
      </c>
      <c r="D54" s="114">
        <f>IF($AB54="","",IF(INDEX('_views'!$B:$ZZ,$AB54,3)="","",INDEX('_views'!$B:$ZZ,$AB54,3)))</f>
        <v/>
      </c>
      <c r="E54" s="114">
        <f>IF($AB54="","",IF(INDEX('_views'!$B:$ZZ,$AB54,4)="","",INDEX('_views'!$B:$ZZ,$AB54,4)))</f>
        <v/>
      </c>
      <c r="F54" s="114">
        <f>IF($AB54="","",IF(INDEX('_views'!$B:$ZZ,$AB54,5)="","",INDEX('_views'!$B:$ZZ,$AB54,5)))</f>
        <v/>
      </c>
      <c r="G54" s="114">
        <f>IF($AB54="","",IF(INDEX('_views'!$B:$ZZ,$AB54,6)="","",INDEX('_views'!$B:$ZZ,$AB54,6)))</f>
        <v/>
      </c>
      <c r="H54" s="114">
        <f>IF($AB54="","",IF(INDEX('_views'!$B:$ZZ,$AB54,7)="","",INDEX('_views'!$B:$ZZ,$AB54,7)))</f>
        <v/>
      </c>
      <c r="I54" s="114">
        <f>IF($AB54="","",IF(INDEX('_views'!$B:$ZZ,$AB54,8)="","",INDEX('_views'!$B:$ZZ,$AB54,8)))</f>
        <v/>
      </c>
      <c r="AB54">
        <f>IFERROR(MATCH("P|0|"&amp;$B$13&amp;"|3",'_views'!$A:$A,0),"")</f>
        <v/>
      </c>
    </row>
    <row r="55" ht="16" customHeight="1">
      <c r="B55" s="113">
        <f>IF($AB55="","",IF(INDEX('_views'!$B:$ZZ,$AB55,1)="","",INDEX('_views'!$B:$ZZ,$AB55,1)))</f>
        <v/>
      </c>
      <c r="C55" s="113">
        <f>IF($AB55="","",IF(INDEX('_views'!$B:$ZZ,$AB55,2)="","",INDEX('_views'!$B:$ZZ,$AB55,2)))</f>
        <v/>
      </c>
      <c r="D55" s="114">
        <f>IF($AB55="","",IF(INDEX('_views'!$B:$ZZ,$AB55,3)="","",INDEX('_views'!$B:$ZZ,$AB55,3)))</f>
        <v/>
      </c>
      <c r="E55" s="114">
        <f>IF($AB55="","",IF(INDEX('_views'!$B:$ZZ,$AB55,4)="","",INDEX('_views'!$B:$ZZ,$AB55,4)))</f>
        <v/>
      </c>
      <c r="F55" s="114">
        <f>IF($AB55="","",IF(INDEX('_views'!$B:$ZZ,$AB55,5)="","",INDEX('_views'!$B:$ZZ,$AB55,5)))</f>
        <v/>
      </c>
      <c r="G55" s="114">
        <f>IF($AB55="","",IF(INDEX('_views'!$B:$ZZ,$AB55,6)="","",INDEX('_views'!$B:$ZZ,$AB55,6)))</f>
        <v/>
      </c>
      <c r="H55" s="114">
        <f>IF($AB55="","",IF(INDEX('_views'!$B:$ZZ,$AB55,7)="","",INDEX('_views'!$B:$ZZ,$AB55,7)))</f>
        <v/>
      </c>
      <c r="I55" s="114">
        <f>IF($AB55="","",IF(INDEX('_views'!$B:$ZZ,$AB55,8)="","",INDEX('_views'!$B:$ZZ,$AB55,8)))</f>
        <v/>
      </c>
      <c r="AB55">
        <f>IFERROR(MATCH("P|0|"&amp;$B$13&amp;"|4",'_views'!$A:$A,0),"")</f>
        <v/>
      </c>
    </row>
    <row r="56" ht="16" customHeight="1">
      <c r="B56" s="113">
        <f>IF($AB56="","",IF(INDEX('_views'!$B:$ZZ,$AB56,1)="","",INDEX('_views'!$B:$ZZ,$AB56,1)))</f>
        <v/>
      </c>
      <c r="C56" s="113">
        <f>IF($AB56="","",IF(INDEX('_views'!$B:$ZZ,$AB56,2)="","",INDEX('_views'!$B:$ZZ,$AB56,2)))</f>
        <v/>
      </c>
      <c r="D56" s="114">
        <f>IF($AB56="","",IF(INDEX('_views'!$B:$ZZ,$AB56,3)="","",INDEX('_views'!$B:$ZZ,$AB56,3)))</f>
        <v/>
      </c>
      <c r="E56" s="114">
        <f>IF($AB56="","",IF(INDEX('_views'!$B:$ZZ,$AB56,4)="","",INDEX('_views'!$B:$ZZ,$AB56,4)))</f>
        <v/>
      </c>
      <c r="F56" s="114">
        <f>IF($AB56="","",IF(INDEX('_views'!$B:$ZZ,$AB56,5)="","",INDEX('_views'!$B:$ZZ,$AB56,5)))</f>
        <v/>
      </c>
      <c r="G56" s="114">
        <f>IF($AB56="","",IF(INDEX('_views'!$B:$ZZ,$AB56,6)="","",INDEX('_views'!$B:$ZZ,$AB56,6)))</f>
        <v/>
      </c>
      <c r="H56" s="114">
        <f>IF($AB56="","",IF(INDEX('_views'!$B:$ZZ,$AB56,7)="","",INDEX('_views'!$B:$ZZ,$AB56,7)))</f>
        <v/>
      </c>
      <c r="I56" s="114">
        <f>IF($AB56="","",IF(INDEX('_views'!$B:$ZZ,$AB56,8)="","",INDEX('_views'!$B:$ZZ,$AB56,8)))</f>
        <v/>
      </c>
      <c r="AB56">
        <f>IFERROR(MATCH("P|0|"&amp;$B$13&amp;"|5",'_views'!$A:$A,0),"")</f>
        <v/>
      </c>
    </row>
    <row r="57" ht="16" customHeight="1">
      <c r="B57" s="113">
        <f>IF($AB57="","",IF(INDEX('_views'!$B:$ZZ,$AB57,1)="","",INDEX('_views'!$B:$ZZ,$AB57,1)))</f>
        <v/>
      </c>
      <c r="C57" s="113">
        <f>IF($AB57="","",IF(INDEX('_views'!$B:$ZZ,$AB57,2)="","",INDEX('_views'!$B:$ZZ,$AB57,2)))</f>
        <v/>
      </c>
      <c r="D57" s="114">
        <f>IF($AB57="","",IF(INDEX('_views'!$B:$ZZ,$AB57,3)="","",INDEX('_views'!$B:$ZZ,$AB57,3)))</f>
        <v/>
      </c>
      <c r="E57" s="114">
        <f>IF($AB57="","",IF(INDEX('_views'!$B:$ZZ,$AB57,4)="","",INDEX('_views'!$B:$ZZ,$AB57,4)))</f>
        <v/>
      </c>
      <c r="F57" s="114">
        <f>IF($AB57="","",IF(INDEX('_views'!$B:$ZZ,$AB57,5)="","",INDEX('_views'!$B:$ZZ,$AB57,5)))</f>
        <v/>
      </c>
      <c r="G57" s="114">
        <f>IF($AB57="","",IF(INDEX('_views'!$B:$ZZ,$AB57,6)="","",INDEX('_views'!$B:$ZZ,$AB57,6)))</f>
        <v/>
      </c>
      <c r="H57" s="114">
        <f>IF($AB57="","",IF(INDEX('_views'!$B:$ZZ,$AB57,7)="","",INDEX('_views'!$B:$ZZ,$AB57,7)))</f>
        <v/>
      </c>
      <c r="I57" s="114">
        <f>IF($AB57="","",IF(INDEX('_views'!$B:$ZZ,$AB57,8)="","",INDEX('_views'!$B:$ZZ,$AB57,8)))</f>
        <v/>
      </c>
      <c r="AB57">
        <f>IFERROR(MATCH("P|0|"&amp;$B$13&amp;"|6",'_views'!$A:$A,0),"")</f>
        <v/>
      </c>
    </row>
    <row r="58" ht="16" customHeight="1">
      <c r="B58" s="113">
        <f>IF($AB58="","",IF(INDEX('_views'!$B:$ZZ,$AB58,1)="","",INDEX('_views'!$B:$ZZ,$AB58,1)))</f>
        <v/>
      </c>
      <c r="C58" s="113">
        <f>IF($AB58="","",IF(INDEX('_views'!$B:$ZZ,$AB58,2)="","",INDEX('_views'!$B:$ZZ,$AB58,2)))</f>
        <v/>
      </c>
      <c r="D58" s="114">
        <f>IF($AB58="","",IF(INDEX('_views'!$B:$ZZ,$AB58,3)="","",INDEX('_views'!$B:$ZZ,$AB58,3)))</f>
        <v/>
      </c>
      <c r="E58" s="114">
        <f>IF($AB58="","",IF(INDEX('_views'!$B:$ZZ,$AB58,4)="","",INDEX('_views'!$B:$ZZ,$AB58,4)))</f>
        <v/>
      </c>
      <c r="F58" s="114">
        <f>IF($AB58="","",IF(INDEX('_views'!$B:$ZZ,$AB58,5)="","",INDEX('_views'!$B:$ZZ,$AB58,5)))</f>
        <v/>
      </c>
      <c r="G58" s="114">
        <f>IF($AB58="","",IF(INDEX('_views'!$B:$ZZ,$AB58,6)="","",INDEX('_views'!$B:$ZZ,$AB58,6)))</f>
        <v/>
      </c>
      <c r="H58" s="114">
        <f>IF($AB58="","",IF(INDEX('_views'!$B:$ZZ,$AB58,7)="","",INDEX('_views'!$B:$ZZ,$AB58,7)))</f>
        <v/>
      </c>
      <c r="I58" s="114">
        <f>IF($AB58="","",IF(INDEX('_views'!$B:$ZZ,$AB58,8)="","",INDEX('_views'!$B:$ZZ,$AB58,8)))</f>
        <v/>
      </c>
      <c r="AB58">
        <f>IFERROR(MATCH("P|0|"&amp;$B$13&amp;"|7",'_views'!$A:$A,0),"")</f>
        <v/>
      </c>
    </row>
    <row r="59" ht="16" customHeight="1">
      <c r="B59" s="113">
        <f>IF($AB59="","",IF(INDEX('_views'!$B:$ZZ,$AB59,1)="","",INDEX('_views'!$B:$ZZ,$AB59,1)))</f>
        <v/>
      </c>
      <c r="C59" s="113">
        <f>IF($AB59="","",IF(INDEX('_views'!$B:$ZZ,$AB59,2)="","",INDEX('_views'!$B:$ZZ,$AB59,2)))</f>
        <v/>
      </c>
      <c r="D59" s="114">
        <f>IF($AB59="","",IF(INDEX('_views'!$B:$ZZ,$AB59,3)="","",INDEX('_views'!$B:$ZZ,$AB59,3)))</f>
        <v/>
      </c>
      <c r="E59" s="114">
        <f>IF($AB59="","",IF(INDEX('_views'!$B:$ZZ,$AB59,4)="","",INDEX('_views'!$B:$ZZ,$AB59,4)))</f>
        <v/>
      </c>
      <c r="F59" s="114">
        <f>IF($AB59="","",IF(INDEX('_views'!$B:$ZZ,$AB59,5)="","",INDEX('_views'!$B:$ZZ,$AB59,5)))</f>
        <v/>
      </c>
      <c r="G59" s="114">
        <f>IF($AB59="","",IF(INDEX('_views'!$B:$ZZ,$AB59,6)="","",INDEX('_views'!$B:$ZZ,$AB59,6)))</f>
        <v/>
      </c>
      <c r="H59" s="114">
        <f>IF($AB59="","",IF(INDEX('_views'!$B:$ZZ,$AB59,7)="","",INDEX('_views'!$B:$ZZ,$AB59,7)))</f>
        <v/>
      </c>
      <c r="I59" s="114">
        <f>IF($AB59="","",IF(INDEX('_views'!$B:$ZZ,$AB59,8)="","",INDEX('_views'!$B:$ZZ,$AB59,8)))</f>
        <v/>
      </c>
      <c r="AB59">
        <f>IFERROR(MATCH("P|0|"&amp;$B$13&amp;"|8",'_views'!$A:$A,0),"")</f>
        <v/>
      </c>
    </row>
    <row r="60" ht="16" customHeight="1">
      <c r="B60" s="113">
        <f>IF($AB60="","",IF(INDEX('_views'!$B:$ZZ,$AB60,1)="","",INDEX('_views'!$B:$ZZ,$AB60,1)))</f>
        <v/>
      </c>
      <c r="C60" s="113">
        <f>IF($AB60="","",IF(INDEX('_views'!$B:$ZZ,$AB60,2)="","",INDEX('_views'!$B:$ZZ,$AB60,2)))</f>
        <v/>
      </c>
      <c r="D60" s="114">
        <f>IF($AB60="","",IF(INDEX('_views'!$B:$ZZ,$AB60,3)="","",INDEX('_views'!$B:$ZZ,$AB60,3)))</f>
        <v/>
      </c>
      <c r="E60" s="114">
        <f>IF($AB60="","",IF(INDEX('_views'!$B:$ZZ,$AB60,4)="","",INDEX('_views'!$B:$ZZ,$AB60,4)))</f>
        <v/>
      </c>
      <c r="F60" s="114">
        <f>IF($AB60="","",IF(INDEX('_views'!$B:$ZZ,$AB60,5)="","",INDEX('_views'!$B:$ZZ,$AB60,5)))</f>
        <v/>
      </c>
      <c r="G60" s="114">
        <f>IF($AB60="","",IF(INDEX('_views'!$B:$ZZ,$AB60,6)="","",INDEX('_views'!$B:$ZZ,$AB60,6)))</f>
        <v/>
      </c>
      <c r="H60" s="114">
        <f>IF($AB60="","",IF(INDEX('_views'!$B:$ZZ,$AB60,7)="","",INDEX('_views'!$B:$ZZ,$AB60,7)))</f>
        <v/>
      </c>
      <c r="I60" s="114">
        <f>IF($AB60="","",IF(INDEX('_views'!$B:$ZZ,$AB60,8)="","",INDEX('_views'!$B:$ZZ,$AB60,8)))</f>
        <v/>
      </c>
      <c r="AB60">
        <f>IFERROR(MATCH("P|0|"&amp;$B$13&amp;"|9",'_views'!$A:$A,0),"")</f>
        <v/>
      </c>
    </row>
    <row r="61" ht="16" customHeight="1">
      <c r="B61" s="113">
        <f>IF($AB61="","",IF(INDEX('_views'!$B:$ZZ,$AB61,1)="","",INDEX('_views'!$B:$ZZ,$AB61,1)))</f>
        <v/>
      </c>
      <c r="C61" s="113">
        <f>IF($AB61="","",IF(INDEX('_views'!$B:$ZZ,$AB61,2)="","",INDEX('_views'!$B:$ZZ,$AB61,2)))</f>
        <v/>
      </c>
      <c r="D61" s="114">
        <f>IF($AB61="","",IF(INDEX('_views'!$B:$ZZ,$AB61,3)="","",INDEX('_views'!$B:$ZZ,$AB61,3)))</f>
        <v/>
      </c>
      <c r="E61" s="114">
        <f>IF($AB61="","",IF(INDEX('_views'!$B:$ZZ,$AB61,4)="","",INDEX('_views'!$B:$ZZ,$AB61,4)))</f>
        <v/>
      </c>
      <c r="F61" s="114">
        <f>IF($AB61="","",IF(INDEX('_views'!$B:$ZZ,$AB61,5)="","",INDEX('_views'!$B:$ZZ,$AB61,5)))</f>
        <v/>
      </c>
      <c r="G61" s="114">
        <f>IF($AB61="","",IF(INDEX('_views'!$B:$ZZ,$AB61,6)="","",INDEX('_views'!$B:$ZZ,$AB61,6)))</f>
        <v/>
      </c>
      <c r="H61" s="114">
        <f>IF($AB61="","",IF(INDEX('_views'!$B:$ZZ,$AB61,7)="","",INDEX('_views'!$B:$ZZ,$AB61,7)))</f>
        <v/>
      </c>
      <c r="I61" s="114">
        <f>IF($AB61="","",IF(INDEX('_views'!$B:$ZZ,$AB61,8)="","",INDEX('_views'!$B:$ZZ,$AB61,8)))</f>
        <v/>
      </c>
      <c r="AB61">
        <f>IFERROR(MATCH("P|0|"&amp;$B$13&amp;"|10",'_views'!$A:$A,0),"")</f>
        <v/>
      </c>
    </row>
    <row r="62" ht="16" customHeight="1">
      <c r="B62" s="113">
        <f>IF($AB62="","",IF(INDEX('_views'!$B:$ZZ,$AB62,1)="","",INDEX('_views'!$B:$ZZ,$AB62,1)))</f>
        <v/>
      </c>
      <c r="C62" s="113">
        <f>IF($AB62="","",IF(INDEX('_views'!$B:$ZZ,$AB62,2)="","",INDEX('_views'!$B:$ZZ,$AB62,2)))</f>
        <v/>
      </c>
      <c r="D62" s="114">
        <f>IF($AB62="","",IF(INDEX('_views'!$B:$ZZ,$AB62,3)="","",INDEX('_views'!$B:$ZZ,$AB62,3)))</f>
        <v/>
      </c>
      <c r="E62" s="114">
        <f>IF($AB62="","",IF(INDEX('_views'!$B:$ZZ,$AB62,4)="","",INDEX('_views'!$B:$ZZ,$AB62,4)))</f>
        <v/>
      </c>
      <c r="F62" s="114">
        <f>IF($AB62="","",IF(INDEX('_views'!$B:$ZZ,$AB62,5)="","",INDEX('_views'!$B:$ZZ,$AB62,5)))</f>
        <v/>
      </c>
      <c r="G62" s="114">
        <f>IF($AB62="","",IF(INDEX('_views'!$B:$ZZ,$AB62,6)="","",INDEX('_views'!$B:$ZZ,$AB62,6)))</f>
        <v/>
      </c>
      <c r="H62" s="114">
        <f>IF($AB62="","",IF(INDEX('_views'!$B:$ZZ,$AB62,7)="","",INDEX('_views'!$B:$ZZ,$AB62,7)))</f>
        <v/>
      </c>
      <c r="I62" s="114">
        <f>IF($AB62="","",IF(INDEX('_views'!$B:$ZZ,$AB62,8)="","",INDEX('_views'!$B:$ZZ,$AB62,8)))</f>
        <v/>
      </c>
      <c r="AB62">
        <f>IFERROR(MATCH("P|0|"&amp;$B$13&amp;"|11",'_views'!$A:$A,0),"")</f>
        <v/>
      </c>
    </row>
    <row r="63" ht="16" customHeight="1">
      <c r="B63" s="113">
        <f>IF($AB63="","",IF(INDEX('_views'!$B:$ZZ,$AB63,1)="","",INDEX('_views'!$B:$ZZ,$AB63,1)))</f>
        <v/>
      </c>
      <c r="C63" s="113">
        <f>IF($AB63="","",IF(INDEX('_views'!$B:$ZZ,$AB63,2)="","",INDEX('_views'!$B:$ZZ,$AB63,2)))</f>
        <v/>
      </c>
      <c r="D63" s="114">
        <f>IF($AB63="","",IF(INDEX('_views'!$B:$ZZ,$AB63,3)="","",INDEX('_views'!$B:$ZZ,$AB63,3)))</f>
        <v/>
      </c>
      <c r="E63" s="114">
        <f>IF($AB63="","",IF(INDEX('_views'!$B:$ZZ,$AB63,4)="","",INDEX('_views'!$B:$ZZ,$AB63,4)))</f>
        <v/>
      </c>
      <c r="F63" s="114">
        <f>IF($AB63="","",IF(INDEX('_views'!$B:$ZZ,$AB63,5)="","",INDEX('_views'!$B:$ZZ,$AB63,5)))</f>
        <v/>
      </c>
      <c r="G63" s="114">
        <f>IF($AB63="","",IF(INDEX('_views'!$B:$ZZ,$AB63,6)="","",INDEX('_views'!$B:$ZZ,$AB63,6)))</f>
        <v/>
      </c>
      <c r="H63" s="114">
        <f>IF($AB63="","",IF(INDEX('_views'!$B:$ZZ,$AB63,7)="","",INDEX('_views'!$B:$ZZ,$AB63,7)))</f>
        <v/>
      </c>
      <c r="I63" s="114">
        <f>IF($AB63="","",IF(INDEX('_views'!$B:$ZZ,$AB63,8)="","",INDEX('_views'!$B:$ZZ,$AB63,8)))</f>
        <v/>
      </c>
      <c r="AB63">
        <f>IFERROR(MATCH("P|0|"&amp;$B$13&amp;"|12",'_views'!$A:$A,0),"")</f>
        <v/>
      </c>
    </row>
    <row r="64" ht="16" customHeight="1">
      <c r="B64" s="113">
        <f>IF($AB64="","",IF(INDEX('_views'!$B:$ZZ,$AB64,1)="","",INDEX('_views'!$B:$ZZ,$AB64,1)))</f>
        <v/>
      </c>
      <c r="C64" s="113">
        <f>IF($AB64="","",IF(INDEX('_views'!$B:$ZZ,$AB64,2)="","",INDEX('_views'!$B:$ZZ,$AB64,2)))</f>
        <v/>
      </c>
      <c r="D64" s="114">
        <f>IF($AB64="","",IF(INDEX('_views'!$B:$ZZ,$AB64,3)="","",INDEX('_views'!$B:$ZZ,$AB64,3)))</f>
        <v/>
      </c>
      <c r="E64" s="114">
        <f>IF($AB64="","",IF(INDEX('_views'!$B:$ZZ,$AB64,4)="","",INDEX('_views'!$B:$ZZ,$AB64,4)))</f>
        <v/>
      </c>
      <c r="F64" s="114">
        <f>IF($AB64="","",IF(INDEX('_views'!$B:$ZZ,$AB64,5)="","",INDEX('_views'!$B:$ZZ,$AB64,5)))</f>
        <v/>
      </c>
      <c r="G64" s="114">
        <f>IF($AB64="","",IF(INDEX('_views'!$B:$ZZ,$AB64,6)="","",INDEX('_views'!$B:$ZZ,$AB64,6)))</f>
        <v/>
      </c>
      <c r="H64" s="114">
        <f>IF($AB64="","",IF(INDEX('_views'!$B:$ZZ,$AB64,7)="","",INDEX('_views'!$B:$ZZ,$AB64,7)))</f>
        <v/>
      </c>
      <c r="I64" s="114">
        <f>IF($AB64="","",IF(INDEX('_views'!$B:$ZZ,$AB64,8)="","",INDEX('_views'!$B:$ZZ,$AB64,8)))</f>
        <v/>
      </c>
      <c r="AB64">
        <f>IFERROR(MATCH("P|0|"&amp;$B$13&amp;"|13",'_views'!$A:$A,0),"")</f>
        <v/>
      </c>
    </row>
    <row r="65" ht="16" customHeight="1">
      <c r="B65" s="113">
        <f>IF($AB65="","",IF(INDEX('_views'!$B:$ZZ,$AB65,1)="","",INDEX('_views'!$B:$ZZ,$AB65,1)))</f>
        <v/>
      </c>
      <c r="C65" s="113">
        <f>IF($AB65="","",IF(INDEX('_views'!$B:$ZZ,$AB65,2)="","",INDEX('_views'!$B:$ZZ,$AB65,2)))</f>
        <v/>
      </c>
      <c r="D65" s="114">
        <f>IF($AB65="","",IF(INDEX('_views'!$B:$ZZ,$AB65,3)="","",INDEX('_views'!$B:$ZZ,$AB65,3)))</f>
        <v/>
      </c>
      <c r="E65" s="114">
        <f>IF($AB65="","",IF(INDEX('_views'!$B:$ZZ,$AB65,4)="","",INDEX('_views'!$B:$ZZ,$AB65,4)))</f>
        <v/>
      </c>
      <c r="F65" s="114">
        <f>IF($AB65="","",IF(INDEX('_views'!$B:$ZZ,$AB65,5)="","",INDEX('_views'!$B:$ZZ,$AB65,5)))</f>
        <v/>
      </c>
      <c r="G65" s="114">
        <f>IF($AB65="","",IF(INDEX('_views'!$B:$ZZ,$AB65,6)="","",INDEX('_views'!$B:$ZZ,$AB65,6)))</f>
        <v/>
      </c>
      <c r="H65" s="114">
        <f>IF($AB65="","",IF(INDEX('_views'!$B:$ZZ,$AB65,7)="","",INDEX('_views'!$B:$ZZ,$AB65,7)))</f>
        <v/>
      </c>
      <c r="I65" s="114">
        <f>IF($AB65="","",IF(INDEX('_views'!$B:$ZZ,$AB65,8)="","",INDEX('_views'!$B:$ZZ,$AB65,8)))</f>
        <v/>
      </c>
      <c r="AB65">
        <f>IFERROR(MATCH("P|0|"&amp;$B$13&amp;"|14",'_views'!$A:$A,0),"")</f>
        <v/>
      </c>
    </row>
    <row r="66" ht="16" customHeight="1">
      <c r="B66" s="113">
        <f>IF($AB66="","",IF(INDEX('_views'!$B:$ZZ,$AB66,1)="","",INDEX('_views'!$B:$ZZ,$AB66,1)))</f>
        <v/>
      </c>
      <c r="C66" s="113">
        <f>IF($AB66="","",IF(INDEX('_views'!$B:$ZZ,$AB66,2)="","",INDEX('_views'!$B:$ZZ,$AB66,2)))</f>
        <v/>
      </c>
      <c r="D66" s="114">
        <f>IF($AB66="","",IF(INDEX('_views'!$B:$ZZ,$AB66,3)="","",INDEX('_views'!$B:$ZZ,$AB66,3)))</f>
        <v/>
      </c>
      <c r="E66" s="114">
        <f>IF($AB66="","",IF(INDEX('_views'!$B:$ZZ,$AB66,4)="","",INDEX('_views'!$B:$ZZ,$AB66,4)))</f>
        <v/>
      </c>
      <c r="F66" s="114">
        <f>IF($AB66="","",IF(INDEX('_views'!$B:$ZZ,$AB66,5)="","",INDEX('_views'!$B:$ZZ,$AB66,5)))</f>
        <v/>
      </c>
      <c r="G66" s="114">
        <f>IF($AB66="","",IF(INDEX('_views'!$B:$ZZ,$AB66,6)="","",INDEX('_views'!$B:$ZZ,$AB66,6)))</f>
        <v/>
      </c>
      <c r="H66" s="114">
        <f>IF($AB66="","",IF(INDEX('_views'!$B:$ZZ,$AB66,7)="","",INDEX('_views'!$B:$ZZ,$AB66,7)))</f>
        <v/>
      </c>
      <c r="I66" s="114">
        <f>IF($AB66="","",IF(INDEX('_views'!$B:$ZZ,$AB66,8)="","",INDEX('_views'!$B:$ZZ,$AB66,8)))</f>
        <v/>
      </c>
      <c r="AB66">
        <f>IFERROR(MATCH("P|0|"&amp;$B$13&amp;"|15",'_views'!$A:$A,0),"")</f>
        <v/>
      </c>
    </row>
    <row r="67" ht="16" customHeight="1">
      <c r="B67" s="113">
        <f>IF($AB67="","",IF(INDEX('_views'!$B:$ZZ,$AB67,1)="","",INDEX('_views'!$B:$ZZ,$AB67,1)))</f>
        <v/>
      </c>
      <c r="C67" s="113">
        <f>IF($AB67="","",IF(INDEX('_views'!$B:$ZZ,$AB67,2)="","",INDEX('_views'!$B:$ZZ,$AB67,2)))</f>
        <v/>
      </c>
      <c r="D67" s="114">
        <f>IF($AB67="","",IF(INDEX('_views'!$B:$ZZ,$AB67,3)="","",INDEX('_views'!$B:$ZZ,$AB67,3)))</f>
        <v/>
      </c>
      <c r="E67" s="114">
        <f>IF($AB67="","",IF(INDEX('_views'!$B:$ZZ,$AB67,4)="","",INDEX('_views'!$B:$ZZ,$AB67,4)))</f>
        <v/>
      </c>
      <c r="F67" s="114">
        <f>IF($AB67="","",IF(INDEX('_views'!$B:$ZZ,$AB67,5)="","",INDEX('_views'!$B:$ZZ,$AB67,5)))</f>
        <v/>
      </c>
      <c r="G67" s="114">
        <f>IF($AB67="","",IF(INDEX('_views'!$B:$ZZ,$AB67,6)="","",INDEX('_views'!$B:$ZZ,$AB67,6)))</f>
        <v/>
      </c>
      <c r="H67" s="114">
        <f>IF($AB67="","",IF(INDEX('_views'!$B:$ZZ,$AB67,7)="","",INDEX('_views'!$B:$ZZ,$AB67,7)))</f>
        <v/>
      </c>
      <c r="I67" s="114">
        <f>IF($AB67="","",IF(INDEX('_views'!$B:$ZZ,$AB67,8)="","",INDEX('_views'!$B:$ZZ,$AB67,8)))</f>
        <v/>
      </c>
      <c r="AB67">
        <f>IFERROR(MATCH("P|0|"&amp;$B$13&amp;"|16",'_views'!$A:$A,0),"")</f>
        <v/>
      </c>
    </row>
    <row r="68" ht="16" customHeight="1">
      <c r="B68" s="113">
        <f>IF($AB68="","",IF(INDEX('_views'!$B:$ZZ,$AB68,1)="","",INDEX('_views'!$B:$ZZ,$AB68,1)))</f>
        <v/>
      </c>
      <c r="C68" s="113">
        <f>IF($AB68="","",IF(INDEX('_views'!$B:$ZZ,$AB68,2)="","",INDEX('_views'!$B:$ZZ,$AB68,2)))</f>
        <v/>
      </c>
      <c r="D68" s="114">
        <f>IF($AB68="","",IF(INDEX('_views'!$B:$ZZ,$AB68,3)="","",INDEX('_views'!$B:$ZZ,$AB68,3)))</f>
        <v/>
      </c>
      <c r="E68" s="114">
        <f>IF($AB68="","",IF(INDEX('_views'!$B:$ZZ,$AB68,4)="","",INDEX('_views'!$B:$ZZ,$AB68,4)))</f>
        <v/>
      </c>
      <c r="F68" s="114">
        <f>IF($AB68="","",IF(INDEX('_views'!$B:$ZZ,$AB68,5)="","",INDEX('_views'!$B:$ZZ,$AB68,5)))</f>
        <v/>
      </c>
      <c r="G68" s="114">
        <f>IF($AB68="","",IF(INDEX('_views'!$B:$ZZ,$AB68,6)="","",INDEX('_views'!$B:$ZZ,$AB68,6)))</f>
        <v/>
      </c>
      <c r="H68" s="114">
        <f>IF($AB68="","",IF(INDEX('_views'!$B:$ZZ,$AB68,7)="","",INDEX('_views'!$B:$ZZ,$AB68,7)))</f>
        <v/>
      </c>
      <c r="I68" s="114">
        <f>IF($AB68="","",IF(INDEX('_views'!$B:$ZZ,$AB68,8)="","",INDEX('_views'!$B:$ZZ,$AB68,8)))</f>
        <v/>
      </c>
      <c r="AB68">
        <f>IFERROR(MATCH("P|0|"&amp;$B$13&amp;"|17",'_views'!$A:$A,0),"")</f>
        <v/>
      </c>
    </row>
    <row r="69" ht="16" customHeight="1">
      <c r="B69" s="113">
        <f>IF($AB69="","",IF(INDEX('_views'!$B:$ZZ,$AB69,1)="","",INDEX('_views'!$B:$ZZ,$AB69,1)))</f>
        <v/>
      </c>
      <c r="C69" s="113">
        <f>IF($AB69="","",IF(INDEX('_views'!$B:$ZZ,$AB69,2)="","",INDEX('_views'!$B:$ZZ,$AB69,2)))</f>
        <v/>
      </c>
      <c r="D69" s="114">
        <f>IF($AB69="","",IF(INDEX('_views'!$B:$ZZ,$AB69,3)="","",INDEX('_views'!$B:$ZZ,$AB69,3)))</f>
        <v/>
      </c>
      <c r="E69" s="114">
        <f>IF($AB69="","",IF(INDEX('_views'!$B:$ZZ,$AB69,4)="","",INDEX('_views'!$B:$ZZ,$AB69,4)))</f>
        <v/>
      </c>
      <c r="F69" s="114">
        <f>IF($AB69="","",IF(INDEX('_views'!$B:$ZZ,$AB69,5)="","",INDEX('_views'!$B:$ZZ,$AB69,5)))</f>
        <v/>
      </c>
      <c r="G69" s="114">
        <f>IF($AB69="","",IF(INDEX('_views'!$B:$ZZ,$AB69,6)="","",INDEX('_views'!$B:$ZZ,$AB69,6)))</f>
        <v/>
      </c>
      <c r="H69" s="114">
        <f>IF($AB69="","",IF(INDEX('_views'!$B:$ZZ,$AB69,7)="","",INDEX('_views'!$B:$ZZ,$AB69,7)))</f>
        <v/>
      </c>
      <c r="I69" s="114">
        <f>IF($AB69="","",IF(INDEX('_views'!$B:$ZZ,$AB69,8)="","",INDEX('_views'!$B:$ZZ,$AB69,8)))</f>
        <v/>
      </c>
      <c r="AB69">
        <f>IFERROR(MATCH("P|0|"&amp;$B$13&amp;"|18",'_views'!$A:$A,0),"")</f>
        <v/>
      </c>
    </row>
    <row r="70" ht="16" customHeight="1">
      <c r="B70" s="113">
        <f>IF($AB70="","",IF(INDEX('_views'!$B:$ZZ,$AB70,1)="","",INDEX('_views'!$B:$ZZ,$AB70,1)))</f>
        <v/>
      </c>
      <c r="C70" s="113">
        <f>IF($AB70="","",IF(INDEX('_views'!$B:$ZZ,$AB70,2)="","",INDEX('_views'!$B:$ZZ,$AB70,2)))</f>
        <v/>
      </c>
      <c r="D70" s="114">
        <f>IF($AB70="","",IF(INDEX('_views'!$B:$ZZ,$AB70,3)="","",INDEX('_views'!$B:$ZZ,$AB70,3)))</f>
        <v/>
      </c>
      <c r="E70" s="114">
        <f>IF($AB70="","",IF(INDEX('_views'!$B:$ZZ,$AB70,4)="","",INDEX('_views'!$B:$ZZ,$AB70,4)))</f>
        <v/>
      </c>
      <c r="F70" s="114">
        <f>IF($AB70="","",IF(INDEX('_views'!$B:$ZZ,$AB70,5)="","",INDEX('_views'!$B:$ZZ,$AB70,5)))</f>
        <v/>
      </c>
      <c r="G70" s="114">
        <f>IF($AB70="","",IF(INDEX('_views'!$B:$ZZ,$AB70,6)="","",INDEX('_views'!$B:$ZZ,$AB70,6)))</f>
        <v/>
      </c>
      <c r="H70" s="114">
        <f>IF($AB70="","",IF(INDEX('_views'!$B:$ZZ,$AB70,7)="","",INDEX('_views'!$B:$ZZ,$AB70,7)))</f>
        <v/>
      </c>
      <c r="I70" s="114">
        <f>IF($AB70="","",IF(INDEX('_views'!$B:$ZZ,$AB70,8)="","",INDEX('_views'!$B:$ZZ,$AB70,8)))</f>
        <v/>
      </c>
      <c r="AB70">
        <f>IFERROR(MATCH("P|0|"&amp;$B$13&amp;"|19",'_views'!$A:$A,0),"")</f>
        <v/>
      </c>
    </row>
    <row r="71" ht="16" customHeight="1">
      <c r="B71" s="113">
        <f>IF($AB71="","",IF(INDEX('_views'!$B:$ZZ,$AB71,1)="","",INDEX('_views'!$B:$ZZ,$AB71,1)))</f>
        <v/>
      </c>
      <c r="C71" s="113">
        <f>IF($AB71="","",IF(INDEX('_views'!$B:$ZZ,$AB71,2)="","",INDEX('_views'!$B:$ZZ,$AB71,2)))</f>
        <v/>
      </c>
      <c r="D71" s="114">
        <f>IF($AB71="","",IF(INDEX('_views'!$B:$ZZ,$AB71,3)="","",INDEX('_views'!$B:$ZZ,$AB71,3)))</f>
        <v/>
      </c>
      <c r="E71" s="114">
        <f>IF($AB71="","",IF(INDEX('_views'!$B:$ZZ,$AB71,4)="","",INDEX('_views'!$B:$ZZ,$AB71,4)))</f>
        <v/>
      </c>
      <c r="F71" s="114">
        <f>IF($AB71="","",IF(INDEX('_views'!$B:$ZZ,$AB71,5)="","",INDEX('_views'!$B:$ZZ,$AB71,5)))</f>
        <v/>
      </c>
      <c r="G71" s="114">
        <f>IF($AB71="","",IF(INDEX('_views'!$B:$ZZ,$AB71,6)="","",INDEX('_views'!$B:$ZZ,$AB71,6)))</f>
        <v/>
      </c>
      <c r="H71" s="114">
        <f>IF($AB71="","",IF(INDEX('_views'!$B:$ZZ,$AB71,7)="","",INDEX('_views'!$B:$ZZ,$AB71,7)))</f>
        <v/>
      </c>
      <c r="I71" s="114">
        <f>IF($AB71="","",IF(INDEX('_views'!$B:$ZZ,$AB71,8)="","",INDEX('_views'!$B:$ZZ,$AB71,8)))</f>
        <v/>
      </c>
      <c r="AB71">
        <f>IFERROR(MATCH("P|0|"&amp;$B$13&amp;"|20",'_views'!$A:$A,0),"")</f>
        <v/>
      </c>
    </row>
    <row r="72" ht="16" customHeight="1">
      <c r="B72" s="113">
        <f>IF($AB72="","",IF(INDEX('_views'!$B:$ZZ,$AB72,1)="","",INDEX('_views'!$B:$ZZ,$AB72,1)))</f>
        <v/>
      </c>
      <c r="C72" s="113">
        <f>IF($AB72="","",IF(INDEX('_views'!$B:$ZZ,$AB72,2)="","",INDEX('_views'!$B:$ZZ,$AB72,2)))</f>
        <v/>
      </c>
      <c r="D72" s="114">
        <f>IF($AB72="","",IF(INDEX('_views'!$B:$ZZ,$AB72,3)="","",INDEX('_views'!$B:$ZZ,$AB72,3)))</f>
        <v/>
      </c>
      <c r="E72" s="114">
        <f>IF($AB72="","",IF(INDEX('_views'!$B:$ZZ,$AB72,4)="","",INDEX('_views'!$B:$ZZ,$AB72,4)))</f>
        <v/>
      </c>
      <c r="F72" s="114">
        <f>IF($AB72="","",IF(INDEX('_views'!$B:$ZZ,$AB72,5)="","",INDEX('_views'!$B:$ZZ,$AB72,5)))</f>
        <v/>
      </c>
      <c r="G72" s="114">
        <f>IF($AB72="","",IF(INDEX('_views'!$B:$ZZ,$AB72,6)="","",INDEX('_views'!$B:$ZZ,$AB72,6)))</f>
        <v/>
      </c>
      <c r="H72" s="114">
        <f>IF($AB72="","",IF(INDEX('_views'!$B:$ZZ,$AB72,7)="","",INDEX('_views'!$B:$ZZ,$AB72,7)))</f>
        <v/>
      </c>
      <c r="I72" s="114">
        <f>IF($AB72="","",IF(INDEX('_views'!$B:$ZZ,$AB72,8)="","",INDEX('_views'!$B:$ZZ,$AB72,8)))</f>
        <v/>
      </c>
      <c r="AB72">
        <f>IFERROR(MATCH("P|0|"&amp;$B$13&amp;"|21",'_views'!$A:$A,0),"")</f>
        <v/>
      </c>
    </row>
    <row r="73" ht="16" customHeight="1">
      <c r="B73" s="113">
        <f>IF($AB73="","",IF(INDEX('_views'!$B:$ZZ,$AB73,1)="","",INDEX('_views'!$B:$ZZ,$AB73,1)))</f>
        <v/>
      </c>
      <c r="C73" s="113">
        <f>IF($AB73="","",IF(INDEX('_views'!$B:$ZZ,$AB73,2)="","",INDEX('_views'!$B:$ZZ,$AB73,2)))</f>
        <v/>
      </c>
      <c r="D73" s="114">
        <f>IF($AB73="","",IF(INDEX('_views'!$B:$ZZ,$AB73,3)="","",INDEX('_views'!$B:$ZZ,$AB73,3)))</f>
        <v/>
      </c>
      <c r="E73" s="114">
        <f>IF($AB73="","",IF(INDEX('_views'!$B:$ZZ,$AB73,4)="","",INDEX('_views'!$B:$ZZ,$AB73,4)))</f>
        <v/>
      </c>
      <c r="F73" s="114">
        <f>IF($AB73="","",IF(INDEX('_views'!$B:$ZZ,$AB73,5)="","",INDEX('_views'!$B:$ZZ,$AB73,5)))</f>
        <v/>
      </c>
      <c r="G73" s="114">
        <f>IF($AB73="","",IF(INDEX('_views'!$B:$ZZ,$AB73,6)="","",INDEX('_views'!$B:$ZZ,$AB73,6)))</f>
        <v/>
      </c>
      <c r="H73" s="114">
        <f>IF($AB73="","",IF(INDEX('_views'!$B:$ZZ,$AB73,7)="","",INDEX('_views'!$B:$ZZ,$AB73,7)))</f>
        <v/>
      </c>
      <c r="I73" s="114">
        <f>IF($AB73="","",IF(INDEX('_views'!$B:$ZZ,$AB73,8)="","",INDEX('_views'!$B:$ZZ,$AB73,8)))</f>
        <v/>
      </c>
      <c r="AB73">
        <f>IFERROR(MATCH("P|0|"&amp;$B$13&amp;"|22",'_views'!$A:$A,0),"")</f>
        <v/>
      </c>
    </row>
    <row r="74" ht="16" customHeight="1">
      <c r="B74" s="113">
        <f>IF($AB74="","",IF(INDEX('_views'!$B:$ZZ,$AB74,1)="","",INDEX('_views'!$B:$ZZ,$AB74,1)))</f>
        <v/>
      </c>
      <c r="C74" s="113">
        <f>IF($AB74="","",IF(INDEX('_views'!$B:$ZZ,$AB74,2)="","",INDEX('_views'!$B:$ZZ,$AB74,2)))</f>
        <v/>
      </c>
      <c r="D74" s="114">
        <f>IF($AB74="","",IF(INDEX('_views'!$B:$ZZ,$AB74,3)="","",INDEX('_views'!$B:$ZZ,$AB74,3)))</f>
        <v/>
      </c>
      <c r="E74" s="114">
        <f>IF($AB74="","",IF(INDEX('_views'!$B:$ZZ,$AB74,4)="","",INDEX('_views'!$B:$ZZ,$AB74,4)))</f>
        <v/>
      </c>
      <c r="F74" s="114">
        <f>IF($AB74="","",IF(INDEX('_views'!$B:$ZZ,$AB74,5)="","",INDEX('_views'!$B:$ZZ,$AB74,5)))</f>
        <v/>
      </c>
      <c r="G74" s="114">
        <f>IF($AB74="","",IF(INDEX('_views'!$B:$ZZ,$AB74,6)="","",INDEX('_views'!$B:$ZZ,$AB74,6)))</f>
        <v/>
      </c>
      <c r="H74" s="114">
        <f>IF($AB74="","",IF(INDEX('_views'!$B:$ZZ,$AB74,7)="","",INDEX('_views'!$B:$ZZ,$AB74,7)))</f>
        <v/>
      </c>
      <c r="I74" s="114">
        <f>IF($AB74="","",IF(INDEX('_views'!$B:$ZZ,$AB74,8)="","",INDEX('_views'!$B:$ZZ,$AB74,8)))</f>
        <v/>
      </c>
      <c r="AB74">
        <f>IFERROR(MATCH("P|0|"&amp;$B$13&amp;"|23",'_views'!$A:$A,0),"")</f>
        <v/>
      </c>
    </row>
    <row r="75" ht="16" customHeight="1">
      <c r="B75" s="113">
        <f>IF($AB75="","",IF(INDEX('_views'!$B:$ZZ,$AB75,1)="","",INDEX('_views'!$B:$ZZ,$AB75,1)))</f>
        <v/>
      </c>
      <c r="C75" s="113">
        <f>IF($AB75="","",IF(INDEX('_views'!$B:$ZZ,$AB75,2)="","",INDEX('_views'!$B:$ZZ,$AB75,2)))</f>
        <v/>
      </c>
      <c r="D75" s="114">
        <f>IF($AB75="","",IF(INDEX('_views'!$B:$ZZ,$AB75,3)="","",INDEX('_views'!$B:$ZZ,$AB75,3)))</f>
        <v/>
      </c>
      <c r="E75" s="114">
        <f>IF($AB75="","",IF(INDEX('_views'!$B:$ZZ,$AB75,4)="","",INDEX('_views'!$B:$ZZ,$AB75,4)))</f>
        <v/>
      </c>
      <c r="F75" s="114">
        <f>IF($AB75="","",IF(INDEX('_views'!$B:$ZZ,$AB75,5)="","",INDEX('_views'!$B:$ZZ,$AB75,5)))</f>
        <v/>
      </c>
      <c r="G75" s="114">
        <f>IF($AB75="","",IF(INDEX('_views'!$B:$ZZ,$AB75,6)="","",INDEX('_views'!$B:$ZZ,$AB75,6)))</f>
        <v/>
      </c>
      <c r="H75" s="114">
        <f>IF($AB75="","",IF(INDEX('_views'!$B:$ZZ,$AB75,7)="","",INDEX('_views'!$B:$ZZ,$AB75,7)))</f>
        <v/>
      </c>
      <c r="I75" s="114">
        <f>IF($AB75="","",IF(INDEX('_views'!$B:$ZZ,$AB75,8)="","",INDEX('_views'!$B:$ZZ,$AB75,8)))</f>
        <v/>
      </c>
      <c r="AB75">
        <f>IFERROR(MATCH("P|0|"&amp;$B$13&amp;"|24",'_views'!$A:$A,0),"")</f>
        <v/>
      </c>
    </row>
    <row r="76" ht="16" customHeight="1">
      <c r="B76" s="113">
        <f>IF($AB76="","",IF(INDEX('_views'!$B:$ZZ,$AB76,1)="","",INDEX('_views'!$B:$ZZ,$AB76,1)))</f>
        <v/>
      </c>
      <c r="C76" s="113">
        <f>IF($AB76="","",IF(INDEX('_views'!$B:$ZZ,$AB76,2)="","",INDEX('_views'!$B:$ZZ,$AB76,2)))</f>
        <v/>
      </c>
      <c r="D76" s="114">
        <f>IF($AB76="","",IF(INDEX('_views'!$B:$ZZ,$AB76,3)="","",INDEX('_views'!$B:$ZZ,$AB76,3)))</f>
        <v/>
      </c>
      <c r="E76" s="114">
        <f>IF($AB76="","",IF(INDEX('_views'!$B:$ZZ,$AB76,4)="","",INDEX('_views'!$B:$ZZ,$AB76,4)))</f>
        <v/>
      </c>
      <c r="F76" s="114">
        <f>IF($AB76="","",IF(INDEX('_views'!$B:$ZZ,$AB76,5)="","",INDEX('_views'!$B:$ZZ,$AB76,5)))</f>
        <v/>
      </c>
      <c r="G76" s="114">
        <f>IF($AB76="","",IF(INDEX('_views'!$B:$ZZ,$AB76,6)="","",INDEX('_views'!$B:$ZZ,$AB76,6)))</f>
        <v/>
      </c>
      <c r="H76" s="114">
        <f>IF($AB76="","",IF(INDEX('_views'!$B:$ZZ,$AB76,7)="","",INDEX('_views'!$B:$ZZ,$AB76,7)))</f>
        <v/>
      </c>
      <c r="I76" s="114">
        <f>IF($AB76="","",IF(INDEX('_views'!$B:$ZZ,$AB76,8)="","",INDEX('_views'!$B:$ZZ,$AB76,8)))</f>
        <v/>
      </c>
      <c r="AB76">
        <f>IFERROR(MATCH("P|0|"&amp;$B$13&amp;"|25",'_views'!$A:$A,0),"")</f>
        <v/>
      </c>
    </row>
    <row r="77" ht="16" customHeight="1">
      <c r="B77" s="113">
        <f>IF($AB77="","",IF(INDEX('_views'!$B:$ZZ,$AB77,1)="","",INDEX('_views'!$B:$ZZ,$AB77,1)))</f>
        <v/>
      </c>
      <c r="C77" s="113">
        <f>IF($AB77="","",IF(INDEX('_views'!$B:$ZZ,$AB77,2)="","",INDEX('_views'!$B:$ZZ,$AB77,2)))</f>
        <v/>
      </c>
      <c r="D77" s="114">
        <f>IF($AB77="","",IF(INDEX('_views'!$B:$ZZ,$AB77,3)="","",INDEX('_views'!$B:$ZZ,$AB77,3)))</f>
        <v/>
      </c>
      <c r="E77" s="114">
        <f>IF($AB77="","",IF(INDEX('_views'!$B:$ZZ,$AB77,4)="","",INDEX('_views'!$B:$ZZ,$AB77,4)))</f>
        <v/>
      </c>
      <c r="F77" s="114">
        <f>IF($AB77="","",IF(INDEX('_views'!$B:$ZZ,$AB77,5)="","",INDEX('_views'!$B:$ZZ,$AB77,5)))</f>
        <v/>
      </c>
      <c r="G77" s="114">
        <f>IF($AB77="","",IF(INDEX('_views'!$B:$ZZ,$AB77,6)="","",INDEX('_views'!$B:$ZZ,$AB77,6)))</f>
        <v/>
      </c>
      <c r="H77" s="114">
        <f>IF($AB77="","",IF(INDEX('_views'!$B:$ZZ,$AB77,7)="","",INDEX('_views'!$B:$ZZ,$AB77,7)))</f>
        <v/>
      </c>
      <c r="I77" s="114">
        <f>IF($AB77="","",IF(INDEX('_views'!$B:$ZZ,$AB77,8)="","",INDEX('_views'!$B:$ZZ,$AB77,8)))</f>
        <v/>
      </c>
      <c r="AB77">
        <f>IFERROR(MATCH("P|0|"&amp;$B$13&amp;"|26",'_views'!$A:$A,0),"")</f>
        <v/>
      </c>
    </row>
    <row r="78" ht="16" customHeight="1">
      <c r="B78" s="113">
        <f>IF($AB78="","",IF(INDEX('_views'!$B:$ZZ,$AB78,1)="","",INDEX('_views'!$B:$ZZ,$AB78,1)))</f>
        <v/>
      </c>
      <c r="C78" s="113">
        <f>IF($AB78="","",IF(INDEX('_views'!$B:$ZZ,$AB78,2)="","",INDEX('_views'!$B:$ZZ,$AB78,2)))</f>
        <v/>
      </c>
      <c r="D78" s="114">
        <f>IF($AB78="","",IF(INDEX('_views'!$B:$ZZ,$AB78,3)="","",INDEX('_views'!$B:$ZZ,$AB78,3)))</f>
        <v/>
      </c>
      <c r="E78" s="114">
        <f>IF($AB78="","",IF(INDEX('_views'!$B:$ZZ,$AB78,4)="","",INDEX('_views'!$B:$ZZ,$AB78,4)))</f>
        <v/>
      </c>
      <c r="F78" s="114">
        <f>IF($AB78="","",IF(INDEX('_views'!$B:$ZZ,$AB78,5)="","",INDEX('_views'!$B:$ZZ,$AB78,5)))</f>
        <v/>
      </c>
      <c r="G78" s="114">
        <f>IF($AB78="","",IF(INDEX('_views'!$B:$ZZ,$AB78,6)="","",INDEX('_views'!$B:$ZZ,$AB78,6)))</f>
        <v/>
      </c>
      <c r="H78" s="114">
        <f>IF($AB78="","",IF(INDEX('_views'!$B:$ZZ,$AB78,7)="","",INDEX('_views'!$B:$ZZ,$AB78,7)))</f>
        <v/>
      </c>
      <c r="I78" s="114">
        <f>IF($AB78="","",IF(INDEX('_views'!$B:$ZZ,$AB78,8)="","",INDEX('_views'!$B:$ZZ,$AB78,8)))</f>
        <v/>
      </c>
      <c r="AB78">
        <f>IFERROR(MATCH("P|0|"&amp;$B$13&amp;"|27",'_views'!$A:$A,0),"")</f>
        <v/>
      </c>
    </row>
  </sheetData>
  <mergeCells count="17">
    <mergeCell ref="C9:V9"/>
    <mergeCell ref="C45:V45"/>
    <mergeCell ref="C8:V8"/>
    <mergeCell ref="C4:V4"/>
    <mergeCell ref="F13:H13"/>
    <mergeCell ref="J13:L13"/>
    <mergeCell ref="C43:V43"/>
    <mergeCell ref="N13:P13"/>
    <mergeCell ref="C7:V7"/>
    <mergeCell ref="B13:D13"/>
    <mergeCell ref="C6:V6"/>
    <mergeCell ref="C10:V10"/>
    <mergeCell ref="C42:V42"/>
    <mergeCell ref="B40:V40"/>
    <mergeCell ref="C44:V44"/>
    <mergeCell ref="C41:V41"/>
    <mergeCell ref="C5:V5"/>
  </mergeCells>
  <conditionalFormatting sqref="B17:B24">
    <cfRule type="expression" priority="1" dxfId="6">
      <formula>$B17&lt;&gt;""</formula>
    </cfRule>
  </conditionalFormatting>
  <conditionalFormatting sqref="C17:K24">
    <cfRule type="expression" priority="2" dxfId="18">
      <formula>AND($B17&lt;&gt;"",$Y$13="amt")</formula>
    </cfRule>
    <cfRule type="expression" priority="3" dxfId="6">
      <formula>$B17&lt;&gt;""</formula>
    </cfRule>
  </conditionalFormatting>
  <conditionalFormatting sqref="M17:M24">
    <cfRule type="expression" priority="4" dxfId="6">
      <formula>$M17&lt;&gt;""</formula>
    </cfRule>
  </conditionalFormatting>
  <conditionalFormatting sqref="N17:V24">
    <cfRule type="expression" priority="5" dxfId="19">
      <formula>AND($M17&lt;&gt;"",AND($Y$13="pts",AND(ISNUMBER(N17),IFERROR(IF($Y$13="pts",-N17/$Y$14,IF($Y$13="x",LOG(N17,2),IF($Y$13="xr",-LOG(N17,2),0))),0)&gt;=1.0)))</formula>
    </cfRule>
    <cfRule type="expression" priority="6" dxfId="20">
      <formula>AND($M17&lt;&gt;"",AND(ISNUMBER(N17),IFERROR(IF($Y$13="pts",-N17/$Y$14,IF($Y$13="x",LOG(N17,2),IF($Y$13="xr",-LOG(N17,2),0))),0)&gt;=1.0))</formula>
    </cfRule>
    <cfRule type="expression" priority="7" dxfId="21">
      <formula>AND($M17&lt;&gt;"",AND($Y$13="pts",AND(ISNUMBER(N17),IFERROR(IF($Y$13="pts",-N17/$Y$14,IF($Y$13="x",LOG(N17,2),IF($Y$13="xr",-LOG(N17,2),0))),0)&gt;=0.585)))</formula>
    </cfRule>
    <cfRule type="expression" priority="8" dxfId="22">
      <formula>AND($M17&lt;&gt;"",AND(ISNUMBER(N17),IFERROR(IF($Y$13="pts",-N17/$Y$14,IF($Y$13="x",LOG(N17,2),IF($Y$13="xr",-LOG(N17,2),0))),0)&gt;=0.585))</formula>
    </cfRule>
    <cfRule type="expression" priority="9" dxfId="23">
      <formula>AND($M17&lt;&gt;"",AND($Y$13="pts",AND(ISNUMBER(N17),IFERROR(IF($Y$13="pts",-N17/$Y$14,IF($Y$13="x",LOG(N17,2),IF($Y$13="xr",-LOG(N17,2),0))),0)&gt;=0.263)))</formula>
    </cfRule>
    <cfRule type="expression" priority="10" dxfId="24">
      <formula>AND($M17&lt;&gt;"",AND(ISNUMBER(N17),IFERROR(IF($Y$13="pts",-N17/$Y$14,IF($Y$13="x",LOG(N17,2),IF($Y$13="xr",-LOG(N17,2),0))),0)&gt;=0.263))</formula>
    </cfRule>
    <cfRule type="expression" priority="11" dxfId="25">
      <formula>AND($M17&lt;&gt;"",AND($Y$13="pts",AND(ISNUMBER(N17),IFERROR(IF($Y$13="pts",-N17/$Y$14,IF($Y$13="x",LOG(N17,2),IF($Y$13="xr",-LOG(N17,2),0))),0)&lt;=-0.585)))</formula>
    </cfRule>
    <cfRule type="expression" priority="12" dxfId="26">
      <formula>AND($M17&lt;&gt;"",AND(ISNUMBER(N17),IFERROR(IF($Y$13="pts",-N17/$Y$14,IF($Y$13="x",LOG(N17,2),IF($Y$13="xr",-LOG(N17,2),0))),0)&lt;=-0.585))</formula>
    </cfRule>
    <cfRule type="expression" priority="13" dxfId="27">
      <formula>AND($M17&lt;&gt;"",AND($Y$13="pts",AND(ISNUMBER(N17),IFERROR(IF($Y$13="pts",-N17/$Y$14,IF($Y$13="x",LOG(N17,2),IF($Y$13="xr",-LOG(N17,2),0))),0)&lt;=-0.263)))</formula>
    </cfRule>
    <cfRule type="expression" priority="14" dxfId="28">
      <formula>AND($M17&lt;&gt;"",AND(ISNUMBER(N17),IFERROR(IF($Y$13="pts",-N17/$Y$14,IF($Y$13="x",LOG(N17,2),IF($Y$13="xr",-LOG(N17,2),0))),0)&lt;=-0.263))</formula>
    </cfRule>
    <cfRule type="expression" priority="15" dxfId="29">
      <formula>AND($M17&lt;&gt;"",AND($Y$13="pts",ISNUMBER(N17)))</formula>
    </cfRule>
    <cfRule type="expression" priority="16" dxfId="12">
      <formula>AND($M17&lt;&gt;"",ISNUMBER(N17))</formula>
    </cfRule>
    <cfRule type="expression" priority="17" dxfId="6">
      <formula>$M17&lt;&gt;""</formula>
    </cfRule>
  </conditionalFormatting>
  <conditionalFormatting sqref="B28:B35">
    <cfRule type="expression" priority="18" dxfId="6">
      <formula>$B28&lt;&gt;""</formula>
    </cfRule>
  </conditionalFormatting>
  <conditionalFormatting sqref="C28:K35">
    <cfRule type="expression" priority="19" dxfId="19">
      <formula>AND($B28&lt;&gt;"",AND($Y$13="pts",AND(ISNUMBER(C28),IFERROR(IF($Y$13="pts",-C28/$Y$14,IF($Y$13="x",LOG(C28,2),IF($Y$13="xr",-LOG(C28,2),0))),0)&gt;=1.0)))</formula>
    </cfRule>
    <cfRule type="expression" priority="20" dxfId="20">
      <formula>AND($B28&lt;&gt;"",AND(ISNUMBER(C28),IFERROR(IF($Y$13="pts",-C28/$Y$14,IF($Y$13="x",LOG(C28,2),IF($Y$13="xr",-LOG(C28,2),0))),0)&gt;=1.0))</formula>
    </cfRule>
    <cfRule type="expression" priority="21" dxfId="21">
      <formula>AND($B28&lt;&gt;"",AND($Y$13="pts",AND(ISNUMBER(C28),IFERROR(IF($Y$13="pts",-C28/$Y$14,IF($Y$13="x",LOG(C28,2),IF($Y$13="xr",-LOG(C28,2),0))),0)&gt;=0.585)))</formula>
    </cfRule>
    <cfRule type="expression" priority="22" dxfId="22">
      <formula>AND($B28&lt;&gt;"",AND(ISNUMBER(C28),IFERROR(IF($Y$13="pts",-C28/$Y$14,IF($Y$13="x",LOG(C28,2),IF($Y$13="xr",-LOG(C28,2),0))),0)&gt;=0.585))</formula>
    </cfRule>
    <cfRule type="expression" priority="23" dxfId="23">
      <formula>AND($B28&lt;&gt;"",AND($Y$13="pts",AND(ISNUMBER(C28),IFERROR(IF($Y$13="pts",-C28/$Y$14,IF($Y$13="x",LOG(C28,2),IF($Y$13="xr",-LOG(C28,2),0))),0)&gt;=0.263)))</formula>
    </cfRule>
    <cfRule type="expression" priority="24" dxfId="24">
      <formula>AND($B28&lt;&gt;"",AND(ISNUMBER(C28),IFERROR(IF($Y$13="pts",-C28/$Y$14,IF($Y$13="x",LOG(C28,2),IF($Y$13="xr",-LOG(C28,2),0))),0)&gt;=0.263))</formula>
    </cfRule>
    <cfRule type="expression" priority="25" dxfId="25">
      <formula>AND($B28&lt;&gt;"",AND($Y$13="pts",AND(ISNUMBER(C28),IFERROR(IF($Y$13="pts",-C28/$Y$14,IF($Y$13="x",LOG(C28,2),IF($Y$13="xr",-LOG(C28,2),0))),0)&lt;=-0.585)))</formula>
    </cfRule>
    <cfRule type="expression" priority="26" dxfId="26">
      <formula>AND($B28&lt;&gt;"",AND(ISNUMBER(C28),IFERROR(IF($Y$13="pts",-C28/$Y$14,IF($Y$13="x",LOG(C28,2),IF($Y$13="xr",-LOG(C28,2),0))),0)&lt;=-0.585))</formula>
    </cfRule>
    <cfRule type="expression" priority="27" dxfId="27">
      <formula>AND($B28&lt;&gt;"",AND($Y$13="pts",AND(ISNUMBER(C28),IFERROR(IF($Y$13="pts",-C28/$Y$14,IF($Y$13="x",LOG(C28,2),IF($Y$13="xr",-LOG(C28,2),0))),0)&lt;=-0.263)))</formula>
    </cfRule>
    <cfRule type="expression" priority="28" dxfId="28">
      <formula>AND($B28&lt;&gt;"",AND(ISNUMBER(C28),IFERROR(IF($Y$13="pts",-C28/$Y$14,IF($Y$13="x",LOG(C28,2),IF($Y$13="xr",-LOG(C28,2),0))),0)&lt;=-0.263))</formula>
    </cfRule>
    <cfRule type="expression" priority="29" dxfId="29">
      <formula>AND($B28&lt;&gt;"",AND($Y$13="pts",ISNUMBER(C28)))</formula>
    </cfRule>
    <cfRule type="expression" priority="30" dxfId="12">
      <formula>AND($B28&lt;&gt;"",ISNUMBER(C28))</formula>
    </cfRule>
    <cfRule type="expression" priority="31" dxfId="6">
      <formula>$B28&lt;&gt;""</formula>
    </cfRule>
  </conditionalFormatting>
  <conditionalFormatting sqref="M28:M35">
    <cfRule type="expression" priority="32" dxfId="6">
      <formula>$M28&lt;&gt;""</formula>
    </cfRule>
  </conditionalFormatting>
  <conditionalFormatting sqref="N28:V35">
    <cfRule type="expression" priority="33" dxfId="30">
      <formula>AND($M28&lt;&gt;"",AND(ISNUMBER(N28),NOT(OR($M28="All",N$27="All")),N28/IF($X$18="","",IF(INDEX('_views'!$B:$ZZ,$X$18,1)="","",INDEX('_views'!$B:$ZZ,$X$18,1)))&gt;=0.2))</formula>
    </cfRule>
    <cfRule type="expression" priority="34" dxfId="31">
      <formula>AND($M28&lt;&gt;"",AND(ISNUMBER(N28),NOT(OR($M28="All",N$27="All")),N28/IF($X$18="","",IF(INDEX('_views'!$B:$ZZ,$X$18,1)="","",INDEX('_views'!$B:$ZZ,$X$18,1)))&gt;=0.1))</formula>
    </cfRule>
    <cfRule type="expression" priority="35" dxfId="32">
      <formula>AND($M28&lt;&gt;"",AND(ISNUMBER(N28),NOT(OR($M28="All",N$27="All")),N28/IF($X$18="","",IF(INDEX('_views'!$B:$ZZ,$X$18,1)="","",INDEX('_views'!$B:$ZZ,$X$18,1)))&gt;=0.05))</formula>
    </cfRule>
    <cfRule type="expression" priority="36" dxfId="33">
      <formula>AND($M28&lt;&gt;"",AND(ISNUMBER(N28),NOT(OR($M28="All",N$27="All")),N28/IF($X$18="","",IF(INDEX('_views'!$B:$ZZ,$X$18,1)="","",INDEX('_views'!$B:$ZZ,$X$18,1)))&gt;=0.02))</formula>
    </cfRule>
    <cfRule type="expression" priority="37" dxfId="6">
      <formula>$M28&lt;&gt;""</formula>
    </cfRule>
  </conditionalFormatting>
  <conditionalFormatting sqref="B52:I78">
    <cfRule type="expression" priority="38" dxfId="34">
      <formula>AND($B52&lt;&gt;"",$B52="Share of the grid")</formula>
    </cfRule>
    <cfRule type="expression" priority="39" dxfId="35">
      <formula>AND($B52&lt;&gt;"",$B52="Every pocket")</formula>
    </cfRule>
    <cfRule type="expression" priority="40" dxfId="6">
      <formula>$B52&lt;&gt;""</formula>
    </cfRule>
  </conditionalFormatting>
  <dataValidations count="4">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='_choices'!$I$2:$I$6</formula1>
    </dataValidation>
    <dataValidation sqref="J13" showDropDown="0" showInputMessage="0" showErrorMessage="1" allowBlank="0" errorTitle="Row" error="Pick one from the list." type="list">
      <formula1>=OFFSET($AE$13,0,0,MAX(1,$AG$13),1)</formula1>
    </dataValidation>
    <dataValidation sqref="N13" showDropDown="0" showInputMessage="0" showErrorMessage="1" allowBlank="0" errorTitle="Column" error="Pick one from the list." type="list">
      <formula1>=OFFSET($AF$13,0,0,MAX(1,$AG$14),1)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R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6" customWidth="1" min="2" max="2"/>
    <col width="12" customWidth="1" min="3" max="3"/>
    <col width="12" customWidth="1" min="4" max="4"/>
    <col width="16" customWidth="1" min="5" max="5"/>
    <col width="20" customWidth="1" min="6" max="6"/>
    <col width="12" customWidth="1" min="7" max="7"/>
    <col width="20" customWidth="1" min="8" max="8"/>
    <col width="16" customWidth="1" min="9" max="9"/>
    <col width="12" customWidth="1" min="10" max="10"/>
    <col width="12" customWidth="1" min="11" max="11"/>
    <col width="12"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in two at its own median REV_DEBT: does the high half do worse?</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59"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f>
        <v/>
      </c>
    </row>
    <row r="8" outlineLevel="1" ht="31"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2026-09-29 21:04.</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33">
        <f>IF($N$15="","",IF(INDEX('_views'!$B:$ZZ,$N$15,1)="","",INDEX('_views'!$B:$ZZ,$N$15,1)))</f>
        <v/>
      </c>
      <c r="E15" s="105">
        <f>IF($N$15="","",IF(INDEX('_views'!$B:$ZZ,$N$15,3)="","",INDEX('_views'!$B:$ZZ,$N$15,3)))</f>
        <v/>
      </c>
      <c r="N15">
        <f>IFERROR(MATCH("S|"&amp;$B$15&amp;"|chip",'_views'!$A:$A,0),"")</f>
        <v/>
      </c>
    </row>
    <row r="17" ht="18" customHeight="1">
      <c r="B17" s="55" t="inlineStr">
        <is>
          <t>Measure</t>
        </is>
      </c>
      <c r="C17" s="56" t="inlineStr">
        <is>
          <t>Pockets</t>
        </is>
      </c>
      <c r="D17" s="56" t="inlineStr">
        <is>
          <t>High half worse in</t>
        </is>
      </c>
      <c r="E17" s="56" t="inlineStr">
        <is>
          <t>High vs low, all</t>
        </is>
      </c>
      <c r="F17" s="56">
        <f>"Range ("&amp;TEXT(confidence,"0%")&amp;" sure)"</f>
        <v/>
      </c>
      <c r="G17" s="56" t="inlineStr">
        <is>
          <t>p-value</t>
        </is>
      </c>
      <c r="H17" s="56" t="inlineStr">
        <is>
          <t>As odds</t>
        </is>
      </c>
      <c r="I17" s="56" t="inlineStr">
        <is>
          <t>p-value, as odds</t>
        </is>
      </c>
    </row>
    <row r="18" ht="16" customHeight="1">
      <c r="B18" s="134">
        <f>IF($N18="","",IF(INDEX('_views'!$B:$ZZ,$N18,1)="","",INDEX('_views'!$B:$ZZ,$N18,1)))</f>
        <v/>
      </c>
      <c r="C18" s="38">
        <f>IF($N18="","",IF(INDEX('_views'!$B:$ZZ,$N18,2)="","",INDEX('_views'!$B:$ZZ,$N18,2)))</f>
        <v/>
      </c>
      <c r="D18" s="38">
        <f>IF($N18="","",IF(INDEX('_views'!$B:$ZZ,$N18,3)="","",INDEX('_views'!$B:$ZZ,$N18,3)))</f>
        <v/>
      </c>
      <c r="E18" s="101">
        <f>IF($N18="","",IF(INDEX('_views'!$B:$ZZ,$N18,4)="","",INDEX('_views'!$B:$ZZ,$N18,4)))</f>
        <v/>
      </c>
      <c r="F18" s="38">
        <f>IF(OR(IF($N18="","",IF(INDEX('_views'!$B:$ZZ,$N18,5)="","",INDEX('_views'!$B:$ZZ,$N18,5)))="",IF($N18="","",IF(INDEX('_views'!$B:$ZZ,$N18,4)="","",INDEX('_views'!$B:$ZZ,$N18,4)))=""),"",IF(IF($N18="","",IF(INDEX('_views'!$B:$ZZ,$N18,6)="","",INDEX('_views'!$B:$ZZ,$N18,6)))="pts",TEXT(IF($N18="","",IF(INDEX('_views'!$B:$ZZ,$N18,4)="","",INDEX('_views'!$B:$ZZ,$N18,4)))-NORMSINV(1-(1-confidence)/2)*IF($N18="","",IF(INDEX('_views'!$B:$ZZ,$N18,5)="","",INDEX('_views'!$B:$ZZ,$N18,5))),"+0.00;-0.00")&amp;" to "&amp;TEXT(IF($N18="","",IF(INDEX('_views'!$B:$ZZ,$N18,4)="","",INDEX('_views'!$B:$ZZ,$N18,4)))+NORMSINV(1-(1-confidence)/2)*IF($N18="","",IF(INDEX('_views'!$B:$ZZ,$N18,5)="","",INDEX('_views'!$B:$ZZ,$N18,5))),"+0.00;-0.00")&amp;" pts",TEXT(MAX(IF($N18="","",IF(INDEX('_views'!$B:$ZZ,$N18,4)="","",INDEX('_views'!$B:$ZZ,$N18,4)))-NORMSINV(1-(1-confidence)/2)*IF($N18="","",IF(INDEX('_views'!$B:$ZZ,$N18,5)="","",INDEX('_views'!$B:$ZZ,$N18,5))),0),"0.00")&amp;"× to "&amp;TEXT(IF($N18="","",IF(INDEX('_views'!$B:$ZZ,$N18,4)="","",INDEX('_views'!$B:$ZZ,$N18,4)))+NORMSINV(1-(1-confidence)/2)*IF($N18="","",IF(INDEX('_views'!$B:$ZZ,$N18,5)="","",INDEX('_views'!$B:$ZZ,$N18,5))),"0.00")&amp;"×"))</f>
        <v/>
      </c>
      <c r="G18" s="135">
        <f>IF($N18="","",IF(INDEX('_views'!$B:$ZZ,$N18,7)="","",INDEX('_views'!$B:$ZZ,$N18,7)))</f>
        <v/>
      </c>
      <c r="H18" s="101">
        <f>IF($N18="","",IF(INDEX('_views'!$B:$ZZ,$N18,8)="","",INDEX('_views'!$B:$ZZ,$N18,8)))</f>
        <v/>
      </c>
      <c r="I18" s="135">
        <f>IF($N18="","",IF(INDEX('_views'!$B:$ZZ,$N18,9)="","",INDEX('_views'!$B:$ZZ,$N18,9)))</f>
        <v/>
      </c>
      <c r="N18">
        <f>IFERROR(MATCH("S|"&amp;$B$15&amp;"|sum|1",'_views'!$A:$A,0),"")</f>
        <v/>
      </c>
    </row>
    <row r="19" ht="16" customHeight="1">
      <c r="B19" s="134">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5">
        <f>IF($N19="","",IF(INDEX('_views'!$B:$ZZ,$N19,7)="","",INDEX('_views'!$B:$ZZ,$N19,7)))</f>
        <v/>
      </c>
      <c r="H19" s="101">
        <f>IF($N19="","",IF(INDEX('_views'!$B:$ZZ,$N19,8)="","",INDEX('_views'!$B:$ZZ,$N19,8)))</f>
        <v/>
      </c>
      <c r="I19" s="135">
        <f>IF($N19="","",IF(INDEX('_views'!$B:$ZZ,$N19,9)="","",INDEX('_views'!$B:$ZZ,$N19,9)))</f>
        <v/>
      </c>
      <c r="N19">
        <f>IFERROR(MATCH("S|"&amp;$B$15&amp;"|sum|2",'_views'!$A:$A,0),"")</f>
        <v/>
      </c>
    </row>
    <row r="20" ht="16" customHeight="1">
      <c r="B20" s="134">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5">
        <f>IF($N20="","",IF(INDEX('_views'!$B:$ZZ,$N20,7)="","",INDEX('_views'!$B:$ZZ,$N20,7)))</f>
        <v/>
      </c>
      <c r="H20" s="101">
        <f>IF($N20="","",IF(INDEX('_views'!$B:$ZZ,$N20,8)="","",INDEX('_views'!$B:$ZZ,$N20,8)))</f>
        <v/>
      </c>
      <c r="I20" s="135">
        <f>IF($N20="","",IF(INDEX('_views'!$B:$ZZ,$N20,9)="","",INDEX('_views'!$B:$ZZ,$N20,9)))</f>
        <v/>
      </c>
      <c r="N20">
        <f>IFERROR(MATCH("S|"&amp;$B$15&amp;"|sum|3",'_views'!$A:$A,0),"")</f>
        <v/>
      </c>
    </row>
    <row r="21" ht="16" customHeight="1">
      <c r="B21" s="134">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5">
        <f>IF($N21="","",IF(INDEX('_views'!$B:$ZZ,$N21,7)="","",INDEX('_views'!$B:$ZZ,$N21,7)))</f>
        <v/>
      </c>
      <c r="H21" s="101">
        <f>IF($N21="","",IF(INDEX('_views'!$B:$ZZ,$N21,8)="","",INDEX('_views'!$B:$ZZ,$N21,8)))</f>
        <v/>
      </c>
      <c r="I21" s="135">
        <f>IF($N21="","",IF(INDEX('_views'!$B:$ZZ,$N21,9)="","",INDEX('_views'!$B:$ZZ,$N21,9)))</f>
        <v/>
      </c>
      <c r="N21">
        <f>IFERROR(MATCH("S|"&amp;$B$15&amp;"|sum|4",'_views'!$A:$A,0),"")</f>
        <v/>
      </c>
    </row>
    <row r="22" ht="16" customHeight="1">
      <c r="B22" s="134">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5">
        <f>IF($N22="","",IF(INDEX('_views'!$B:$ZZ,$N22,7)="","",INDEX('_views'!$B:$ZZ,$N22,7)))</f>
        <v/>
      </c>
      <c r="H22" s="101">
        <f>IF($N22="","",IF(INDEX('_views'!$B:$ZZ,$N22,8)="","",INDEX('_views'!$B:$ZZ,$N22,8)))</f>
        <v/>
      </c>
      <c r="I22" s="135">
        <f>IF($N22="","",IF(INDEX('_views'!$B:$ZZ,$N22,9)="","",INDEX('_views'!$B:$ZZ,$N22,9)))</f>
        <v/>
      </c>
      <c r="N22">
        <f>IFERROR(MATCH("S|"&amp;$B$15&amp;"|sum|5",'_views'!$A:$A,0),"")</f>
        <v/>
      </c>
    </row>
    <row r="23">
      <c r="B23" s="113">
        <f>"Same in every pocket? "&amp;"Bad loans: "&amp;IF(IF($N18="","",IF(INDEX('_views'!$B:$ZZ,$N18,10)="","",INDEX('_views'!$B:$ZZ,$N18,10)))="",IF(IF($N18="","",IF(INDEX('_views'!$B:$ZZ,$N18,11)="","",INDEX('_views'!$B:$ZZ,$N18,11)))="","not tested",IF($N18="","",IF(INDEX('_views'!$B:$ZZ,$N18,11)="","",INDEX('_views'!$B:$ZZ,$N18,11)))),IF(AND(ISNUMBER(IF($N18="","",IF(INDEX('_views'!$B:$ZZ,$N18,10)="","",INDEX('_views'!$B:$ZZ,$N18,10)))),IF($N18="","",IF(INDEX('_views'!$B:$ZZ,$N18,10)="","",INDEX('_views'!$B:$ZZ,$N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O26">
        <f>IFERROR(INDEX('_choices'!$O$2:$O$6,MATCH($B$26,'_choices'!$N$2:$N$6,0)),"")</f>
        <v/>
      </c>
      <c r="P26">
        <f>IF($O$27="","",IF(INDEX('_views'!$B:$ZZ,$O$27,1)="","",INDEX('_views'!$B:$ZZ,$O$27,1)))</f>
        <v/>
      </c>
    </row>
    <row r="27">
      <c r="O27">
        <f>IFERROR(MATCH("S|"&amp;$B$15&amp;"|"&amp;$O$26&amp;"|meta",'_views'!$A:$A,0),"")</f>
        <v/>
      </c>
      <c r="P27">
        <f>IF($O$27="","",IF(INDEX('_views'!$B:$ZZ,$O$27,2)="","",INDEX('_views'!$B:$ZZ,$O$27,2)))</f>
        <v/>
      </c>
    </row>
    <row r="28" ht="20" customHeight="1">
      <c r="B28" s="127">
        <f>$B$26&amp;", high vs low"</f>
        <v/>
      </c>
      <c r="C28" s="26" t="n"/>
      <c r="D28" s="26" t="n"/>
      <c r="E28" s="26" t="n"/>
      <c r="F28" s="26" t="n"/>
      <c r="H28" s="127" t="inlineStr">
        <is>
          <t>p-value per pocket</t>
        </is>
      </c>
      <c r="I28" s="26" t="n"/>
      <c r="J28" s="26" t="n"/>
      <c r="K28" s="26" t="n"/>
      <c r="L28" s="26" t="n"/>
      <c r="O28">
        <f>IFERROR(MATCH("S|"&amp;$B$15&amp;"|rows",'_views'!$A:$A,0),"")</f>
        <v/>
      </c>
    </row>
    <row r="29">
      <c r="B29" s="5" t="n"/>
      <c r="C29" s="30">
        <f>IF($O$29="","",IF(INDEX('_views'!$B:$ZZ,$O$29,1)="","",INDEX('_views'!$B:$ZZ,$O$29,1)))</f>
        <v/>
      </c>
      <c r="D29" s="30">
        <f>IF($O$29="","",IF(INDEX('_views'!$B:$ZZ,$O$29,2)="","",INDEX('_views'!$B:$ZZ,$O$29,2)))</f>
        <v/>
      </c>
      <c r="E29" s="30">
        <f>IF($O$29="","",IF(INDEX('_views'!$B:$ZZ,$O$29,3)="","",INDEX('_views'!$B:$ZZ,$O$29,3)))</f>
        <v/>
      </c>
      <c r="F29" s="30">
        <f>IF($O$29="","",IF(INDEX('_views'!$B:$ZZ,$O$29,4)="","",INDEX('_views'!$B:$ZZ,$O$29,4)))</f>
        <v/>
      </c>
      <c r="H29" s="5" t="n"/>
      <c r="I29" s="30">
        <f>IF($O$29="","",IF(INDEX('_views'!$B:$ZZ,$O$29,1)="","",INDEX('_views'!$B:$ZZ,$O$29,1)))</f>
        <v/>
      </c>
      <c r="J29" s="30">
        <f>IF($O$29="","",IF(INDEX('_views'!$B:$ZZ,$O$29,2)="","",INDEX('_views'!$B:$ZZ,$O$29,2)))</f>
        <v/>
      </c>
      <c r="K29" s="30">
        <f>IF($O$29="","",IF(INDEX('_views'!$B:$ZZ,$O$29,3)="","",INDEX('_views'!$B:$ZZ,$O$29,3)))</f>
        <v/>
      </c>
      <c r="L29" s="30">
        <f>IF($O$29="","",IF(INDEX('_views'!$B:$ZZ,$O$29,4)="","",INDEX('_views'!$B:$ZZ,$O$29,4)))</f>
        <v/>
      </c>
      <c r="O29">
        <f>IFERROR(MATCH("S|"&amp;$B$15&amp;"|cols",'_views'!$A:$A,0),"")</f>
        <v/>
      </c>
    </row>
    <row r="30" ht="16" customHeight="1">
      <c r="B30" s="113">
        <f>IF($O$28="","",IF(INDEX('_views'!$B:$ZZ,$O$28,1)="","",INDEX('_views'!$B:$ZZ,$O$28,1)))</f>
        <v/>
      </c>
      <c r="C30" s="116">
        <f>IF(IF($Q30="","",IF(INDEX('_views'!$B:$ZZ,$Q30,1)="","",INDEX('_views'!$B:$ZZ,$Q30,1)))="","",IF(AND(ISNUMBER(IF($R30="","",IF(INDEX('_views'!$B:$ZZ,$R30,1)="","",INDEX('_views'!$B:$ZZ,$R30,1)))),IF($R30="","",IF(INDEX('_views'!$B:$ZZ,$R30,1)="","",INDEX('_views'!$B:$ZZ,$R30,1)))&lt;significance_bar),IF($Q30="","",IF(INDEX('_views'!$B:$ZZ,$Q30,1)="","",INDEX('_views'!$B:$ZZ,$Q30,1))),IF($P$26="pts","("&amp;TEXT(IF($Q30="","",IF(INDEX('_views'!$B:$ZZ,$Q30,1)="","",INDEX('_views'!$B:$ZZ,$Q30,1))),"+0.00;-0.00")&amp;" pts)","("&amp;TEXT(IF($Q30="","",IF(INDEX('_views'!$B:$ZZ,$Q30,1)="","",INDEX('_views'!$B:$ZZ,$Q30,1))),"0.00")&amp;"×)")))</f>
        <v/>
      </c>
      <c r="D30" s="116">
        <f>IF(IF($Q30="","",IF(INDEX('_views'!$B:$ZZ,$Q30,2)="","",INDEX('_views'!$B:$ZZ,$Q30,2)))="","",IF(AND(ISNUMBER(IF($R30="","",IF(INDEX('_views'!$B:$ZZ,$R30,2)="","",INDEX('_views'!$B:$ZZ,$R30,2)))),IF($R30="","",IF(INDEX('_views'!$B:$ZZ,$R30,2)="","",INDEX('_views'!$B:$ZZ,$R30,2)))&lt;significance_bar),IF($Q30="","",IF(INDEX('_views'!$B:$ZZ,$Q30,2)="","",INDEX('_views'!$B:$ZZ,$Q30,2))),IF($P$26="pts","("&amp;TEXT(IF($Q30="","",IF(INDEX('_views'!$B:$ZZ,$Q30,2)="","",INDEX('_views'!$B:$ZZ,$Q30,2))),"+0.00;-0.00")&amp;" pts)","("&amp;TEXT(IF($Q30="","",IF(INDEX('_views'!$B:$ZZ,$Q30,2)="","",INDEX('_views'!$B:$ZZ,$Q30,2))),"0.00")&amp;"×)")))</f>
        <v/>
      </c>
      <c r="E30" s="116">
        <f>IF(IF($Q30="","",IF(INDEX('_views'!$B:$ZZ,$Q30,3)="","",INDEX('_views'!$B:$ZZ,$Q30,3)))="","",IF(AND(ISNUMBER(IF($R30="","",IF(INDEX('_views'!$B:$ZZ,$R30,3)="","",INDEX('_views'!$B:$ZZ,$R30,3)))),IF($R30="","",IF(INDEX('_views'!$B:$ZZ,$R30,3)="","",INDEX('_views'!$B:$ZZ,$R30,3)))&lt;significance_bar),IF($Q30="","",IF(INDEX('_views'!$B:$ZZ,$Q30,3)="","",INDEX('_views'!$B:$ZZ,$Q30,3))),IF($P$26="pts","("&amp;TEXT(IF($Q30="","",IF(INDEX('_views'!$B:$ZZ,$Q30,3)="","",INDEX('_views'!$B:$ZZ,$Q30,3))),"+0.00;-0.00")&amp;" pts)","("&amp;TEXT(IF($Q30="","",IF(INDEX('_views'!$B:$ZZ,$Q30,3)="","",INDEX('_views'!$B:$ZZ,$Q30,3))),"0.00")&amp;"×)")))</f>
        <v/>
      </c>
      <c r="F30" s="116">
        <f>IF(IF($Q30="","",IF(INDEX('_views'!$B:$ZZ,$Q30,4)="","",INDEX('_views'!$B:$ZZ,$Q30,4)))="","",IF(AND(ISNUMBER(IF($R30="","",IF(INDEX('_views'!$B:$ZZ,$R30,4)="","",INDEX('_views'!$B:$ZZ,$R30,4)))),IF($R30="","",IF(INDEX('_views'!$B:$ZZ,$R30,4)="","",INDEX('_views'!$B:$ZZ,$R30,4)))&lt;significance_bar),IF($Q30="","",IF(INDEX('_views'!$B:$ZZ,$Q30,4)="","",INDEX('_views'!$B:$ZZ,$Q30,4))),IF($P$26="pts","("&amp;TEXT(IF($Q30="","",IF(INDEX('_views'!$B:$ZZ,$Q30,4)="","",INDEX('_views'!$B:$ZZ,$Q30,4))),"+0.00;-0.00")&amp;" pts)","("&amp;TEXT(IF($Q30="","",IF(INDEX('_views'!$B:$ZZ,$Q30,4)="","",INDEX('_views'!$B:$ZZ,$Q30,4))),"0.00")&amp;"×)")))</f>
        <v/>
      </c>
      <c r="H30" s="113">
        <f>IF($O$28="","",IF(INDEX('_views'!$B:$ZZ,$O$28,1)="","",INDEX('_views'!$B:$ZZ,$O$28,1)))</f>
        <v/>
      </c>
      <c r="I30" s="118">
        <f>IF($R30="","",IF(INDEX('_views'!$B:$ZZ,$R30,1)="","",INDEX('_views'!$B:$ZZ,$R30,1)))</f>
        <v/>
      </c>
      <c r="J30" s="118">
        <f>IF($R30="","",IF(INDEX('_views'!$B:$ZZ,$R30,2)="","",INDEX('_views'!$B:$ZZ,$R30,2)))</f>
        <v/>
      </c>
      <c r="K30" s="118">
        <f>IF($R30="","",IF(INDEX('_views'!$B:$ZZ,$R30,3)="","",INDEX('_views'!$B:$ZZ,$R30,3)))</f>
        <v/>
      </c>
      <c r="L30" s="118">
        <f>IF($R30="","",IF(INDEX('_views'!$B:$ZZ,$R30,4)="","",INDEX('_views'!$B:$ZZ,$R30,4)))</f>
        <v/>
      </c>
      <c r="Q30">
        <f>IFERROR(MATCH("S|"&amp;$B$15&amp;"|"&amp;$O$26&amp;"|v|1",'_views'!$A:$A,0),"")</f>
        <v/>
      </c>
      <c r="R30">
        <f>IFERROR(MATCH("S|"&amp;$B$15&amp;"|"&amp;$O$26&amp;"|p|1",'_views'!$A:$A,0),"")</f>
        <v/>
      </c>
    </row>
    <row r="31" ht="16" customHeight="1">
      <c r="B31" s="113">
        <f>IF($O$28="","",IF(INDEX('_views'!$B:$ZZ,$O$28,2)="","",INDEX('_views'!$B:$ZZ,$O$28,2)))</f>
        <v/>
      </c>
      <c r="C31" s="116">
        <f>IF(IF($Q31="","",IF(INDEX('_views'!$B:$ZZ,$Q31,1)="","",INDEX('_views'!$B:$ZZ,$Q31,1)))="","",IF(AND(ISNUMBER(IF($R31="","",IF(INDEX('_views'!$B:$ZZ,$R31,1)="","",INDEX('_views'!$B:$ZZ,$R31,1)))),IF($R31="","",IF(INDEX('_views'!$B:$ZZ,$R31,1)="","",INDEX('_views'!$B:$ZZ,$R31,1)))&lt;significance_bar),IF($Q31="","",IF(INDEX('_views'!$B:$ZZ,$Q31,1)="","",INDEX('_views'!$B:$ZZ,$Q31,1))),IF($P$26="pts","("&amp;TEXT(IF($Q31="","",IF(INDEX('_views'!$B:$ZZ,$Q31,1)="","",INDEX('_views'!$B:$ZZ,$Q31,1))),"+0.00;-0.00")&amp;" pts)","("&amp;TEXT(IF($Q31="","",IF(INDEX('_views'!$B:$ZZ,$Q31,1)="","",INDEX('_views'!$B:$ZZ,$Q31,1))),"0.00")&amp;"×)")))</f>
        <v/>
      </c>
      <c r="D31" s="116">
        <f>IF(IF($Q31="","",IF(INDEX('_views'!$B:$ZZ,$Q31,2)="","",INDEX('_views'!$B:$ZZ,$Q31,2)))="","",IF(AND(ISNUMBER(IF($R31="","",IF(INDEX('_views'!$B:$ZZ,$R31,2)="","",INDEX('_views'!$B:$ZZ,$R31,2)))),IF($R31="","",IF(INDEX('_views'!$B:$ZZ,$R31,2)="","",INDEX('_views'!$B:$ZZ,$R31,2)))&lt;significance_bar),IF($Q31="","",IF(INDEX('_views'!$B:$ZZ,$Q31,2)="","",INDEX('_views'!$B:$ZZ,$Q31,2))),IF($P$26="pts","("&amp;TEXT(IF($Q31="","",IF(INDEX('_views'!$B:$ZZ,$Q31,2)="","",INDEX('_views'!$B:$ZZ,$Q31,2))),"+0.00;-0.00")&amp;" pts)","("&amp;TEXT(IF($Q31="","",IF(INDEX('_views'!$B:$ZZ,$Q31,2)="","",INDEX('_views'!$B:$ZZ,$Q31,2))),"0.00")&amp;"×)")))</f>
        <v/>
      </c>
      <c r="E31" s="116">
        <f>IF(IF($Q31="","",IF(INDEX('_views'!$B:$ZZ,$Q31,3)="","",INDEX('_views'!$B:$ZZ,$Q31,3)))="","",IF(AND(ISNUMBER(IF($R31="","",IF(INDEX('_views'!$B:$ZZ,$R31,3)="","",INDEX('_views'!$B:$ZZ,$R31,3)))),IF($R31="","",IF(INDEX('_views'!$B:$ZZ,$R31,3)="","",INDEX('_views'!$B:$ZZ,$R31,3)))&lt;significance_bar),IF($Q31="","",IF(INDEX('_views'!$B:$ZZ,$Q31,3)="","",INDEX('_views'!$B:$ZZ,$Q31,3))),IF($P$26="pts","("&amp;TEXT(IF($Q31="","",IF(INDEX('_views'!$B:$ZZ,$Q31,3)="","",INDEX('_views'!$B:$ZZ,$Q31,3))),"+0.00;-0.00")&amp;" pts)","("&amp;TEXT(IF($Q31="","",IF(INDEX('_views'!$B:$ZZ,$Q31,3)="","",INDEX('_views'!$B:$ZZ,$Q31,3))),"0.00")&amp;"×)")))</f>
        <v/>
      </c>
      <c r="F31" s="116">
        <f>IF(IF($Q31="","",IF(INDEX('_views'!$B:$ZZ,$Q31,4)="","",INDEX('_views'!$B:$ZZ,$Q31,4)))="","",IF(AND(ISNUMBER(IF($R31="","",IF(INDEX('_views'!$B:$ZZ,$R31,4)="","",INDEX('_views'!$B:$ZZ,$R31,4)))),IF($R31="","",IF(INDEX('_views'!$B:$ZZ,$R31,4)="","",INDEX('_views'!$B:$ZZ,$R31,4)))&lt;significance_bar),IF($Q31="","",IF(INDEX('_views'!$B:$ZZ,$Q31,4)="","",INDEX('_views'!$B:$ZZ,$Q31,4))),IF($P$26="pts","("&amp;TEXT(IF($Q31="","",IF(INDEX('_views'!$B:$ZZ,$Q31,4)="","",INDEX('_views'!$B:$ZZ,$Q31,4))),"+0.00;-0.00")&amp;" pts)","("&amp;TEXT(IF($Q31="","",IF(INDEX('_views'!$B:$ZZ,$Q31,4)="","",INDEX('_views'!$B:$ZZ,$Q31,4))),"0.00")&amp;"×)")))</f>
        <v/>
      </c>
      <c r="H31" s="113">
        <f>IF($O$28="","",IF(INDEX('_views'!$B:$ZZ,$O$28,2)="","",INDEX('_views'!$B:$ZZ,$O$28,2)))</f>
        <v/>
      </c>
      <c r="I31" s="118">
        <f>IF($R31="","",IF(INDEX('_views'!$B:$ZZ,$R31,1)="","",INDEX('_views'!$B:$ZZ,$R31,1)))</f>
        <v/>
      </c>
      <c r="J31" s="118">
        <f>IF($R31="","",IF(INDEX('_views'!$B:$ZZ,$R31,2)="","",INDEX('_views'!$B:$ZZ,$R31,2)))</f>
        <v/>
      </c>
      <c r="K31" s="118">
        <f>IF($R31="","",IF(INDEX('_views'!$B:$ZZ,$R31,3)="","",INDEX('_views'!$B:$ZZ,$R31,3)))</f>
        <v/>
      </c>
      <c r="L31" s="118">
        <f>IF($R31="","",IF(INDEX('_views'!$B:$ZZ,$R31,4)="","",INDEX('_views'!$B:$ZZ,$R31,4)))</f>
        <v/>
      </c>
      <c r="Q31">
        <f>IFERROR(MATCH("S|"&amp;$B$15&amp;"|"&amp;$O$26&amp;"|v|2",'_views'!$A:$A,0),"")</f>
        <v/>
      </c>
      <c r="R31">
        <f>IFERROR(MATCH("S|"&amp;$B$15&amp;"|"&amp;$O$26&amp;"|p|2",'_views'!$A:$A,0),"")</f>
        <v/>
      </c>
    </row>
    <row r="32" ht="16" customHeight="1">
      <c r="B32" s="113">
        <f>IF($O$28="","",IF(INDEX('_views'!$B:$ZZ,$O$28,3)="","",INDEX('_views'!$B:$ZZ,$O$28,3)))</f>
        <v/>
      </c>
      <c r="C32" s="116">
        <f>IF(IF($Q32="","",IF(INDEX('_views'!$B:$ZZ,$Q32,1)="","",INDEX('_views'!$B:$ZZ,$Q32,1)))="","",IF(AND(ISNUMBER(IF($R32="","",IF(INDEX('_views'!$B:$ZZ,$R32,1)="","",INDEX('_views'!$B:$ZZ,$R32,1)))),IF($R32="","",IF(INDEX('_views'!$B:$ZZ,$R32,1)="","",INDEX('_views'!$B:$ZZ,$R32,1)))&lt;significance_bar),IF($Q32="","",IF(INDEX('_views'!$B:$ZZ,$Q32,1)="","",INDEX('_views'!$B:$ZZ,$Q32,1))),IF($P$26="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$26="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$26="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$26="pts","("&amp;TEXT(IF($Q32="","",IF(INDEX('_views'!$B:$ZZ,$Q32,4)="","",INDEX('_views'!$B:$ZZ,$Q32,4))),"+0.00;-0.00")&amp;" pts)","("&amp;TEXT(IF($Q32="","",IF(INDEX('_views'!$B:$ZZ,$Q32,4)="","",INDEX('_views'!$B:$ZZ,$Q32,4))),"0.00")&amp;"×)")))</f>
        <v/>
      </c>
      <c r="H32" s="113">
        <f>IF($O$28="","",IF(INDEX('_views'!$B:$ZZ,$O$28,3)="","",INDEX('_views'!$B:$ZZ,$O$28,3)))</f>
        <v/>
      </c>
      <c r="I32" s="118">
        <f>IF($R32="","",IF(INDEX('_views'!$B:$ZZ,$R32,1)="","",INDEX('_views'!$B:$ZZ,$R32,1)))</f>
        <v/>
      </c>
      <c r="J32" s="118">
        <f>IF($R32="","",IF(INDEX('_views'!$B:$ZZ,$R32,2)="","",INDEX('_views'!$B:$ZZ,$R32,2)))</f>
        <v/>
      </c>
      <c r="K32" s="118">
        <f>IF($R32="","",IF(INDEX('_views'!$B:$ZZ,$R32,3)="","",INDEX('_views'!$B:$ZZ,$R32,3)))</f>
        <v/>
      </c>
      <c r="L32" s="118">
        <f>IF($R32="","",IF(INDEX('_views'!$B:$ZZ,$R32,4)="","",INDEX('_views'!$B:$ZZ,$R32,4)))</f>
        <v/>
      </c>
      <c r="Q32">
        <f>IFERROR(MATCH("S|"&amp;$B$15&amp;"|"&amp;$O$26&amp;"|v|3",'_views'!$A:$A,0),"")</f>
        <v/>
      </c>
      <c r="R32">
        <f>IFERROR(MATCH("S|"&amp;$B$15&amp;"|"&amp;$O$26&amp;"|p|3",'_views'!$A:$A,0),"")</f>
        <v/>
      </c>
    </row>
    <row r="33" ht="16" customHeight="1">
      <c r="B33" s="113">
        <f>IF($O$28="","",IF(INDEX('_views'!$B:$ZZ,$O$28,4)="","",INDEX('_views'!$B:$ZZ,$O$28,4)))</f>
        <v/>
      </c>
      <c r="C33" s="116">
        <f>IF(IF($Q33="","",IF(INDEX('_views'!$B:$ZZ,$Q33,1)="","",INDEX('_views'!$B:$ZZ,$Q33,1)))="","",IF(AND(ISNUMBER(IF($R33="","",IF(INDEX('_views'!$B:$ZZ,$R33,1)="","",INDEX('_views'!$B:$ZZ,$R33,1)))),IF($R33="","",IF(INDEX('_views'!$B:$ZZ,$R33,1)="","",INDEX('_views'!$B:$ZZ,$R33,1)))&lt;significance_bar),IF($Q33="","",IF(INDEX('_views'!$B:$ZZ,$Q33,1)="","",INDEX('_views'!$B:$ZZ,$Q33,1))),IF($P$26="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$26="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$26="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$26="pts","("&amp;TEXT(IF($Q33="","",IF(INDEX('_views'!$B:$ZZ,$Q33,4)="","",INDEX('_views'!$B:$ZZ,$Q33,4))),"+0.00;-0.00")&amp;" pts)","("&amp;TEXT(IF($Q33="","",IF(INDEX('_views'!$B:$ZZ,$Q33,4)="","",INDEX('_views'!$B:$ZZ,$Q33,4))),"0.00")&amp;"×)")))</f>
        <v/>
      </c>
      <c r="H33" s="113">
        <f>IF($O$28="","",IF(INDEX('_views'!$B:$ZZ,$O$28,4)="","",INDEX('_views'!$B:$ZZ,$O$28,4)))</f>
        <v/>
      </c>
      <c r="I33" s="118">
        <f>IF($R33="","",IF(INDEX('_views'!$B:$ZZ,$R33,1)="","",INDEX('_views'!$B:$ZZ,$R33,1)))</f>
        <v/>
      </c>
      <c r="J33" s="118">
        <f>IF($R33="","",IF(INDEX('_views'!$B:$ZZ,$R33,2)="","",INDEX('_views'!$B:$ZZ,$R33,2)))</f>
        <v/>
      </c>
      <c r="K33" s="118">
        <f>IF($R33="","",IF(INDEX('_views'!$B:$ZZ,$R33,3)="","",INDEX('_views'!$B:$ZZ,$R33,3)))</f>
        <v/>
      </c>
      <c r="L33" s="118">
        <f>IF($R33="","",IF(INDEX('_views'!$B:$ZZ,$R33,4)="","",INDEX('_views'!$B:$ZZ,$R33,4)))</f>
        <v/>
      </c>
      <c r="Q33">
        <f>IFERROR(MATCH("S|"&amp;$B$15&amp;"|"&amp;$O$26&amp;"|v|4",'_views'!$A:$A,0),"")</f>
        <v/>
      </c>
      <c r="R33">
        <f>IFERROR(MATCH("S|"&amp;$B$15&amp;"|"&amp;$O$26&amp;"|p|4",'_views'!$A:$A,0),"")</f>
        <v/>
      </c>
    </row>
    <row r="34" ht="16" customHeight="1">
      <c r="B34" s="113">
        <f>IF($O$28="","",IF(INDEX('_views'!$B:$ZZ,$O$28,5)="","",INDEX('_views'!$B:$ZZ,$O$28,5)))</f>
        <v/>
      </c>
      <c r="C34" s="116">
        <f>IF(IF($Q34="","",IF(INDEX('_views'!$B:$ZZ,$Q34,1)="","",INDEX('_views'!$B:$ZZ,$Q34,1)))="","",IF(AND(ISNUMBER(IF($R34="","",IF(INDEX('_views'!$B:$ZZ,$R34,1)="","",INDEX('_views'!$B:$ZZ,$R34,1)))),IF($R34="","",IF(INDEX('_views'!$B:$ZZ,$R34,1)="","",INDEX('_views'!$B:$ZZ,$R34,1)))&lt;significance_bar),IF($Q34="","",IF(INDEX('_views'!$B:$ZZ,$Q34,1)="","",INDEX('_views'!$B:$ZZ,$Q34,1))),IF($P$26="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$26="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$26="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$26="pts","("&amp;TEXT(IF($Q34="","",IF(INDEX('_views'!$B:$ZZ,$Q34,4)="","",INDEX('_views'!$B:$ZZ,$Q34,4))),"+0.00;-0.00")&amp;" pts)","("&amp;TEXT(IF($Q34="","",IF(INDEX('_views'!$B:$ZZ,$Q34,4)="","",INDEX('_views'!$B:$ZZ,$Q34,4))),"0.00")&amp;"×)")))</f>
        <v/>
      </c>
      <c r="H34" s="113">
        <f>IF($O$28="","",IF(INDEX('_views'!$B:$ZZ,$O$28,5)="","",INDEX('_views'!$B:$ZZ,$O$28,5)))</f>
        <v/>
      </c>
      <c r="I34" s="118">
        <f>IF($R34="","",IF(INDEX('_views'!$B:$ZZ,$R34,1)="","",INDEX('_views'!$B:$ZZ,$R34,1)))</f>
        <v/>
      </c>
      <c r="J34" s="118">
        <f>IF($R34="","",IF(INDEX('_views'!$B:$ZZ,$R34,2)="","",INDEX('_views'!$B:$ZZ,$R34,2)))</f>
        <v/>
      </c>
      <c r="K34" s="118">
        <f>IF($R34="","",IF(INDEX('_views'!$B:$ZZ,$R34,3)="","",INDEX('_views'!$B:$ZZ,$R34,3)))</f>
        <v/>
      </c>
      <c r="L34" s="118">
        <f>IF($R34="","",IF(INDEX('_views'!$B:$ZZ,$R34,4)="","",INDEX('_views'!$B:$ZZ,$R34,4)))</f>
        <v/>
      </c>
      <c r="Q34">
        <f>IFERROR(MATCH("S|"&amp;$B$15&amp;"|"&amp;$O$26&amp;"|v|5",'_views'!$A:$A,0),"")</f>
        <v/>
      </c>
      <c r="R34">
        <f>IFERROR(MATCH("S|"&amp;$B$15&amp;"|"&amp;$O$26&amp;"|p|5",'_views'!$A:$A,0),"")</f>
        <v/>
      </c>
    </row>
    <row r="35" ht="16" customHeight="1">
      <c r="B35" s="113">
        <f>IF($O$28="","",IF(INDEX('_views'!$B:$ZZ,$O$28,6)="","",INDEX('_views'!$B:$ZZ,$O$28,6)))</f>
        <v/>
      </c>
      <c r="C35" s="116">
        <f>IF(IF($Q35="","",IF(INDEX('_views'!$B:$ZZ,$Q35,1)="","",INDEX('_views'!$B:$ZZ,$Q35,1)))="","",IF(AND(ISNUMBER(IF($R35="","",IF(INDEX('_views'!$B:$ZZ,$R35,1)="","",INDEX('_views'!$B:$ZZ,$R35,1)))),IF($R35="","",IF(INDEX('_views'!$B:$ZZ,$R35,1)="","",INDEX('_views'!$B:$ZZ,$R35,1)))&lt;significance_bar),IF($Q35="","",IF(INDEX('_views'!$B:$ZZ,$Q35,1)="","",INDEX('_views'!$B:$ZZ,$Q35,1))),IF($P$26="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$26="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$26="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$26="pts","("&amp;TEXT(IF($Q35="","",IF(INDEX('_views'!$B:$ZZ,$Q35,4)="","",INDEX('_views'!$B:$ZZ,$Q35,4))),"+0.00;-0.00")&amp;" pts)","("&amp;TEXT(IF($Q35="","",IF(INDEX('_views'!$B:$ZZ,$Q35,4)="","",INDEX('_views'!$B:$ZZ,$Q35,4))),"0.00")&amp;"×)")))</f>
        <v/>
      </c>
      <c r="H35" s="113">
        <f>IF($O$28="","",IF(INDEX('_views'!$B:$ZZ,$O$28,6)="","",INDEX('_views'!$B:$ZZ,$O$28,6)))</f>
        <v/>
      </c>
      <c r="I35" s="118">
        <f>IF($R35="","",IF(INDEX('_views'!$B:$ZZ,$R35,1)="","",INDEX('_views'!$B:$ZZ,$R35,1)))</f>
        <v/>
      </c>
      <c r="J35" s="118">
        <f>IF($R35="","",IF(INDEX('_views'!$B:$ZZ,$R35,2)="","",INDEX('_views'!$B:$ZZ,$R35,2)))</f>
        <v/>
      </c>
      <c r="K35" s="118">
        <f>IF($R35="","",IF(INDEX('_views'!$B:$ZZ,$R35,3)="","",INDEX('_views'!$B:$ZZ,$R35,3)))</f>
        <v/>
      </c>
      <c r="L35" s="118">
        <f>IF($R35="","",IF(INDEX('_views'!$B:$ZZ,$R35,4)="","",INDEX('_views'!$B:$ZZ,$R35,4)))</f>
        <v/>
      </c>
      <c r="Q35">
        <f>IFERROR(MATCH("S|"&amp;$B$15&amp;"|"&amp;$O$26&amp;"|v|6",'_views'!$A:$A,0),"")</f>
        <v/>
      </c>
      <c r="R35">
        <f>IFERROR(MATCH("S|"&amp;$B$15&amp;"|"&amp;$O$26&amp;"|p|6",'_views'!$A:$A,0),"")</f>
        <v/>
      </c>
    </row>
    <row r="36" ht="16" customHeight="1">
      <c r="B36" s="113">
        <f>IF($O$28="","",IF(INDEX('_views'!$B:$ZZ,$O$28,7)="","",INDEX('_views'!$B:$ZZ,$O$28,7)))</f>
        <v/>
      </c>
      <c r="C36" s="116">
        <f>IF(IF($Q36="","",IF(INDEX('_views'!$B:$ZZ,$Q36,1)="","",INDEX('_views'!$B:$ZZ,$Q36,1)))="","",IF(AND(ISNUMBER(IF($R36="","",IF(INDEX('_views'!$B:$ZZ,$R36,1)="","",INDEX('_views'!$B:$ZZ,$R36,1)))),IF($R36="","",IF(INDEX('_views'!$B:$ZZ,$R36,1)="","",INDEX('_views'!$B:$ZZ,$R36,1)))&lt;significance_bar),IF($Q36="","",IF(INDEX('_views'!$B:$ZZ,$Q36,1)="","",INDEX('_views'!$B:$ZZ,$Q36,1))),IF($P$26="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$26="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$26="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$26="pts","("&amp;TEXT(IF($Q36="","",IF(INDEX('_views'!$B:$ZZ,$Q36,4)="","",INDEX('_views'!$B:$ZZ,$Q36,4))),"+0.00;-0.00")&amp;" pts)","("&amp;TEXT(IF($Q36="","",IF(INDEX('_views'!$B:$ZZ,$Q36,4)="","",INDEX('_views'!$B:$ZZ,$Q36,4))),"0.00")&amp;"×)")))</f>
        <v/>
      </c>
      <c r="H36" s="113">
        <f>IF($O$28="","",IF(INDEX('_views'!$B:$ZZ,$O$28,7)="","",INDEX('_views'!$B:$ZZ,$O$28,7)))</f>
        <v/>
      </c>
      <c r="I36" s="118">
        <f>IF($R36="","",IF(INDEX('_views'!$B:$ZZ,$R36,1)="","",INDEX('_views'!$B:$ZZ,$R36,1)))</f>
        <v/>
      </c>
      <c r="J36" s="118">
        <f>IF($R36="","",IF(INDEX('_views'!$B:$ZZ,$R36,2)="","",INDEX('_views'!$B:$ZZ,$R36,2)))</f>
        <v/>
      </c>
      <c r="K36" s="118">
        <f>IF($R36="","",IF(INDEX('_views'!$B:$ZZ,$R36,3)="","",INDEX('_views'!$B:$ZZ,$R36,3)))</f>
        <v/>
      </c>
      <c r="L36" s="118">
        <f>IF($R36="","",IF(INDEX('_views'!$B:$ZZ,$R36,4)="","",INDEX('_views'!$B:$ZZ,$R36,4)))</f>
        <v/>
      </c>
      <c r="Q36">
        <f>IFERROR(MATCH("S|"&amp;$B$15&amp;"|"&amp;$O$26&amp;"|v|7",'_views'!$A:$A,0),"")</f>
        <v/>
      </c>
      <c r="R36">
        <f>IFERROR(MATCH("S|"&amp;$B$15&amp;"|"&amp;$O$26&amp;"|p|7",'_views'!$A:$A,0),"")</f>
        <v/>
      </c>
    </row>
  </sheetData>
  <mergeCells count="13">
    <mergeCell ref="C5:L5"/>
    <mergeCell ref="G12:H12"/>
    <mergeCell ref="C8:L8"/>
    <mergeCell ref="C9:L9"/>
    <mergeCell ref="C4:L4"/>
    <mergeCell ref="C15:D15"/>
    <mergeCell ref="G11:H11"/>
    <mergeCell ref="I12:L12"/>
    <mergeCell ref="E15:L15"/>
    <mergeCell ref="C7:L7"/>
    <mergeCell ref="C6:L6"/>
    <mergeCell ref="I11:L11"/>
    <mergeCell ref="B23:L23"/>
  </mergeCells>
  <conditionalFormatting sqref="C15:D15">
    <cfRule type="expression" priority="1" dxfId="36">
      <formula>IF($N$15="","",IF(INDEX('_views'!$B:$ZZ,$N$15,2)="","",INDEX('_views'!$B:$ZZ,$N$15,2)))=1</formula>
    </cfRule>
    <cfRule type="expression" priority="2" dxfId="3">
      <formula>IF($N$15="","",IF(INDEX('_views'!$B:$ZZ,$N$15,2)="","",INDEX('_views'!$B:$ZZ,$N$15,2)))=0</formula>
    </cfRule>
  </conditionalFormatting>
  <conditionalFormatting sqref="E18">
    <cfRule type="expression" priority="3" dxfId="37">
      <formula>AND(IF($N18="","",IF(INDEX('_views'!$B:$ZZ,$N18,6)="","",INDEX('_views'!$B:$ZZ,$N18,6)))="pts",AND(ISNUMBER(E18),IFERROR(IF(IF($N18="","",IF(INDEX('_views'!$B:$ZZ,$N18,6)="","",INDEX('_views'!$B:$ZZ,$N18,6)))="pts",-E18/1,IF(IF($N18="","",IF(INDEX('_views'!$B:$ZZ,$N18,6)="","",INDEX('_views'!$B:$ZZ,$N18,6)))="x",LOG(E18,2),IF(IF($N18="","",IF(INDEX('_views'!$B:$ZZ,$N18,6)="","",INDEX('_views'!$B:$ZZ,$N18,6)))="xr",-LOG(E18,2),0))),0)&gt;=1.0))</formula>
    </cfRule>
    <cfRule type="expression" priority="4" dxfId="38">
      <formula>AND(ISNUMBER(E18),IFERROR(IF(IF($N18="","",IF(INDEX('_views'!$B:$ZZ,$N18,6)="","",INDEX('_views'!$B:$ZZ,$N18,6)))="pts",-E18/1,IF(IF($N18="","",IF(INDEX('_views'!$B:$ZZ,$N18,6)="","",INDEX('_views'!$B:$ZZ,$N18,6)))="x",LOG(E18,2),IF(IF($N18="","",IF(INDEX('_views'!$B:$ZZ,$N18,6)="","",INDEX('_views'!$B:$ZZ,$N18,6)))="xr",-LOG(E18,2),0))),0)&gt;=1.0)</formula>
    </cfRule>
    <cfRule type="expression" priority="5" dxfId="39">
      <formula>AND(IF($N18="","",IF(INDEX('_views'!$B:$ZZ,$N18,6)="","",INDEX('_views'!$B:$ZZ,$N18,6)))="pts",AND(ISNUMBER(E18),IFERROR(IF(IF($N18="","",IF(INDEX('_views'!$B:$ZZ,$N18,6)="","",INDEX('_views'!$B:$ZZ,$N18,6)))="pts",-E18/1,IF(IF($N18="","",IF(INDEX('_views'!$B:$ZZ,$N18,6)="","",INDEX('_views'!$B:$ZZ,$N18,6)))="x",LOG(E18,2),IF(IF($N18="","",IF(INDEX('_views'!$B:$ZZ,$N18,6)="","",INDEX('_views'!$B:$ZZ,$N18,6)))="xr",-LOG(E18,2),0))),0)&gt;=0.585))</formula>
    </cfRule>
    <cfRule type="expression" priority="6" dxfId="40">
      <formula>AND(ISNUMBER(E18),IFERROR(IF(IF($N18="","",IF(INDEX('_views'!$B:$ZZ,$N18,6)="","",INDEX('_views'!$B:$ZZ,$N18,6)))="pts",-E18/1,IF(IF($N18="","",IF(INDEX('_views'!$B:$ZZ,$N18,6)="","",INDEX('_views'!$B:$ZZ,$N18,6)))="x",LOG(E18,2),IF(IF($N18="","",IF(INDEX('_views'!$B:$ZZ,$N18,6)="","",INDEX('_views'!$B:$ZZ,$N18,6)))="xr",-LOG(E18,2),0))),0)&gt;=0.585)</formula>
    </cfRule>
    <cfRule type="expression" priority="7" dxfId="41">
      <formula>AND(IF($N18="","",IF(INDEX('_views'!$B:$ZZ,$N18,6)="","",INDEX('_views'!$B:$ZZ,$N18,6)))="pts",AND(ISNUMBER(E18),IFERROR(IF(IF($N18="","",IF(INDEX('_views'!$B:$ZZ,$N18,6)="","",INDEX('_views'!$B:$ZZ,$N18,6)))="pts",-E18/1,IF(IF($N18="","",IF(INDEX('_views'!$B:$ZZ,$N18,6)="","",INDEX('_views'!$B:$ZZ,$N18,6)))="x",LOG(E18,2),IF(IF($N18="","",IF(INDEX('_views'!$B:$ZZ,$N18,6)="","",INDEX('_views'!$B:$ZZ,$N18,6)))="xr",-LOG(E18,2),0))),0)&gt;=0.263))</formula>
    </cfRule>
    <cfRule type="expression" priority="8" dxfId="42">
      <formula>AND(ISNUMBER(E18),IFERROR(IF(IF($N18="","",IF(INDEX('_views'!$B:$ZZ,$N18,6)="","",INDEX('_views'!$B:$ZZ,$N18,6)))="pts",-E18/1,IF(IF($N18="","",IF(INDEX('_views'!$B:$ZZ,$N18,6)="","",INDEX('_views'!$B:$ZZ,$N18,6)))="x",LOG(E18,2),IF(IF($N18="","",IF(INDEX('_views'!$B:$ZZ,$N18,6)="","",INDEX('_views'!$B:$ZZ,$N18,6)))="xr",-LOG(E18,2),0))),0)&gt;=0.263)</formula>
    </cfRule>
    <cfRule type="expression" priority="9" dxfId="43">
      <formula>AND(IF($N18="","",IF(INDEX('_views'!$B:$ZZ,$N18,6)="","",INDEX('_views'!$B:$ZZ,$N18,6)))="pts",AND(ISNUMBER(E18),IFERROR(IF(IF($N18="","",IF(INDEX('_views'!$B:$ZZ,$N18,6)="","",INDEX('_views'!$B:$ZZ,$N18,6)))="pts",-E18/1,IF(IF($N18="","",IF(INDEX('_views'!$B:$ZZ,$N18,6)="","",INDEX('_views'!$B:$ZZ,$N18,6)))="x",LOG(E18,2),IF(IF($N18="","",IF(INDEX('_views'!$B:$ZZ,$N18,6)="","",INDEX('_views'!$B:$ZZ,$N18,6)))="xr",-LOG(E18,2),0))),0)&lt;=-0.585))</formula>
    </cfRule>
    <cfRule type="expression" priority="10" dxfId="44">
      <formula>AND(ISNUMBER(E18),IFERROR(IF(IF($N18="","",IF(INDEX('_views'!$B:$ZZ,$N18,6)="","",INDEX('_views'!$B:$ZZ,$N18,6)))="pts",-E18/1,IF(IF($N18="","",IF(INDEX('_views'!$B:$ZZ,$N18,6)="","",INDEX('_views'!$B:$ZZ,$N18,6)))="x",LOG(E18,2),IF(IF($N18="","",IF(INDEX('_views'!$B:$ZZ,$N18,6)="","",INDEX('_views'!$B:$ZZ,$N18,6)))="xr",-LOG(E18,2),0))),0)&lt;=-0.585)</formula>
    </cfRule>
    <cfRule type="expression" priority="11" dxfId="45">
      <formula>AND(IF($N18="","",IF(INDEX('_views'!$B:$ZZ,$N18,6)="","",INDEX('_views'!$B:$ZZ,$N18,6)))="pts",AND(ISNUMBER(E18),IFERROR(IF(IF($N18="","",IF(INDEX('_views'!$B:$ZZ,$N18,6)="","",INDEX('_views'!$B:$ZZ,$N18,6)))="pts",-E18/1,IF(IF($N18="","",IF(INDEX('_views'!$B:$ZZ,$N18,6)="","",INDEX('_views'!$B:$ZZ,$N18,6)))="x",LOG(E18,2),IF(IF($N18="","",IF(INDEX('_views'!$B:$ZZ,$N18,6)="","",INDEX('_views'!$B:$ZZ,$N18,6)))="xr",-LOG(E18,2),0))),0)&lt;=-0.263))</formula>
    </cfRule>
    <cfRule type="expression" priority="12" dxfId="46">
      <formula>AND(ISNUMBER(E18),IFERROR(IF(IF($N18="","",IF(INDEX('_views'!$B:$ZZ,$N18,6)="","",INDEX('_views'!$B:$ZZ,$N18,6)))="pts",-E18/1,IF(IF($N18="","",IF(INDEX('_views'!$B:$ZZ,$N18,6)="","",INDEX('_views'!$B:$ZZ,$N18,6)))="x",LOG(E18,2),IF(IF($N18="","",IF(INDEX('_views'!$B:$ZZ,$N18,6)="","",INDEX('_views'!$B:$ZZ,$N18,6)))="xr",-LOG(E18,2),0))),0)&lt;=-0.263)</formula>
    </cfRule>
    <cfRule type="expression" priority="13" dxfId="47">
      <formula>AND(IF($N18="","",IF(INDEX('_views'!$B:$ZZ,$N18,6)="","",INDEX('_views'!$B:$ZZ,$N18,6)))="pts",ISNUMBER(E18))</formula>
    </cfRule>
    <cfRule type="expression" priority="14" dxfId="48">
      <formula>ISNUMBER(E18)</formula>
    </cfRule>
  </conditionalFormatting>
  <conditionalFormatting sqref="E19">
    <cfRule type="expression" priority="15" dxfId="37">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16" dxfId="38">
      <formula>AND(ISNUMBER(E19),IFERROR(IF(IF($N19="","",IF(INDEX('_views'!$B:$ZZ,$N19,6)="","",INDEX('_views'!$B:$ZZ,$N19,6)))="pts",-E19/1,IF(IF($N19="","",IF(INDEX('_views'!$B:$ZZ,$N19,6)="","",INDEX('_views'!$B:$ZZ,$N19,6)))="x",LOG(E19,2),IF(IF($N19="","",IF(INDEX('_views'!$B:$ZZ,$N19,6)="","",INDEX('_views'!$B:$ZZ,$N19,6)))="xr",-LOG(E19,2),0))),0)&gt;=1.0)</formula>
    </cfRule>
    <cfRule type="expression" priority="17" dxfId="39">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18" dxfId="40">
      <formula>AND(ISNUMBER(E19),IFERROR(IF(IF($N19="","",IF(INDEX('_views'!$B:$ZZ,$N19,6)="","",INDEX('_views'!$B:$ZZ,$N19,6)))="pts",-E19/1,IF(IF($N19="","",IF(INDEX('_views'!$B:$ZZ,$N19,6)="","",INDEX('_views'!$B:$ZZ,$N19,6)))="x",LOG(E19,2),IF(IF($N19="","",IF(INDEX('_views'!$B:$ZZ,$N19,6)="","",INDEX('_views'!$B:$ZZ,$N19,6)))="xr",-LOG(E19,2),0))),0)&gt;=0.585)</formula>
    </cfRule>
    <cfRule type="expression" priority="19" dxfId="41">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20" dxfId="42">
      <formula>AND(ISNUMBER(E19),IFERROR(IF(IF($N19="","",IF(INDEX('_views'!$B:$ZZ,$N19,6)="","",INDEX('_views'!$B:$ZZ,$N19,6)))="pts",-E19/1,IF(IF($N19="","",IF(INDEX('_views'!$B:$ZZ,$N19,6)="","",INDEX('_views'!$B:$ZZ,$N19,6)))="x",LOG(E19,2),IF(IF($N19="","",IF(INDEX('_views'!$B:$ZZ,$N19,6)="","",INDEX('_views'!$B:$ZZ,$N19,6)))="xr",-LOG(E19,2),0))),0)&gt;=0.263)</formula>
    </cfRule>
    <cfRule type="expression" priority="21" dxfId="43">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22" dxfId="44">
      <formula>AND(ISNUMBER(E19),IFERROR(IF(IF($N19="","",IF(INDEX('_views'!$B:$ZZ,$N19,6)="","",INDEX('_views'!$B:$ZZ,$N19,6)))="pts",-E19/1,IF(IF($N19="","",IF(INDEX('_views'!$B:$ZZ,$N19,6)="","",INDEX('_views'!$B:$ZZ,$N19,6)))="x",LOG(E19,2),IF(IF($N19="","",IF(INDEX('_views'!$B:$ZZ,$N19,6)="","",INDEX('_views'!$B:$ZZ,$N19,6)))="xr",-LOG(E19,2),0))),0)&lt;=-0.585)</formula>
    </cfRule>
    <cfRule type="expression" priority="23" dxfId="45">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24" dxfId="46">
      <formula>AND(ISNUMBER(E19),IFERROR(IF(IF($N19="","",IF(INDEX('_views'!$B:$ZZ,$N19,6)="","",INDEX('_views'!$B:$ZZ,$N19,6)))="pts",-E19/1,IF(IF($N19="","",IF(INDEX('_views'!$B:$ZZ,$N19,6)="","",INDEX('_views'!$B:$ZZ,$N19,6)))="x",LOG(E19,2),IF(IF($N19="","",IF(INDEX('_views'!$B:$ZZ,$N19,6)="","",INDEX('_views'!$B:$ZZ,$N19,6)))="xr",-LOG(E19,2),0))),0)&lt;=-0.263)</formula>
    </cfRule>
    <cfRule type="expression" priority="25" dxfId="47">
      <formula>AND(IF($N19="","",IF(INDEX('_views'!$B:$ZZ,$N19,6)="","",INDEX('_views'!$B:$ZZ,$N19,6)))="pts",ISNUMBER(E19))</formula>
    </cfRule>
    <cfRule type="expression" priority="26" dxfId="48">
      <formula>ISNUMBER(E19)</formula>
    </cfRule>
  </conditionalFormatting>
  <conditionalFormatting sqref="E20">
    <cfRule type="expression" priority="27" dxfId="37">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28" dxfId="38">
      <formula>AND(ISNUMBER(E20),IFERROR(IF(IF($N20="","",IF(INDEX('_views'!$B:$ZZ,$N20,6)="","",INDEX('_views'!$B:$ZZ,$N20,6)))="pts",-E20/1,IF(IF($N20="","",IF(INDEX('_views'!$B:$ZZ,$N20,6)="","",INDEX('_views'!$B:$ZZ,$N20,6)))="x",LOG(E20,2),IF(IF($N20="","",IF(INDEX('_views'!$B:$ZZ,$N20,6)="","",INDEX('_views'!$B:$ZZ,$N20,6)))="xr",-LOG(E20,2),0))),0)&gt;=1.0)</formula>
    </cfRule>
    <cfRule type="expression" priority="29" dxfId="39">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30" dxfId="40">
      <formula>AND(ISNUMBER(E20),IFERROR(IF(IF($N20="","",IF(INDEX('_views'!$B:$ZZ,$N20,6)="","",INDEX('_views'!$B:$ZZ,$N20,6)))="pts",-E20/1,IF(IF($N20="","",IF(INDEX('_views'!$B:$ZZ,$N20,6)="","",INDEX('_views'!$B:$ZZ,$N20,6)))="x",LOG(E20,2),IF(IF($N20="","",IF(INDEX('_views'!$B:$ZZ,$N20,6)="","",INDEX('_views'!$B:$ZZ,$N20,6)))="xr",-LOG(E20,2),0))),0)&gt;=0.585)</formula>
    </cfRule>
    <cfRule type="expression" priority="31" dxfId="41">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32" dxfId="42">
      <formula>AND(ISNUMBER(E20),IFERROR(IF(IF($N20="","",IF(INDEX('_views'!$B:$ZZ,$N20,6)="","",INDEX('_views'!$B:$ZZ,$N20,6)))="pts",-E20/1,IF(IF($N20="","",IF(INDEX('_views'!$B:$ZZ,$N20,6)="","",INDEX('_views'!$B:$ZZ,$N20,6)))="x",LOG(E20,2),IF(IF($N20="","",IF(INDEX('_views'!$B:$ZZ,$N20,6)="","",INDEX('_views'!$B:$ZZ,$N20,6)))="xr",-LOG(E20,2),0))),0)&gt;=0.263)</formula>
    </cfRule>
    <cfRule type="expression" priority="33" dxfId="43">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34" dxfId="44">
      <formula>AND(ISNUMBER(E20),IFERROR(IF(IF($N20="","",IF(INDEX('_views'!$B:$ZZ,$N20,6)="","",INDEX('_views'!$B:$ZZ,$N20,6)))="pts",-E20/1,IF(IF($N20="","",IF(INDEX('_views'!$B:$ZZ,$N20,6)="","",INDEX('_views'!$B:$ZZ,$N20,6)))="x",LOG(E20,2),IF(IF($N20="","",IF(INDEX('_views'!$B:$ZZ,$N20,6)="","",INDEX('_views'!$B:$ZZ,$N20,6)))="xr",-LOG(E20,2),0))),0)&lt;=-0.585)</formula>
    </cfRule>
    <cfRule type="expression" priority="35" dxfId="45">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36" dxfId="46">
      <formula>AND(ISNUMBER(E20),IFERROR(IF(IF($N20="","",IF(INDEX('_views'!$B:$ZZ,$N20,6)="","",INDEX('_views'!$B:$ZZ,$N20,6)))="pts",-E20/1,IF(IF($N20="","",IF(INDEX('_views'!$B:$ZZ,$N20,6)="","",INDEX('_views'!$B:$ZZ,$N20,6)))="x",LOG(E20,2),IF(IF($N20="","",IF(INDEX('_views'!$B:$ZZ,$N20,6)="","",INDEX('_views'!$B:$ZZ,$N20,6)))="xr",-LOG(E20,2),0))),0)&lt;=-0.263)</formula>
    </cfRule>
    <cfRule type="expression" priority="37" dxfId="47">
      <formula>AND(IF($N20="","",IF(INDEX('_views'!$B:$ZZ,$N20,6)="","",INDEX('_views'!$B:$ZZ,$N20,6)))="pts",ISNUMBER(E20))</formula>
    </cfRule>
    <cfRule type="expression" priority="38" dxfId="48">
      <formula>ISNUMBER(E20)</formula>
    </cfRule>
  </conditionalFormatting>
  <conditionalFormatting sqref="E21">
    <cfRule type="expression" priority="39" dxfId="37">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40" dxfId="38">
      <formula>AND(ISNUMBER(E21),IFERROR(IF(IF($N21="","",IF(INDEX('_views'!$B:$ZZ,$N21,6)="","",INDEX('_views'!$B:$ZZ,$N21,6)))="pts",-E21/1,IF(IF($N21="","",IF(INDEX('_views'!$B:$ZZ,$N21,6)="","",INDEX('_views'!$B:$ZZ,$N21,6)))="x",LOG(E21,2),IF(IF($N21="","",IF(INDEX('_views'!$B:$ZZ,$N21,6)="","",INDEX('_views'!$B:$ZZ,$N21,6)))="xr",-LOG(E21,2),0))),0)&gt;=1.0)</formula>
    </cfRule>
    <cfRule type="expression" priority="41" dxfId="39">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42" dxfId="40">
      <formula>AND(ISNUMBER(E21),IFERROR(IF(IF($N21="","",IF(INDEX('_views'!$B:$ZZ,$N21,6)="","",INDEX('_views'!$B:$ZZ,$N21,6)))="pts",-E21/1,IF(IF($N21="","",IF(INDEX('_views'!$B:$ZZ,$N21,6)="","",INDEX('_views'!$B:$ZZ,$N21,6)))="x",LOG(E21,2),IF(IF($N21="","",IF(INDEX('_views'!$B:$ZZ,$N21,6)="","",INDEX('_views'!$B:$ZZ,$N21,6)))="xr",-LOG(E21,2),0))),0)&gt;=0.585)</formula>
    </cfRule>
    <cfRule type="expression" priority="43" dxfId="41">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44" dxfId="42">
      <formula>AND(ISNUMBER(E21),IFERROR(IF(IF($N21="","",IF(INDEX('_views'!$B:$ZZ,$N21,6)="","",INDEX('_views'!$B:$ZZ,$N21,6)))="pts",-E21/1,IF(IF($N21="","",IF(INDEX('_views'!$B:$ZZ,$N21,6)="","",INDEX('_views'!$B:$ZZ,$N21,6)))="x",LOG(E21,2),IF(IF($N21="","",IF(INDEX('_views'!$B:$ZZ,$N21,6)="","",INDEX('_views'!$B:$ZZ,$N21,6)))="xr",-LOG(E21,2),0))),0)&gt;=0.263)</formula>
    </cfRule>
    <cfRule type="expression" priority="45" dxfId="43">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46" dxfId="44">
      <formula>AND(ISNUMBER(E21),IFERROR(IF(IF($N21="","",IF(INDEX('_views'!$B:$ZZ,$N21,6)="","",INDEX('_views'!$B:$ZZ,$N21,6)))="pts",-E21/1,IF(IF($N21="","",IF(INDEX('_views'!$B:$ZZ,$N21,6)="","",INDEX('_views'!$B:$ZZ,$N21,6)))="x",LOG(E21,2),IF(IF($N21="","",IF(INDEX('_views'!$B:$ZZ,$N21,6)="","",INDEX('_views'!$B:$ZZ,$N21,6)))="xr",-LOG(E21,2),0))),0)&lt;=-0.585)</formula>
    </cfRule>
    <cfRule type="expression" priority="47" dxfId="45">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48" dxfId="46">
      <formula>AND(ISNUMBER(E21),IFERROR(IF(IF($N21="","",IF(INDEX('_views'!$B:$ZZ,$N21,6)="","",INDEX('_views'!$B:$ZZ,$N21,6)))="pts",-E21/1,IF(IF($N21="","",IF(INDEX('_views'!$B:$ZZ,$N21,6)="","",INDEX('_views'!$B:$ZZ,$N21,6)))="x",LOG(E21,2),IF(IF($N21="","",IF(INDEX('_views'!$B:$ZZ,$N21,6)="","",INDEX('_views'!$B:$ZZ,$N21,6)))="xr",-LOG(E21,2),0))),0)&lt;=-0.263)</formula>
    </cfRule>
    <cfRule type="expression" priority="49" dxfId="47">
      <formula>AND(IF($N21="","",IF(INDEX('_views'!$B:$ZZ,$N21,6)="","",INDEX('_views'!$B:$ZZ,$N21,6)))="pts",ISNUMBER(E21))</formula>
    </cfRule>
    <cfRule type="expression" priority="50" dxfId="48">
      <formula>ISNUMBER(E21)</formula>
    </cfRule>
  </conditionalFormatting>
  <conditionalFormatting sqref="E22">
    <cfRule type="expression" priority="51" dxfId="37">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52" dxfId="38">
      <formula>AND(ISNUMBER(E22),IFERROR(IF(IF($N22="","",IF(INDEX('_views'!$B:$ZZ,$N22,6)="","",INDEX('_views'!$B:$ZZ,$N22,6)))="pts",-E22/1,IF(IF($N22="","",IF(INDEX('_views'!$B:$ZZ,$N22,6)="","",INDEX('_views'!$B:$ZZ,$N22,6)))="x",LOG(E22,2),IF(IF($N22="","",IF(INDEX('_views'!$B:$ZZ,$N22,6)="","",INDEX('_views'!$B:$ZZ,$N22,6)))="xr",-LOG(E22,2),0))),0)&gt;=1.0)</formula>
    </cfRule>
    <cfRule type="expression" priority="53" dxfId="39">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54" dxfId="40">
      <formula>AND(ISNUMBER(E22),IFERROR(IF(IF($N22="","",IF(INDEX('_views'!$B:$ZZ,$N22,6)="","",INDEX('_views'!$B:$ZZ,$N22,6)))="pts",-E22/1,IF(IF($N22="","",IF(INDEX('_views'!$B:$ZZ,$N22,6)="","",INDEX('_views'!$B:$ZZ,$N22,6)))="x",LOG(E22,2),IF(IF($N22="","",IF(INDEX('_views'!$B:$ZZ,$N22,6)="","",INDEX('_views'!$B:$ZZ,$N22,6)))="xr",-LOG(E22,2),0))),0)&gt;=0.585)</formula>
    </cfRule>
    <cfRule type="expression" priority="55" dxfId="41">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56" dxfId="42">
      <formula>AND(ISNUMBER(E22),IFERROR(IF(IF($N22="","",IF(INDEX('_views'!$B:$ZZ,$N22,6)="","",INDEX('_views'!$B:$ZZ,$N22,6)))="pts",-E22/1,IF(IF($N22="","",IF(INDEX('_views'!$B:$ZZ,$N22,6)="","",INDEX('_views'!$B:$ZZ,$N22,6)))="x",LOG(E22,2),IF(IF($N22="","",IF(INDEX('_views'!$B:$ZZ,$N22,6)="","",INDEX('_views'!$B:$ZZ,$N22,6)))="xr",-LOG(E22,2),0))),0)&gt;=0.263)</formula>
    </cfRule>
    <cfRule type="expression" priority="57" dxfId="43">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58" dxfId="44">
      <formula>AND(ISNUMBER(E22),IFERROR(IF(IF($N22="","",IF(INDEX('_views'!$B:$ZZ,$N22,6)="","",INDEX('_views'!$B:$ZZ,$N22,6)))="pts",-E22/1,IF(IF($N22="","",IF(INDEX('_views'!$B:$ZZ,$N22,6)="","",INDEX('_views'!$B:$ZZ,$N22,6)))="x",LOG(E22,2),IF(IF($N22="","",IF(INDEX('_views'!$B:$ZZ,$N22,6)="","",INDEX('_views'!$B:$ZZ,$N22,6)))="xr",-LOG(E22,2),0))),0)&lt;=-0.585)</formula>
    </cfRule>
    <cfRule type="expression" priority="59" dxfId="45">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60" dxfId="46">
      <formula>AND(ISNUMBER(E22),IFERROR(IF(IF($N22="","",IF(INDEX('_views'!$B:$ZZ,$N22,6)="","",INDEX('_views'!$B:$ZZ,$N22,6)))="pts",-E22/1,IF(IF($N22="","",IF(INDEX('_views'!$B:$ZZ,$N22,6)="","",INDEX('_views'!$B:$ZZ,$N22,6)))="x",LOG(E22,2),IF(IF($N22="","",IF(INDEX('_views'!$B:$ZZ,$N22,6)="","",INDEX('_views'!$B:$ZZ,$N22,6)))="xr",-LOG(E22,2),0))),0)&lt;=-0.263)</formula>
    </cfRule>
    <cfRule type="expression" priority="61" dxfId="47">
      <formula>AND(IF($N22="","",IF(INDEX('_views'!$B:$ZZ,$N22,6)="","",INDEX('_views'!$B:$ZZ,$N22,6)))="pts",ISNUMBER(E22))</formula>
    </cfRule>
    <cfRule type="expression" priority="62" dxfId="48">
      <formula>ISNUMBER(E22)</formula>
    </cfRule>
  </conditionalFormatting>
  <conditionalFormatting sqref="B30:B36">
    <cfRule type="expression" priority="63" dxfId="6">
      <formula>$B30&lt;&gt;""</formula>
    </cfRule>
  </conditionalFormatting>
  <conditionalFormatting sqref="C30:F36">
    <cfRule type="expression" priority="64" dxfId="5">
      <formula>AND($B30&lt;&gt;"",ISTEXT(C30))</formula>
    </cfRule>
    <cfRule type="expression" priority="65" dxfId="19">
      <formula>AND($B30&lt;&gt;"",AND($P$26="pts",AND(ISNUMBER(C30),IFERROR(IF($P$26="pts",-C30/$P$27,IF($P$26="x",LOG(C30,2),IF($P$26="xr",-LOG(C30,2),0))),0)&gt;=1.0)))</formula>
    </cfRule>
    <cfRule type="expression" priority="66" dxfId="20">
      <formula>AND($B30&lt;&gt;"",AND(ISNUMBER(C30),IFERROR(IF($P$26="pts",-C30/$P$27,IF($P$26="x",LOG(C30,2),IF($P$26="xr",-LOG(C30,2),0))),0)&gt;=1.0))</formula>
    </cfRule>
    <cfRule type="expression" priority="67" dxfId="21">
      <formula>AND($B30&lt;&gt;"",AND($P$26="pts",AND(ISNUMBER(C30),IFERROR(IF($P$26="pts",-C30/$P$27,IF($P$26="x",LOG(C30,2),IF($P$26="xr",-LOG(C30,2),0))),0)&gt;=0.585)))</formula>
    </cfRule>
    <cfRule type="expression" priority="68" dxfId="22">
      <formula>AND($B30&lt;&gt;"",AND(ISNUMBER(C30),IFERROR(IF($P$26="pts",-C30/$P$27,IF($P$26="x",LOG(C30,2),IF($P$26="xr",-LOG(C30,2),0))),0)&gt;=0.585))</formula>
    </cfRule>
    <cfRule type="expression" priority="69" dxfId="23">
      <formula>AND($B30&lt;&gt;"",AND($P$26="pts",AND(ISNUMBER(C30),IFERROR(IF($P$26="pts",-C30/$P$27,IF($P$26="x",LOG(C30,2),IF($P$26="xr",-LOG(C30,2),0))),0)&gt;=0.263)))</formula>
    </cfRule>
    <cfRule type="expression" priority="70" dxfId="24">
      <formula>AND($B30&lt;&gt;"",AND(ISNUMBER(C30),IFERROR(IF($P$26="pts",-C30/$P$27,IF($P$26="x",LOG(C30,2),IF($P$26="xr",-LOG(C30,2),0))),0)&gt;=0.263))</formula>
    </cfRule>
    <cfRule type="expression" priority="71" dxfId="25">
      <formula>AND($B30&lt;&gt;"",AND($P$26="pts",AND(ISNUMBER(C30),IFERROR(IF($P$26="pts",-C30/$P$27,IF($P$26="x",LOG(C30,2),IF($P$26="xr",-LOG(C30,2),0))),0)&lt;=-0.585)))</formula>
    </cfRule>
    <cfRule type="expression" priority="72" dxfId="26">
      <formula>AND($B30&lt;&gt;"",AND(ISNUMBER(C30),IFERROR(IF($P$26="pts",-C30/$P$27,IF($P$26="x",LOG(C30,2),IF($P$26="xr",-LOG(C30,2),0))),0)&lt;=-0.585))</formula>
    </cfRule>
    <cfRule type="expression" priority="73" dxfId="27">
      <formula>AND($B30&lt;&gt;"",AND($P$26="pts",AND(ISNUMBER(C30),IFERROR(IF($P$26="pts",-C30/$P$27,IF($P$26="x",LOG(C30,2),IF($P$26="xr",-LOG(C30,2),0))),0)&lt;=-0.263)))</formula>
    </cfRule>
    <cfRule type="expression" priority="74" dxfId="28">
      <formula>AND($B30&lt;&gt;"",AND(ISNUMBER(C30),IFERROR(IF($P$26="pts",-C30/$P$27,IF($P$26="x",LOG(C30,2),IF($P$26="xr",-LOG(C30,2),0))),0)&lt;=-0.263))</formula>
    </cfRule>
    <cfRule type="expression" priority="75" dxfId="29">
      <formula>AND($B30&lt;&gt;"",AND($P$26="pts",ISNUMBER(C30)))</formula>
    </cfRule>
    <cfRule type="expression" priority="76" dxfId="12">
      <formula>AND($B30&lt;&gt;"",ISNUMBER(C30))</formula>
    </cfRule>
    <cfRule type="expression" priority="77" dxfId="6">
      <formula>$B30&lt;&gt;""</formula>
    </cfRule>
  </conditionalFormatting>
  <conditionalFormatting sqref="H30:H36">
    <cfRule type="expression" priority="78" dxfId="6">
      <formula>$H30&lt;&gt;""</formula>
    </cfRule>
  </conditionalFormatting>
  <conditionalFormatting sqref="I30:L36">
    <cfRule type="expression" priority="79" dxfId="49">
      <formula>AND($H30&lt;&gt;"",AND(ISNUMBER(I30),I30&lt;significance_bar))</formula>
    </cfRule>
    <cfRule type="expression" priority="80" dxfId="6">
      <formula>$H30&lt;&gt;""</formula>
    </cfRule>
  </conditionalFormatting>
  <dataValidations count="2">
    <dataValidation sqref="B15" showDropDown="0" showInputMessage="0" showErrorMessage="1" allowBlank="0" errorTitle="Grid" error="Pick one from the list." type="list">
      <formula1>='_choices'!$M$2:$M$5</formula1>
    </dataValidation>
    <dataValidation sqref="B26" showDropDown="0" showInputMessage="0" showErrorMessage="1" allowBlank="0" errorTitle="Measure" error="Pick one from the list." type="list">
      <formula1>='_choices'!$N$2:$N$6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5"/>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Consumer book Q3.csv</t>
        </is>
      </c>
      <c r="E10" s="88" t="inlineStr">
        <is>
          <t>How many bands a number column is cut into</t>
        </is>
      </c>
      <c r="F10" s="136">
        <f>IF(AND(Control!$D$26&lt;&gt;"",Control!$D$26&lt;&gt;"n/a"),Control!$D$26,IFERROR(INDEX(_options!$G:$G,MATCH(Control!$G$26&amp;"|"&amp;Control!$C$26,_options!$A:$A,0)),Control!$C$26&amp;""))</f>
        <v/>
      </c>
      <c r="G10" s="137"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6">
        <f>IF(AND(Control!$D$27&lt;&gt;"",Control!$D$27&lt;&gt;"n/a"),Control!$D$27,IFERROR(INDEX(_options!$G:$G,MATCH(Control!$G$27&amp;"|"&amp;Control!$C$27,_options!$A:$A,0)),Control!$C$27&amp;""))</f>
        <v/>
      </c>
      <c r="G11" s="137"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6">
        <f>IF(AND(Control!$D$24&lt;&gt;"",Control!$D$24&lt;&gt;"n/a"),Control!$D$24,IFERROR(INDEX(_options!$G:$G,MATCH(Control!$G$24&amp;"|"&amp;Control!$C$24,_options!$A:$A,0)),Control!$C$24&amp;""))</f>
        <v/>
      </c>
      <c r="G12" s="137" t="inlineStr">
        <is>
          <t>65 (worked out from this book)</t>
        </is>
      </c>
      <c r="K12" t="inlineStr">
        <is>
          <t>row|this|settings</t>
        </is>
      </c>
      <c r="L12">
        <f>IF(Control!$H$24="↻ Waiting for a Run",1,0)</f>
        <v/>
      </c>
    </row>
    <row r="13" ht="32" customHeight="1">
      <c r="B13" s="88" t="inlineStr">
        <is>
          <t>Record of this run</t>
        </is>
      </c>
      <c r="C13" s="89" t="inlineStr">
        <is>
          <t>Consumer book Q3 - PocketBook - what ran.yaml, beside this workbook: every setting the run used, kept for the</t>
        </is>
      </c>
      <c r="E13" s="88" t="inlineStr">
        <is>
          <t>Fewest loans with a loss before a loss rate is tested</t>
        </is>
      </c>
      <c r="F13" s="136">
        <f>IF(AND(Control!$D$25&lt;&gt;"",Control!$D$25&lt;&gt;"n/a"),Control!$D$25,IFERROR(INDEX(_options!$G:$G,MATCH(Control!$G$25&amp;"|"&amp;Control!$C$25,_options!$A:$A,0)),Control!$C$25&amp;""))</f>
        <v/>
      </c>
      <c r="G13" s="137" t="inlineStr">
        <is>
          <t>10 losses</t>
        </is>
      </c>
      <c r="K13" t="inlineStr">
        <is>
          <t>row|this|settings</t>
        </is>
      </c>
      <c r="L13">
        <f>IF(Control!$H$25="↻ Waiting for a Run",1,0)</f>
        <v/>
      </c>
    </row>
    <row r="14" ht="18" customHeight="1">
      <c r="B14" s="88" t="n"/>
      <c r="C14" s="89" t="inlineStr">
        <is>
          <t>file. It is replaced by the next Run.</t>
        </is>
      </c>
      <c r="E14" s="88" t="inlineStr">
        <is>
          <t>Smallest excess loss worth reporting</t>
        </is>
      </c>
      <c r="F14" s="136">
        <f>'_live'!$E$10</f>
        <v/>
      </c>
      <c r="G14" s="137"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6">
        <f>'_live'!$E$9</f>
        <v/>
      </c>
      <c r="G15" s="137"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6">
        <f>'_live'!$E$5</f>
        <v/>
      </c>
      <c r="G16" s="137"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6">
        <f>'_live'!$E$6</f>
        <v/>
      </c>
      <c r="G17" s="137" t="inlineStr">
        <is>
          <t>better at 0.75x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6">
        <f>'_live'!$E$13</f>
        <v/>
      </c>
      <c r="G18" s="137" t="inlineStr">
        <is>
          <t>each pocket's own test</t>
        </is>
      </c>
      <c r="K18" t="inlineStr">
        <is>
          <t>row|this|settings</t>
        </is>
      </c>
      <c r="L18">
        <f>IF('_live'!$E$13&lt;&gt;'_live'!$F$13,1,0)</f>
        <v/>
      </c>
    </row>
    <row r="19" ht="32" customHeight="1">
      <c r="B19" s="88" t="n"/>
      <c r="C19" s="89" t="inlineStr">
        <is>
          <t>158.</t>
        </is>
      </c>
      <c r="E19" s="88" t="inlineStr">
        <is>
          <t>How sure a difference must be before it counts</t>
        </is>
      </c>
      <c r="F19" s="136">
        <f>'_live'!$E$7</f>
        <v/>
      </c>
      <c r="G19" s="137"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6">
        <f>IF(AND(Control!$D$28&lt;&gt;"",Control!$D$28&lt;&gt;"n/a"),Control!$D$28,IFERROR(INDEX(_options!$G:$G,MATCH(Control!$G$28&amp;"|"&amp;Control!$C$28,_options!$A:$A,0)),Control!$C$28&amp;""))</f>
        <v/>
      </c>
      <c r="G20" s="137" t="inlineStr">
        <is>
          <t>80% of the time</t>
        </is>
      </c>
      <c r="K20" t="inlineStr">
        <is>
          <t>row|this|settings</t>
        </is>
      </c>
      <c r="L20">
        <f>IF(Control!$H$28="↻ Waiting for a Run",1,0)</f>
        <v/>
      </c>
    </row>
    <row r="21" ht="32" customHeight="1">
      <c r="B21" s="82" t="inlineStr">
        <is>
          <t>How closely REV_DEBT moves with ORIG_BAL</t>
        </is>
      </c>
      <c r="C21" s="83" t="inlineStr">
        <is>
          <t>correlation -0.02</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18" customHeight="1">
      <c r="B25" s="88" t="inlineStr">
        <is>
          <t>Tie-out checks</t>
        </is>
      </c>
      <c r="C25" s="89" t="inlineStr">
        <is>
          <t>702: every grid adds up to the book</t>
        </is>
      </c>
      <c r="E25" s="88" t="inlineStr">
        <is>
          <t>Tests</t>
        </is>
      </c>
      <c r="F25" s="89" t="inlineStr">
        <is>
          <t>Outcome, share of loans: the z test, pooled, for a pocket of 65 loans or more, and the exact test</t>
        </is>
      </c>
      <c r="G25" s="63" t="n"/>
      <c r="K25" t="inlineStr">
        <is>
          <t>row|adds|tests</t>
        </is>
      </c>
    </row>
    <row r="26" ht="18" customHeight="1">
      <c r="B26" s="88" t="inlineStr">
        <is>
          <t>Worse now: Bad loans</t>
        </is>
      </c>
      <c r="C26" s="89">
        <f>COUNTIFS('_pockets'!$A$4:$A$1048576,"grids",'_pockets'!$E$4:$E$1048576,"outcome_loans",'_pockets'!$Y$4:$Y$1048576,"worse")&amp;" of 81 pockets on the grids read worse; "&amp;COUNTIFS('_pockets'!$A$4:$A$1048576,"grids",'_pockets'!$E$4:$E$1048576,"outcome_loans",'_pockets'!$Y$4:$Y$1048576,"worse",'_pockets'!$AA$4:$AA$1048576,"yes")&amp;" of them are material."</f>
        <v/>
      </c>
      <c r="E26" s="88" t="n"/>
      <c r="F26" s="89" t="inlineStr">
        <is>
          <t>(Fisher's) below that. Every dollar rate: the loans are shuffled 10,000 times, within the band for the</t>
        </is>
      </c>
      <c r="G26" s="63" t="n"/>
      <c r="K26" t="inlineStr">
        <is>
          <t>row|adds|tests</t>
        </is>
      </c>
      <c r="N26" t="inlineStr">
        <is>
          <t>sp</t>
        </is>
      </c>
    </row>
    <row r="27" ht="32" customHeight="1">
      <c r="B27" s="88" t="inlineStr">
        <is>
          <t>Worse now: Bad dollars</t>
        </is>
      </c>
      <c r="C27" s="89">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8" t="n"/>
      <c r="F27" s="89" t="inlineStr">
        <is>
          <t>rest of its band, and its p-value is how often a shuffle made a gap as big. Profit and contribution are</t>
        </is>
      </c>
      <c r="G27" s="63" t="n"/>
      <c r="K27" t="inlineStr">
        <is>
          <t>row|adds|tests</t>
        </is>
      </c>
      <c r="N27" t="inlineStr">
        <is>
          <t>sp</t>
        </is>
      </c>
    </row>
    <row r="28" ht="18" customHeight="1">
      <c r="B28" s="88" t="inlineStr">
        <is>
          <t>Worse now: Charge-offs</t>
        </is>
      </c>
      <c r="C28" s="89">
        <f>COUNTIFS('_pockets'!$A$4:$A$1048576,"grids",'_pockets'!$E$4:$E$1048576,"gco_rate",'_pockets'!$Y$4:$Y$1048576,"worse")&amp;" of 81 pockets on the grids read worse; "&amp;COUNTIFS('_pockets'!$A$4:$A$1048576,"grids",'_pockets'!$E$4:$E$1048576,"gco_rate",'_pockets'!$Y$4:$Y$1048576,"worse",'_pockets'!$AA$4:$AA$1048576,"yes")&amp;" of them are material."</f>
        <v/>
      </c>
      <c r="E28" s="88" t="n"/>
      <c r="F28" s="89" t="inlineStr">
        <is>
          <t>compared as a gap in points, never a multiple. The split's odds: Cochran-Mantel-Haenszel, which asks</t>
        </is>
      </c>
      <c r="G28" s="63" t="n"/>
      <c r="K28" t="inlineStr">
        <is>
          <t>row|adds|tests</t>
        </is>
      </c>
      <c r="N28" t="inlineStr">
        <is>
          <t>sp</t>
        </is>
      </c>
    </row>
    <row r="29" ht="18" customHeight="1">
      <c r="B29" s="88" t="inlineStr">
        <is>
          <t>Worse now: Kept after losses</t>
        </is>
      </c>
      <c r="C29" s="89">
        <f>COUNTIFS('_pockets'!$A$4:$A$1048576,"grids",'_pockets'!$E$4:$E$1048576,"ranr_rate",'_pockets'!$Y$4:$Y$1048576,"worse")&amp;" of 81 pockets on the grids read worse; "&amp;COUNTIFS('_pockets'!$A$4:$A$1048576,"grids",'_pockets'!$E$4:$E$1048576,"ranr_rate",'_pockets'!$Y$4:$Y$1048576,"worse",'_pockets'!$AA$4:$AA$1048576,"yes")&amp;" of them are material."</f>
        <v/>
      </c>
      <c r="E29" s="88" t="n"/>
      <c r="F29" s="89" t="inlineStr">
        <is>
          <t>whether an odds ratio this far from 1 could come from shuffling loans within their pockets. It has no</t>
        </is>
      </c>
      <c r="G29" s="63" t="n"/>
      <c r="K29" t="inlineStr">
        <is>
          <t>row|adds|tests</t>
        </is>
      </c>
      <c r="N29" t="inlineStr">
        <is>
          <t>sp</t>
        </is>
      </c>
    </row>
    <row r="30" ht="32" customHeight="1">
      <c r="B30" s="88" t="inlineStr">
        <is>
          <t>Worse now: Earned before losses</t>
        </is>
      </c>
      <c r="C30" s="89">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8" t="n"/>
      <c r="F30" s="89" t="inlineStr">
        <is>
          <t>continuity correction: nothing is taken off the gap between actual and expected before it is squared.</t>
        </is>
      </c>
      <c r="G30" s="63" t="n"/>
      <c r="K30" t="inlineStr">
        <is>
          <t>row|adds|tests</t>
        </is>
      </c>
      <c r="N30" t="inlineStr">
        <is>
          <t>sp</t>
        </is>
      </c>
    </row>
    <row r="31" ht="32" customHeight="1">
      <c r="B31" s="88" t="inlineStr">
        <is>
          <t>Loans needed for a 1.34x gap: Bad loans</t>
        </is>
      </c>
      <c r="C31" s="89" t="inlineStr">
        <is>
          <t>about 1,026</t>
        </is>
      </c>
      <c r="E31" s="88" t="inlineStr">
        <is>
          <t>p-value</t>
        </is>
      </c>
      <c r="F31" s="89">
        <f>"The chance of a gap at least this big if there were no real difference, after the allowance for many tests. Below "&amp;TEXT(significance_bar,"0%")&amp;" is significant, at "&amp;TEXT(confidence,"0%")&amp;" sure. Two-sided: a gap either way counts."</f>
        <v/>
      </c>
      <c r="G31" s="63" t="n"/>
      <c r="K31" t="inlineStr">
        <is>
          <t>row|adds|tests</t>
        </is>
      </c>
    </row>
    <row r="32" ht="32" customHeight="1">
      <c r="B32" s="88" t="inlineStr">
        <is>
          <t>Loans needed for a 1.34x gap: Bad dollars</t>
        </is>
      </c>
      <c r="C32" s="89" t="inlineStr">
        <is>
          <t>about 1,122</t>
        </is>
      </c>
      <c r="E32" s="88" t="inlineStr">
        <is>
          <t>Standard error</t>
        </is>
      </c>
      <c r="F32" s="89">
        <f>"How far a rate worked out from this many loans typically lands from its true value. A gap of "&amp;TEXT(NORMSINV(1-(1-confidence)/2),"0.00")&amp;" standard errors is the "&amp;TEXT(confidence,"0%")&amp;" line."</f>
        <v/>
      </c>
      <c r="G32" s="63" t="n"/>
      <c r="K32" t="inlineStr">
        <is>
          <t>row|adds|tests</t>
        </is>
      </c>
    </row>
    <row r="33" ht="32" customHeight="1">
      <c r="B33" s="88" t="inlineStr">
        <is>
          <t>Loans needed for a 1.34x gap: Charge-offs</t>
        </is>
      </c>
      <c r="C33" s="89" t="inlineStr">
        <is>
          <t>about 1,200</t>
        </is>
      </c>
      <c r="E33" s="88" t="inlineStr">
        <is>
          <t>The allowance for many tests covers</t>
        </is>
      </c>
      <c r="F33" s="89" t="inlineStr">
        <is>
          <t>each grid and measure on its own, one comparison at a time</t>
        </is>
      </c>
      <c r="G33" s="63" t="n"/>
      <c r="K33" t="inlineStr">
        <is>
          <t>row|adds|tests</t>
        </is>
      </c>
    </row>
    <row r="34" ht="32" customHeight="1">
      <c r="B34" s="88" t="inlineStr">
        <is>
          <t>Smallest gap a typical pocket could show: Kept after losses</t>
        </is>
      </c>
      <c r="C34" s="89" t="inlineStr">
        <is>
          <t>2.87 points either way (the median over the pockets; caught 80% of the time at 95% sure)</t>
        </is>
      </c>
      <c r="E34" s="88" t="inlineStr">
        <is>
          <t>Contribution before losses</t>
        </is>
      </c>
      <c r="F34" s="89" t="inlineStr">
        <is>
          <t>RANR + GCO, per booked dollar. This assumes RANR has gross charge-offs taken out. If RANR nets</t>
        </is>
      </c>
      <c r="G34" s="63" t="n"/>
      <c r="K34" t="inlineStr">
        <is>
          <t>row|adds|tests</t>
        </is>
      </c>
    </row>
    <row r="35" ht="32" customHeight="1">
      <c r="B35" s="88" t="inlineStr">
        <is>
          <t>Smallest gap a typical pocket could show: Earned before losses</t>
        </is>
      </c>
      <c r="C35" s="89" t="inlineStr">
        <is>
          <t>1.89 points either way (the median over the pockets; caught 80% of the time at 95% sure)</t>
        </is>
      </c>
      <c r="E35" s="88" t="n"/>
      <c r="F35" s="89" t="inlineStr">
        <is>
          <t>recoveries instead, contribution is overstated by the recoveries.</t>
        </is>
      </c>
      <c r="G35" s="63" t="n"/>
      <c r="K35" t="inlineStr">
        <is>
          <t>row|adds|tests</t>
        </is>
      </c>
      <c r="N35" t="inlineStr">
        <is>
          <t>sp</t>
        </is>
      </c>
    </row>
    <row r="36" ht="46" customHeight="1">
      <c r="B36" s="88" t="inlineStr">
        <is>
          <t>Materiality line: Bad loans</t>
        </is>
      </c>
      <c r="C36" s="89">
        <f>IF('_live'!$C$20="","no line: the dollar line on Control is a GCO amount",TEXT('_live'!$C$20,"#,##0.0")&amp;" loans")</f>
        <v/>
      </c>
      <c r="E36" s="88" t="inlineStr">
        <is>
          <t>Decides each pocket</t>
        </is>
      </c>
      <c r="F36"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36" s="63" t="n"/>
      <c r="K36" t="inlineStr">
        <is>
          <t>row|adds|tests</t>
        </is>
      </c>
    </row>
    <row r="37" ht="18" customHeight="1">
      <c r="B37" s="88" t="inlineStr">
        <is>
          <t>Materiality line: Bad dollars</t>
        </is>
      </c>
      <c r="C37" s="89">
        <f>IF('_live'!$C$21="","no line: the dollar line on Control is a GCO amount",TEXT('_live'!$C$21,"#,##0")&amp;" ORIG_BAL dollars")</f>
        <v/>
      </c>
      <c r="E37" s="88" t="inlineStr">
        <is>
          <t>Profit counts as more or less</t>
        </is>
      </c>
      <c r="F37" s="89">
        <f>'_live'!$E$13&amp;IF(profit_kind="test",": only a gap that is significant at "&amp;TEXT(confidence,"0%"),"")</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How profit reads</t>
        </is>
      </c>
      <c r="F38" s="89" t="inlineStr">
        <is>
          <t>As the gap: how many points of booked dollars a pocket is short of or ahead of its band, and the dollars</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n"/>
      <c r="F39" s="89" t="inlineStr">
        <is>
          <t>that comes to. In this run, FICO 496 - 653 / CHANNEL Broker: "short of its band by 7.86 points</t>
        </is>
      </c>
      <c r="G39" s="63" t="n"/>
      <c r="K39" t="inlineStr">
        <is>
          <t>row|adds|tests</t>
        </is>
      </c>
      <c r="N39" t="inlineStr">
        <is>
          <t>sp</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($1,339,855)". A gap its own test doesn't call significant gives the gap and says not significant. In</t>
        </is>
      </c>
      <c r="G40" s="63" t="n"/>
      <c r="K40" t="inlineStr">
        <is>
          <t>row|adds|tests</t>
        </is>
      </c>
      <c r="N40" t="inlineStr">
        <is>
          <t>sp</t>
        </is>
      </c>
    </row>
    <row r="41" ht="18" customHeight="1">
      <c r="B41" s="88" t="inlineStr">
        <is>
          <t>Worked out from this book</t>
        </is>
      </c>
      <c r="C41" s="89" t="inlineStr">
        <is>
          <t>fewest loans 65 (enough to expect 5 with the outcome at the book's rate of 7.74%); worse at 1.34x; better at</t>
        </is>
      </c>
      <c r="E41" s="88" t="n"/>
      <c r="F41" s="89" t="inlineStr">
        <is>
          <t>this run, ORIG_BAL 37,951 - 49,151 / ASSET_CLASS 4: "-2.60 points against its band, not significant".</t>
        </is>
      </c>
      <c r="G41" s="63" t="n"/>
      <c r="K41" t="inlineStr">
        <is>
          <t>row|adds|tests</t>
        </is>
      </c>
      <c r="N41" t="inlineStr">
        <is>
          <t>sp</t>
        </is>
      </c>
    </row>
    <row r="42" ht="18" customHeight="1">
      <c r="B42" s="88" t="n"/>
      <c r="C42" s="89" t="inlineStr">
        <is>
          <t>0.75x (the smallest outcome gap a pocket of typical size can call significant)</t>
        </is>
      </c>
      <c r="E42" s="88" t="n"/>
      <c r="F42" s="89" t="inlineStr">
        <is>
          <t>The examples are as of the last Run.</t>
        </is>
      </c>
      <c r="G42" s="63" t="n"/>
      <c r="K42" t="inlineStr">
        <is>
          <t>row|adds|tests</t>
        </is>
      </c>
      <c r="M42" t="inlineStr">
        <is>
          <t>sp</t>
        </is>
      </c>
      <c r="N42" t="inlineStr">
        <is>
          <t>sp</t>
        </is>
      </c>
    </row>
    <row r="43" ht="18" customHeight="1">
      <c r="B43" s="88" t="inlineStr">
        <is>
          <t>Pockets tested</t>
        </is>
      </c>
      <c r="C43" s="89" t="inlineStr">
        <is>
          <t>70 of 81</t>
        </is>
      </c>
      <c r="E43" s="88" t="inlineStr">
        <is>
          <t>Families of tests</t>
        </is>
      </c>
      <c r="F43" s="89" t="inlineStr">
        <is>
          <t>100, holding 2,278 tests: 4 grids x 5 rates x 2 comparisons; 4 three-way grids x 5 rates x 2</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comparisons; 4 grids x 5 rates for the split's halves. A family is one grid, one rate and one comparison</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(against the rest of the book, the rest of its band, or the other half).</t>
        </is>
      </c>
      <c r="G45" s="63" t="n"/>
      <c r="K45" t="inlineStr">
        <is>
          <t>row|adds|tests</t>
        </is>
      </c>
      <c r="M45" t="inlineStr">
        <is>
          <t>sp</t>
        </is>
      </c>
      <c r="N45" t="inlineStr">
        <is>
          <t>sp</t>
        </is>
      </c>
    </row>
    <row r="46" ht="18" customHeight="1">
      <c r="B46" s="88" t="n"/>
      <c r="C46" s="89" t="inlineStr">
        <is>
          <t>again, so each grid is held to this on its own.</t>
        </is>
      </c>
      <c r="E46" s="88" t="inlineStr">
        <is>
          <t>Reading a single red</t>
        </is>
      </c>
      <c r="F46" s="89" t="inlineStr">
        <is>
          <t>Each family gets its own allowance for many tests, not one for the whole run. So a single red across 100</t>
        </is>
      </c>
      <c r="G46" s="63" t="n"/>
      <c r="K46" t="inlineStr">
        <is>
          <t>row|adds|tests</t>
        </is>
      </c>
      <c r="M46" t="inlineStr">
        <is>
          <t>sp</t>
        </is>
      </c>
    </row>
    <row r="47" ht="18" customHeight="1">
      <c r="B47" s="88" t="inlineStr">
        <is>
          <t>Pockets: FICO x CHANNEL</t>
        </is>
      </c>
      <c r="C47" s="89" t="inlineStr">
        <is>
          <t>19 pockets, against a budget of 123. 15 have at least 10 bad loans and can be tested, holding 98% of the loans</t>
        </is>
      </c>
      <c r="E47" s="88" t="n"/>
      <c r="F47" s="89" t="inlineStr">
        <is>
          <t>families is weak evidence.</t>
        </is>
      </c>
      <c r="G47" s="63" t="n"/>
      <c r="K47" t="inlineStr">
        <is>
          <t>row|adds|tests</t>
        </is>
      </c>
      <c r="N47" t="inlineStr">
        <is>
          <t>sp</t>
        </is>
      </c>
    </row>
    <row r="48" ht="18" customHeight="1">
      <c r="B48" s="88" t="n"/>
      <c r="C48" s="89" t="inlineStr">
        <is>
          <t>and 98% of the booked dollars.</t>
        </is>
      </c>
      <c r="K48" t="inlineStr">
        <is>
          <t>row|adds|tests</t>
        </is>
      </c>
      <c r="M48" t="inlineStr">
        <is>
          <t>sp</t>
        </is>
      </c>
    </row>
    <row r="49" ht="18" customHeight="1">
      <c r="B49" s="88" t="inlineStr">
        <is>
          <t>Pockets: FICO x ASSET_CLASS</t>
        </is>
      </c>
      <c r="C49" s="89" t="inlineStr">
        <is>
          <t>25 pockets, against a budget of 123. 20 have at least 10 bad loans and can be tested, holding 98% of the loans</t>
        </is>
      </c>
      <c r="K49" t="inlineStr">
        <is>
          <t>row|adds|tests</t>
        </is>
      </c>
    </row>
    <row r="50" ht="18" customHeight="1">
      <c r="B50" s="88" t="n"/>
      <c r="C50" s="89" t="inlineStr">
        <is>
          <t>and 98% of the booked dollars.</t>
        </is>
      </c>
      <c r="K50" t="inlineStr">
        <is>
          <t>row|adds|tests</t>
        </is>
      </c>
      <c r="M50" t="inlineStr">
        <is>
          <t>sp</t>
        </is>
      </c>
    </row>
    <row r="51" ht="18" customHeight="1">
      <c r="B51" s="88" t="inlineStr">
        <is>
          <t>Pockets: ORIG_BAL x CHANNEL</t>
        </is>
      </c>
      <c r="C51" s="89" t="inlineStr">
        <is>
          <t>16 pockets, against a budget of 123. 15 have at least 10 bad loans and can be tested, holding 100% of the loans</t>
        </is>
      </c>
      <c r="K51" t="inlineStr">
        <is>
          <t>row|adds|tests</t>
        </is>
      </c>
    </row>
    <row r="52" ht="18" customHeight="1">
      <c r="B52" s="88" t="n"/>
      <c r="C52" s="89" t="inlineStr">
        <is>
          <t>and 100% of the booked dollars.</t>
        </is>
      </c>
      <c r="K52" t="inlineStr">
        <is>
          <t>row|adds|tests</t>
        </is>
      </c>
      <c r="M52" t="inlineStr">
        <is>
          <t>sp</t>
        </is>
      </c>
    </row>
    <row r="53" ht="18" customHeight="1">
      <c r="B53" s="88" t="inlineStr">
        <is>
          <t>Pockets: ORIG_BAL x ASSET_CLASS</t>
        </is>
      </c>
      <c r="C53" s="89" t="inlineStr">
        <is>
          <t>21 pockets, against a budget of 123. 20 have at least 10 bad loans and can be tested, holding 100% of the loans</t>
        </is>
      </c>
      <c r="K53" t="inlineStr">
        <is>
          <t>row|adds|tests</t>
        </is>
      </c>
    </row>
    <row r="54" ht="18" customHeight="1">
      <c r="B54" s="88" t="n"/>
      <c r="C54" s="89" t="inlineStr">
        <is>
          <t>and 100% of the booked dollars.</t>
        </is>
      </c>
      <c r="K54" t="inlineStr">
        <is>
          <t>row|adds|tests</t>
        </is>
      </c>
      <c r="M54" t="inlineStr">
        <is>
          <t>sp</t>
        </is>
      </c>
    </row>
    <row r="55" ht="32" customHeight="1">
      <c r="B55" s="88" t="inlineStr">
        <is>
          <t>Pockets: Split: FICO x CHANNEL / REV_DEBT</t>
        </is>
      </c>
      <c r="C55" s="89" t="inlineStr">
        <is>
          <t>37 pockets, against a budget of 123. 23 have at least 10 bad loans and can be tested, holding 75% of the loans</t>
        </is>
      </c>
      <c r="K55" t="inlineStr">
        <is>
          <t>row|adds|tests</t>
        </is>
      </c>
    </row>
    <row r="56" ht="18" customHeight="1">
      <c r="B56" s="88" t="n"/>
      <c r="C56" s="89" t="inlineStr">
        <is>
          <t>and 75% of the booked dollars.</t>
        </is>
      </c>
      <c r="K56" t="inlineStr">
        <is>
          <t>row|adds|tests</t>
        </is>
      </c>
      <c r="M56" t="inlineStr">
        <is>
          <t>sp</t>
        </is>
      </c>
    </row>
    <row r="57" ht="32" customHeight="1">
      <c r="B57" s="88" t="inlineStr">
        <is>
          <t>Pockets: Split: FICO x ASSET_CLASS / REV_DEBT</t>
        </is>
      </c>
      <c r="C57" s="89" t="inlineStr">
        <is>
          <t>49 pockets, against a budget of 123. 24 have at least 10 bad loans and can be tested, holding 59% of the loans</t>
        </is>
      </c>
      <c r="K57" t="inlineStr">
        <is>
          <t>row|adds|tests</t>
        </is>
      </c>
    </row>
    <row r="58" ht="18" customHeight="1">
      <c r="B58" s="88" t="n"/>
      <c r="C58" s="89" t="inlineStr">
        <is>
          <t>and 59% of the booked dollars.</t>
        </is>
      </c>
      <c r="K58" t="inlineStr">
        <is>
          <t>row|adds|tests</t>
        </is>
      </c>
      <c r="M58" t="inlineStr">
        <is>
          <t>sp</t>
        </is>
      </c>
    </row>
    <row r="59" ht="32" customHeight="1">
      <c r="B59" s="88" t="inlineStr">
        <is>
          <t>Pockets: Split: ORIG_BAL x CHANNEL / REV_DEBT</t>
        </is>
      </c>
      <c r="C59" s="89" t="inlineStr">
        <is>
          <t>31 pockets, against a budget of 123. 25 have at least 10 bad loans and can be tested, holding 84% of the loans</t>
        </is>
      </c>
      <c r="K59" t="inlineStr">
        <is>
          <t>row|adds|tests</t>
        </is>
      </c>
    </row>
    <row r="60" ht="18" customHeight="1">
      <c r="B60" s="88" t="n"/>
      <c r="C60" s="89" t="inlineStr">
        <is>
          <t>and 82% of the booked dollars.</t>
        </is>
      </c>
      <c r="K60" t="inlineStr">
        <is>
          <t>row|adds|tests</t>
        </is>
      </c>
      <c r="M60" t="inlineStr">
        <is>
          <t>sp</t>
        </is>
      </c>
    </row>
    <row r="61" ht="32" customHeight="1">
      <c r="B61" s="88" t="inlineStr">
        <is>
          <t>Pockets: Split: ORIG_BAL x ASSET_CLASS / REV_DEBT</t>
        </is>
      </c>
      <c r="C61" s="89" t="inlineStr">
        <is>
          <t>41 pockets, against a budget of 123. 24 have at least 10 bad loans and can be tested, holding 60% of the loans</t>
        </is>
      </c>
      <c r="K61" t="inlineStr">
        <is>
          <t>row|adds|tests</t>
        </is>
      </c>
    </row>
    <row r="62" ht="18" customHeight="1">
      <c r="B62" s="88" t="n"/>
      <c r="C62" s="89" t="inlineStr">
        <is>
          <t>and 58% of the booked dollars.</t>
        </is>
      </c>
      <c r="K62" t="inlineStr">
        <is>
          <t>row|adds|tests</t>
        </is>
      </c>
      <c r="M62" t="inlineStr">
        <is>
          <t>sp</t>
        </is>
      </c>
    </row>
    <row r="63" ht="18" customHeight="1">
      <c r="B63" s="88" t="inlineStr">
        <is>
          <t>Pockets in all</t>
        </is>
      </c>
      <c r="C63" s="89" t="inlineStr">
        <is>
          <t>239 pockets across 8 grids. Testable means at least 10 bad loans (fewest losses): that is the only floor that</t>
        </is>
      </c>
      <c r="K63" t="inlineStr">
        <is>
          <t>row|adds|tests</t>
        </is>
      </c>
    </row>
    <row r="64" ht="18" customHeight="1">
      <c r="B64" s="82" t="n"/>
      <c r="C64" s="83" t="inlineStr">
        <is>
          <t>stops a test now, since a pocket under fewest loans gets the exact test.</t>
        </is>
      </c>
      <c r="E64" s="87" t="n"/>
      <c r="F64" s="87" t="n"/>
      <c r="G64" s="87" t="n"/>
      <c r="K64" t="inlineStr">
        <is>
          <t>row|adds|tests</t>
        </is>
      </c>
      <c r="M64" t="inlineStr">
        <is>
          <t>sp</t>
        </is>
      </c>
    </row>
    <row r="66" ht="24" customHeight="1">
      <c r="B66" s="78" t="inlineStr">
        <is>
          <t>Left out</t>
        </is>
      </c>
      <c r="C66" s="79" t="n"/>
      <c r="E66" s="78" t="inlineStr">
        <is>
          <t>Every Run, newest first</t>
        </is>
      </c>
      <c r="F66" s="79" t="n"/>
      <c r="G66" s="79" t="n"/>
      <c r="K66" t="inlineStr">
        <is>
          <t>pair|left|runs</t>
        </is>
      </c>
    </row>
    <row r="67" ht="18" customHeight="1">
      <c r="B67" s="80" t="inlineStr">
        <is>
          <t>Where</t>
        </is>
      </c>
      <c r="C67" s="80" t="inlineStr">
        <is>
          <t>What and how many</t>
        </is>
      </c>
      <c r="E67" s="80" t="inlineStr">
        <is>
          <t>When</t>
        </is>
      </c>
      <c r="F67" s="80" t="inlineStr">
        <is>
          <t>What happened</t>
        </is>
      </c>
      <c r="G67" s="86" t="n"/>
    </row>
    <row r="68" ht="18" customHeight="1">
      <c r="B68" s="88" t="inlineStr">
        <is>
          <t>Left out of Bad loans</t>
        </is>
      </c>
      <c r="C68" s="89" t="inlineStr">
        <is>
          <t>1 x BAD_FLAG flag not 0 or 1</t>
        </is>
      </c>
      <c r="E68" s="88" t="inlineStr">
        <is>
          <t>2026-09-29 21:04</t>
        </is>
      </c>
      <c r="F68" s="89" t="inlineStr">
        <is>
          <t>Ran on 8,000 loans from Consumer book Q3.csv. What was run: Where the book bleeds.</t>
        </is>
      </c>
      <c r="G68" s="63" t="n"/>
      <c r="K68" t="inlineStr">
        <is>
          <t>row|left|runs</t>
        </is>
      </c>
    </row>
    <row r="69" ht="18" customHeight="1">
      <c r="B69" s="88" t="inlineStr">
        <is>
          <t>Left out of Bad dollars</t>
        </is>
      </c>
      <c r="C69" s="89" t="inlineStr">
        <is>
          <t>1 x ORIG_BAL blank; 1 x BAD_FLAG flag not 0 or 1</t>
        </is>
      </c>
      <c r="E69" s="88" t="inlineStr">
        <is>
          <t>2026-09-29 21:04</t>
        </is>
      </c>
      <c r="F69" s="90" t="inlineStr">
        <is>
          <t>Couldn't run. Fix these, save, close, and press Run again:</t>
        </is>
      </c>
      <c r="G69" s="63" t="n"/>
      <c r="K69" t="inlineStr">
        <is>
          <t>row|left|runs</t>
        </is>
      </c>
    </row>
    <row r="70" ht="18" customHeight="1">
      <c r="B70" s="88" t="inlineStr">
        <is>
          <t>Left out of Charge-offs</t>
        </is>
      </c>
      <c r="C70" s="89" t="inlineStr">
        <is>
          <t>1 x GCO_AMT not a number; 1 x ORIG_BAL blank</t>
        </is>
      </c>
      <c r="E70" s="88" t="n"/>
      <c r="F70" s="89" t="inlineStr">
        <is>
          <t>Control!C15: "How much worse than its comparison a pocket must be" needs an answer. Pick one, or enter</t>
        </is>
      </c>
      <c r="G70" s="63" t="n"/>
      <c r="K70" t="inlineStr">
        <is>
          <t>row|left|runs</t>
        </is>
      </c>
    </row>
    <row r="71" ht="18" customHeight="1">
      <c r="B71" s="88" t="inlineStr">
        <is>
          <t>Left out of Kept after losses</t>
        </is>
      </c>
      <c r="C71" s="89" t="inlineStr">
        <is>
          <t>1 x ORIG_BAL blank</t>
        </is>
      </c>
      <c r="E71" s="88" t="n"/>
      <c r="F71" s="89" t="inlineStr">
        <is>
          <t>your own in column D.</t>
        </is>
      </c>
      <c r="G71" s="63" t="n"/>
      <c r="K71" t="inlineStr">
        <is>
          <t>row|left|runs</t>
        </is>
      </c>
      <c r="N71" t="inlineStr">
        <is>
          <t>sp</t>
        </is>
      </c>
    </row>
    <row r="72" ht="18" customHeight="1">
      <c r="B72" s="88" t="inlineStr">
        <is>
          <t>Left out of Earned before losses</t>
        </is>
      </c>
      <c r="C72" s="89" t="inlineStr">
        <is>
          <t>1 x GCO_AMT not a number; 1 x ORIG_BAL blank</t>
        </is>
      </c>
      <c r="E72" s="88" t="n"/>
      <c r="F72" s="89" t="inlineStr">
        <is>
          <t>Control!C18: "How sure a difference must be before it counts" needs an answer. Pick one, or enter your</t>
        </is>
      </c>
      <c r="G72" s="63" t="n"/>
      <c r="K72" t="inlineStr">
        <is>
          <t>row|left|runs</t>
        </is>
      </c>
    </row>
    <row r="73" ht="18" customHeight="1">
      <c r="B73" s="88" t="inlineStr">
        <is>
          <t>Alone in its band</t>
        </is>
      </c>
      <c r="C73" s="89" t="inlineStr">
        <is>
          <t>8 pockets had no other pocket in its band, so they were compared with the rest of the book.</t>
        </is>
      </c>
      <c r="E73" s="88" t="n"/>
      <c r="F73" s="89" t="inlineStr">
        <is>
          <t>own in column D.</t>
        </is>
      </c>
      <c r="G73" s="63" t="n"/>
      <c r="K73" t="inlineStr">
        <is>
          <t>row|left|runs</t>
        </is>
      </c>
      <c r="N73" t="inlineStr">
        <is>
          <t>sp</t>
        </is>
      </c>
    </row>
    <row r="74" ht="18" customHeight="1">
      <c r="E74" s="88" t="n"/>
      <c r="F74" s="89" t="inlineStr">
        <is>
          <t>Control!C19: "Smallest excess loss worth reporting" needs an answer. Pick one, or enter your own in</t>
        </is>
      </c>
      <c r="G74" s="63" t="n"/>
      <c r="K74" t="inlineStr">
        <is>
          <t>row|left|runs</t>
        </is>
      </c>
    </row>
    <row r="75" ht="18" customHeight="1">
      <c r="E75" s="88" t="n"/>
      <c r="F75" s="89" t="inlineStr">
        <is>
          <t>column D.</t>
        </is>
      </c>
      <c r="G75" s="63" t="n"/>
      <c r="K75" t="inlineStr">
        <is>
          <t>row|left|runs</t>
        </is>
      </c>
      <c r="N75" t="inlineStr">
        <is>
          <t>sp</t>
        </is>
      </c>
    </row>
    <row r="76" ht="18" customHeight="1">
      <c r="E76" s="88" t="n"/>
      <c r="F76" s="89" t="inlineStr">
        <is>
          <t>Control!C16: "How much better than its comparison a pocket must be" needs an answer. Pick one, or enter</t>
        </is>
      </c>
      <c r="G76" s="63" t="n"/>
      <c r="K76" t="inlineStr">
        <is>
          <t>row|left|runs</t>
        </is>
      </c>
    </row>
    <row r="77" ht="18" customHeight="1">
      <c r="E77" s="88" t="n"/>
      <c r="F77" s="89" t="inlineStr">
        <is>
          <t>your own in column D.</t>
        </is>
      </c>
      <c r="G77" s="63" t="n"/>
      <c r="K77" t="inlineStr">
        <is>
          <t>row|left|runs</t>
        </is>
      </c>
      <c r="N77" t="inlineStr">
        <is>
          <t>sp</t>
        </is>
      </c>
    </row>
    <row r="78" ht="18" customHeight="1">
      <c r="E78" s="88" t="n"/>
      <c r="F78" s="89" t="inlineStr">
        <is>
          <t>Control!C17: "How far profit must move before it counts as more or less" needs an answer. Pick one, or</t>
        </is>
      </c>
      <c r="G78" s="63" t="n"/>
      <c r="K78" t="inlineStr">
        <is>
          <t>row|left|runs</t>
        </is>
      </c>
    </row>
    <row r="79" ht="18" customHeight="1">
      <c r="E79" s="88" t="n"/>
      <c r="F79" s="89" t="inlineStr">
        <is>
          <t>enter your own in column D.</t>
        </is>
      </c>
      <c r="G79" s="63" t="n"/>
      <c r="K79" t="inlineStr">
        <is>
          <t>row|left|runs</t>
        </is>
      </c>
      <c r="N79" t="inlineStr">
        <is>
          <t>sp</t>
        </is>
      </c>
    </row>
    <row r="80" ht="18" customHeight="1">
      <c r="E80" s="88" t="n"/>
      <c r="F80" s="89" t="inlineStr">
        <is>
          <t>Control!C20: "What a pocket is judged against" needs an answer. Pick one from the list.</t>
        </is>
      </c>
      <c r="G80" s="63" t="n"/>
      <c r="K80" t="inlineStr">
        <is>
          <t>row|left|runs</t>
        </is>
      </c>
    </row>
    <row r="81" ht="18" customHeight="1">
      <c r="E81" s="88" t="n"/>
      <c r="F81" s="89" t="inlineStr">
        <is>
          <t>Control!C24: "Fewest loans in a pocket for the usual test (smaller ones get the exact test)" needs an</t>
        </is>
      </c>
      <c r="G81" s="63" t="n"/>
      <c r="K81" t="inlineStr">
        <is>
          <t>row|left|runs</t>
        </is>
      </c>
    </row>
    <row r="82" ht="18" customHeight="1">
      <c r="E82" s="88" t="n"/>
      <c r="F82" s="89" t="inlineStr">
        <is>
          <t>answer. Pick one, or enter your own in column D.</t>
        </is>
      </c>
      <c r="G82" s="63" t="n"/>
      <c r="K82" t="inlineStr">
        <is>
          <t>row|left|runs</t>
        </is>
      </c>
      <c r="N82" t="inlineStr">
        <is>
          <t>sp</t>
        </is>
      </c>
    </row>
    <row r="83" ht="18" customHeight="1">
      <c r="E83" s="88" t="n"/>
      <c r="F83" s="89" t="inlineStr">
        <is>
          <t>Control!C25: "Fewest loans with a loss before a loss rate is tested" needs an answer. Pick one, or enter</t>
        </is>
      </c>
      <c r="G83" s="63" t="n"/>
      <c r="K83" t="inlineStr">
        <is>
          <t>row|left|runs</t>
        </is>
      </c>
    </row>
    <row r="84" ht="18" customHeight="1">
      <c r="E84" s="88" t="n"/>
      <c r="F84" s="89" t="inlineStr">
        <is>
          <t>your own in column D.</t>
        </is>
      </c>
      <c r="G84" s="63" t="n"/>
      <c r="K84" t="inlineStr">
        <is>
          <t>row|left|runs</t>
        </is>
      </c>
      <c r="N84" t="inlineStr">
        <is>
          <t>sp</t>
        </is>
      </c>
    </row>
    <row r="85" ht="18" customHeight="1">
      <c r="B85" s="87" t="n"/>
      <c r="C85" s="87" t="n"/>
      <c r="E85" s="82" t="n"/>
      <c r="F85" s="83" t="inlineStr">
        <is>
          <t>Columns!C3: set Checked every column to Yes once you've checked each column's meaning.</t>
        </is>
      </c>
      <c r="G85" s="87" t="n"/>
      <c r="K85" t="inlineStr">
        <is>
          <t>row|left|runs</t>
        </is>
      </c>
    </row>
  </sheetData>
  <mergeCells count="63">
    <mergeCell ref="F73:G73"/>
    <mergeCell ref="F69:G69"/>
    <mergeCell ref="F78:G78"/>
    <mergeCell ref="F29:G29"/>
    <mergeCell ref="C6:G6"/>
    <mergeCell ref="F54:G54"/>
    <mergeCell ref="F68:G68"/>
    <mergeCell ref="F25:G25"/>
    <mergeCell ref="F34:G34"/>
    <mergeCell ref="F63:G63"/>
    <mergeCell ref="C5:G5"/>
    <mergeCell ref="F84:G84"/>
    <mergeCell ref="F40:G40"/>
    <mergeCell ref="F74:G74"/>
    <mergeCell ref="F83:G83"/>
    <mergeCell ref="F59:G59"/>
    <mergeCell ref="C4:G4"/>
    <mergeCell ref="F55:G55"/>
    <mergeCell ref="F24:G24"/>
    <mergeCell ref="F30:G30"/>
    <mergeCell ref="F53:G53"/>
    <mergeCell ref="F51:G51"/>
    <mergeCell ref="F80:G80"/>
    <mergeCell ref="F76:G76"/>
    <mergeCell ref="F33:G33"/>
    <mergeCell ref="F45:G45"/>
    <mergeCell ref="F85:G85"/>
    <mergeCell ref="F36:G36"/>
    <mergeCell ref="F42:G42"/>
    <mergeCell ref="F32:G32"/>
    <mergeCell ref="F50:G50"/>
    <mergeCell ref="F26:G26"/>
    <mergeCell ref="F41:G41"/>
    <mergeCell ref="F70:G70"/>
    <mergeCell ref="F79:G79"/>
    <mergeCell ref="F35:G35"/>
    <mergeCell ref="F75:G75"/>
    <mergeCell ref="F47:G47"/>
    <mergeCell ref="F62:G62"/>
    <mergeCell ref="F38:G38"/>
    <mergeCell ref="F72:G72"/>
    <mergeCell ref="F81:G81"/>
    <mergeCell ref="F31:G31"/>
    <mergeCell ref="F46:G46"/>
    <mergeCell ref="F28:G28"/>
    <mergeCell ref="F27:G27"/>
    <mergeCell ref="F56:G56"/>
    <mergeCell ref="F58:G58"/>
    <mergeCell ref="F52:G52"/>
    <mergeCell ref="F67:G67"/>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/tmp/credit/Loan files/Consumer book Q3.csv</t>
        </is>
      </c>
    </row>
    <row r="2">
      <c r="A2" t="inlineStr">
        <is>
          <t>sha256</t>
        </is>
      </c>
      <c r="B2" t="inlineStr">
        <is>
          <t>2c2b0dcd84ab82cb96df95249ed52cd5d0be574a8401b417e2359ea95d36149f</t>
        </is>
      </c>
    </row>
    <row r="3">
      <c r="A3" t="inlineStr">
        <is>
          <t>set up</t>
        </is>
      </c>
      <c r="B3" t="inlineStr">
        <is>
          <t>2026-09-29</t>
        </is>
      </c>
    </row>
    <row r="4">
      <c r="A4" t="inlineStr">
        <is>
          <t>extract name</t>
        </is>
      </c>
      <c r="B4" t="inlineStr">
        <is>
          <t>Consumer book Q3.csv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2026-09-29 21:04</t>
        </is>
      </c>
      <c r="B4" t="inlineStr">
        <is>
          <t>Ran on 8,000 loans from Consumer book Q3.csv. What was run: Where the book bleeds.</t>
        </is>
      </c>
    </row>
    <row r="5"/>
    <row r="6">
      <c r="A6" t="inlineStr">
        <is>
          <t>2026-09-29 21:04</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9"/>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Split: Grid</t>
        </is>
      </c>
      <c r="N1" t="inlineStr">
        <is>
          <t>Split: Measure</t>
        </is>
      </c>
      <c r="O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FICO x CHANNEL</t>
        </is>
      </c>
      <c r="N2" t="inlineStr">
        <is>
          <t>Bad loans</t>
        </is>
      </c>
      <c r="O2" t="inlineStr">
        <is>
          <t>outcome_loans</t>
        </is>
      </c>
    </row>
    <row r="3">
      <c r="A3" t="inlineStr">
        <is>
          <t>Bad dollars</t>
        </is>
      </c>
      <c r="B3" t="inlineStr">
        <is>
          <t>outcome_booked</t>
        </is>
      </c>
      <c r="C3" t="n">
        <v>0</v>
      </c>
      <c r="D3" t="n">
        <v>0</v>
      </c>
      <c r="E3" t="inlineStr">
        <is>
          <t>Split by REV_DEBT</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FICO x ASSET_CLASS</t>
        </is>
      </c>
      <c r="N3" t="inlineStr">
        <is>
          <t>Bad dollars</t>
        </is>
      </c>
      <c r="O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M4" t="inlineStr">
        <is>
          <t>ORIG_BAL x CHANNEL</t>
        </is>
      </c>
      <c r="N4" t="inlineStr">
        <is>
          <t>Charge-offs</t>
        </is>
      </c>
      <c r="O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M5" t="inlineStr">
        <is>
          <t>ORIG_BAL x ASSET_CLASS</t>
        </is>
      </c>
      <c r="N5" t="inlineStr">
        <is>
          <t>Kept after losses</t>
        </is>
      </c>
      <c r="O5" t="inlineStr">
        <is>
          <t>ranr_rate</t>
        </is>
      </c>
    </row>
    <row r="6">
      <c r="A6" t="inlineStr">
        <is>
          <t>Earned before losses</t>
        </is>
      </c>
      <c r="B6" t="inlineStr">
        <is>
          <t>contribution_rate</t>
        </is>
      </c>
      <c r="C6" t="n">
        <v>1</v>
      </c>
      <c r="D6" t="n">
        <v>0</v>
      </c>
      <c r="H6" t="inlineStr">
        <is>
          <t>FICO x CHANNEL / REV_DEBT</t>
        </is>
      </c>
      <c r="I6" t="inlineStr">
        <is>
          <t>Earned before losses</t>
        </is>
      </c>
      <c r="J6" t="inlineStr">
        <is>
          <t>contribution_rate</t>
        </is>
      </c>
      <c r="K6" t="inlineStr">
        <is>
          <t>{these} earned {r} of {their} booked dollars before losses.</t>
        </is>
      </c>
      <c r="L6" t="inlineStr">
        <is>
          <t>Earned {pts} points {more} of their booked dollars than {against}.</t>
        </is>
      </c>
      <c r="N6" t="inlineStr">
        <is>
          <t>Earned before losses</t>
        </is>
      </c>
      <c r="O6" t="inlineStr">
        <is>
          <t>contribution_rate</t>
        </is>
      </c>
    </row>
    <row r="7">
      <c r="H7" t="inlineStr">
        <is>
          <t>FICO x ASSET_CLASS / REV_DEBT</t>
        </is>
      </c>
    </row>
    <row r="8">
      <c r="H8" t="inlineStr">
        <is>
          <t>ORIG_BAL x CHANNEL / REV_DEBT</t>
        </is>
      </c>
    </row>
    <row r="9">
      <c r="H9" t="inlineStr">
        <is>
          <t>ORIG_BAL x ASSET_CLASS / REV_DEBT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520"/>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CHANNEL|rows</t>
        </is>
      </c>
      <c r="B81" t="inlineStr">
        <is>
          <t>496 - 653</t>
        </is>
      </c>
      <c r="C81" t="inlineStr">
        <is>
          <t>654 - 685</t>
        </is>
      </c>
      <c r="D81" t="inlineStr">
        <is>
          <t>686 - 711</t>
        </is>
      </c>
      <c r="E81" t="inlineStr">
        <is>
          <t>712 - 745</t>
        </is>
      </c>
      <c r="F81" t="inlineStr">
        <is>
          <t>746 - 921</t>
        </is>
      </c>
      <c r="G81" t="inlineStr">
        <is>
          <t>(blank)</t>
        </is>
      </c>
      <c r="H81" t="inlineStr">
        <is>
          <t>(marked missing)</t>
        </is>
      </c>
      <c r="I81" t="inlineStr">
        <is>
          <t>All</t>
        </is>
      </c>
    </row>
    <row r="82">
      <c r="A82" t="inlineStr">
        <is>
          <t>G|FICO x CHANNEL|names</t>
        </is>
      </c>
      <c r="B82" t="inlineStr">
        <is>
          <t>FICO</t>
        </is>
      </c>
      <c r="C82" t="inlineStr">
        <is>
          <t>CHANNEL</t>
        </is>
      </c>
    </row>
    <row r="83">
      <c r="A83" t="inlineStr">
        <is>
          <t>G|FICO x CHANNEL|total</t>
        </is>
      </c>
      <c r="B83" t="n">
        <v>8000</v>
      </c>
    </row>
    <row r="84">
      <c r="A84" t="inlineStr">
        <is>
          <t>G|FICO x CHANNEL|loans|1</t>
        </is>
      </c>
      <c r="B84" t="n">
        <v>502</v>
      </c>
      <c r="C84" t="n">
        <v>523</v>
      </c>
      <c r="D84" t="n">
        <v>531</v>
      </c>
      <c r="E84" t="n">
        <v>1556</v>
      </c>
    </row>
    <row r="85">
      <c r="A85" t="inlineStr">
        <is>
          <t>G|FICO x CHANNEL|loans|2</t>
        </is>
      </c>
      <c r="B85" t="n">
        <v>503</v>
      </c>
      <c r="C85" t="n">
        <v>531</v>
      </c>
      <c r="D85" t="n">
        <v>505</v>
      </c>
      <c r="E85" t="n">
        <v>1539</v>
      </c>
    </row>
    <row r="86">
      <c r="A86" t="inlineStr">
        <is>
          <t>G|FICO x CHANNEL|loans|3</t>
        </is>
      </c>
      <c r="B86" t="n">
        <v>515</v>
      </c>
      <c r="C86" t="n">
        <v>501</v>
      </c>
      <c r="D86" t="n">
        <v>546</v>
      </c>
      <c r="E86" t="n">
        <v>1562</v>
      </c>
    </row>
    <row r="87">
      <c r="A87" t="inlineStr">
        <is>
          <t>G|FICO x CHANNEL|loans|4</t>
        </is>
      </c>
      <c r="B87" t="n">
        <v>538</v>
      </c>
      <c r="C87" t="n">
        <v>509</v>
      </c>
      <c r="D87" t="n">
        <v>564</v>
      </c>
      <c r="E87" t="n">
        <v>1611</v>
      </c>
    </row>
    <row r="88">
      <c r="A88" t="inlineStr">
        <is>
          <t>G|FICO x CHANNEL|loans|5</t>
        </is>
      </c>
      <c r="B88" t="n">
        <v>518</v>
      </c>
      <c r="C88" t="n">
        <v>536</v>
      </c>
      <c r="D88" t="n">
        <v>517</v>
      </c>
      <c r="E88" t="n">
        <v>1571</v>
      </c>
    </row>
    <row r="89">
      <c r="A89" t="inlineStr">
        <is>
          <t>G|FICO x CHANNEL|loans|6</t>
        </is>
      </c>
      <c r="C89" t="n">
        <v>1</v>
      </c>
      <c r="E89" t="n">
        <v>1</v>
      </c>
    </row>
    <row r="90">
      <c r="A90" t="inlineStr">
        <is>
          <t>G|FICO x CHANNEL|loans|7</t>
        </is>
      </c>
      <c r="B90" t="n">
        <v>51</v>
      </c>
      <c r="C90" t="n">
        <v>54</v>
      </c>
      <c r="D90" t="n">
        <v>55</v>
      </c>
      <c r="E90" t="n">
        <v>160</v>
      </c>
    </row>
    <row r="91">
      <c r="A91" t="inlineStr">
        <is>
          <t>G|FICO x CHANNEL|loans|8</t>
        </is>
      </c>
      <c r="B91" t="n">
        <v>2627</v>
      </c>
      <c r="C91" t="n">
        <v>2655</v>
      </c>
      <c r="D91" t="n">
        <v>2718</v>
      </c>
      <c r="E91" t="n">
        <v>8000</v>
      </c>
    </row>
    <row r="92">
      <c r="A92" t="inlineStr">
        <is>
          <t>G|FICO x CHANNEL|outcome_loans|rate|1</t>
        </is>
      </c>
      <c r="B92" t="n">
        <v>0.1017964071856287</v>
      </c>
      <c r="C92" t="n">
        <v>0.2447418738049713</v>
      </c>
      <c r="D92" t="n">
        <v>0.1035781544256121</v>
      </c>
      <c r="E92" t="n">
        <v>0.1504823151125402</v>
      </c>
    </row>
    <row r="93">
      <c r="A93" t="inlineStr">
        <is>
          <t>G|FICO x CHANNEL|outcome_loans|book|1</t>
        </is>
      </c>
      <c r="B93" t="n">
        <v>1.315459549398779</v>
      </c>
      <c r="C93" t="n">
        <v>3.162665991221269</v>
      </c>
      <c r="D93" t="n">
        <v>1.33848409895068</v>
      </c>
      <c r="E93" t="n">
        <v>1.944601031640079</v>
      </c>
    </row>
    <row r="94">
      <c r="A94" t="inlineStr">
        <is>
          <t>G|FICO x CHANNEL|outcome_loans|band|1</t>
        </is>
      </c>
      <c r="B94" t="n">
        <v>0.5863028042276104</v>
      </c>
      <c r="C94" t="n">
        <v>2.38276994119557</v>
      </c>
      <c r="D94" t="n">
        <v>0.5925364811833896</v>
      </c>
    </row>
    <row r="95">
      <c r="A95" t="inlineStr">
        <is>
          <t>G|FICO x CHANNEL|outcome_loans|rate|2</t>
        </is>
      </c>
      <c r="B95" t="n">
        <v>0.08946322067594434</v>
      </c>
      <c r="C95" t="n">
        <v>0.08097928436911488</v>
      </c>
      <c r="D95" t="n">
        <v>0.08316831683168317</v>
      </c>
      <c r="E95" t="n">
        <v>0.08447043534762833</v>
      </c>
    </row>
    <row r="96">
      <c r="A96" t="inlineStr">
        <is>
          <t>G|FICO x CHANNEL|outcome_loans|book|2</t>
        </is>
      </c>
      <c r="B96" t="n">
        <v>1.156084494647623</v>
      </c>
      <c r="C96" t="n">
        <v>1.046451204634168</v>
      </c>
      <c r="D96" t="n">
        <v>1.074738879380668</v>
      </c>
      <c r="E96" t="n">
        <v>1.091565448054409</v>
      </c>
    </row>
    <row r="97">
      <c r="A97" t="inlineStr">
        <is>
          <t>G|FICO x CHANNEL|outcome_loans|band|2</t>
        </is>
      </c>
      <c r="B97" t="n">
        <v>1.09039878376798</v>
      </c>
      <c r="C97" t="n">
        <v>0.938242743035262</v>
      </c>
      <c r="D97" t="n">
        <v>0.9772277227722773</v>
      </c>
    </row>
    <row r="98">
      <c r="A98" t="inlineStr">
        <is>
          <t>G|FICO x CHANNEL|outcome_loans|rate|3</t>
        </is>
      </c>
      <c r="B98" t="n">
        <v>0.05436893203883495</v>
      </c>
      <c r="C98" t="n">
        <v>0.05189620758483034</v>
      </c>
      <c r="D98" t="n">
        <v>0.07692307692307693</v>
      </c>
      <c r="E98" t="n">
        <v>0.06145966709346991</v>
      </c>
    </row>
    <row r="99">
      <c r="A99" t="inlineStr">
        <is>
          <t>G|FICO x CHANNEL|outcome_loans|book|3</t>
        </is>
      </c>
      <c r="B99" t="n">
        <v>0.7025801088507928</v>
      </c>
      <c r="C99" t="n">
        <v>0.6706264369483972</v>
      </c>
      <c r="D99" t="n">
        <v>0.9940350441158196</v>
      </c>
      <c r="E99" t="n">
        <v>0.7942098175778123</v>
      </c>
    </row>
    <row r="100">
      <c r="A100" t="inlineStr">
        <is>
          <t>G|FICO x CHANNEL|outcome_loans|band|3</t>
        </is>
      </c>
      <c r="B100" t="n">
        <v>0.8371216447744146</v>
      </c>
      <c r="C100" t="n">
        <v>0.7865982321072141</v>
      </c>
      <c r="D100" t="n">
        <v>1.447293447293447</v>
      </c>
    </row>
    <row r="101">
      <c r="A101" t="inlineStr">
        <is>
          <t>G|FICO x CHANNEL|outcome_loans|rate|4</t>
        </is>
      </c>
      <c r="B101" t="n">
        <v>0.04089219330855019</v>
      </c>
      <c r="C101" t="n">
        <v>0.03143418467583497</v>
      </c>
      <c r="D101" t="n">
        <v>0.08687943262411348</v>
      </c>
      <c r="E101" t="n">
        <v>0.05400372439478585</v>
      </c>
    </row>
    <row r="102">
      <c r="A102" t="inlineStr">
        <is>
          <t>G|FICO x CHANNEL|outcome_loans|book|4</t>
        </is>
      </c>
      <c r="B102" t="n">
        <v>0.5284275513329449</v>
      </c>
      <c r="C102" t="n">
        <v>0.4062068549628496</v>
      </c>
      <c r="D102" t="n">
        <v>1.122695608336484</v>
      </c>
      <c r="E102" t="n">
        <v>0.6978607292954636</v>
      </c>
    </row>
    <row r="103">
      <c r="A103" t="inlineStr">
        <is>
          <t>G|FICO x CHANNEL|outcome_loans|band|4</t>
        </is>
      </c>
      <c r="B103" t="n">
        <v>0.6750357449242208</v>
      </c>
      <c r="C103" t="n">
        <v>0.4878939649685934</v>
      </c>
      <c r="D103" t="n">
        <v>2.393756998880179</v>
      </c>
    </row>
    <row r="104">
      <c r="A104" t="inlineStr">
        <is>
          <t>G|FICO x CHANNEL|outcome_loans|rate|5</t>
        </is>
      </c>
      <c r="B104" t="n">
        <v>0.0444015444015444</v>
      </c>
      <c r="C104" t="n">
        <v>0.03731343283582089</v>
      </c>
      <c r="D104" t="n">
        <v>0.0367504835589942</v>
      </c>
      <c r="E104" t="n">
        <v>0.03946530872056015</v>
      </c>
    </row>
    <row r="105">
      <c r="A105" t="inlineStr">
        <is>
          <t>G|FICO x CHANNEL|outcome_loans|book|5</t>
        </is>
      </c>
      <c r="B105" t="n">
        <v>0.5737769849239962</v>
      </c>
      <c r="C105" t="n">
        <v>0.4821811781158826</v>
      </c>
      <c r="D105" t="n">
        <v>0.4749064910959525</v>
      </c>
      <c r="E105" t="n">
        <v>0.5099886986361238</v>
      </c>
    </row>
    <row r="106">
      <c r="A106" t="inlineStr">
        <is>
          <t>G|FICO x CHANNEL|outcome_loans|band|5</t>
        </is>
      </c>
      <c r="B106" t="n">
        <v>1.198841698841699</v>
      </c>
      <c r="C106" t="n">
        <v>0.9195095948827292</v>
      </c>
      <c r="D106" t="n">
        <v>0.9008141783995323</v>
      </c>
    </row>
    <row r="107">
      <c r="A107" t="inlineStr">
        <is>
          <t>G|FICO x CHANNEL|outcome_loans|rate|6</t>
        </is>
      </c>
      <c r="C107" t="n">
        <v>0</v>
      </c>
      <c r="E107" t="n">
        <v>0</v>
      </c>
    </row>
    <row r="108">
      <c r="A108" t="inlineStr">
        <is>
          <t>G|FICO x CHANNEL|outcome_loans|book|6</t>
        </is>
      </c>
    </row>
    <row r="109">
      <c r="A109" t="inlineStr">
        <is>
          <t>G|FICO x CHANNEL|outcome_loans|band|6</t>
        </is>
      </c>
    </row>
    <row r="110">
      <c r="A110" t="inlineStr">
        <is>
          <t>G|FICO x CHANNEL|outcome_loans|rate|7</t>
        </is>
      </c>
      <c r="B110" t="n">
        <v>0.0196078431372549</v>
      </c>
      <c r="C110" t="n">
        <v>0.1296296296296296</v>
      </c>
      <c r="D110" t="n">
        <v>0.03636363636363636</v>
      </c>
      <c r="E110" t="n">
        <v>0.0625</v>
      </c>
    </row>
    <row r="111">
      <c r="A111" t="inlineStr">
        <is>
          <t>G|FICO x CHANNEL|outcome_loans|book|7</t>
        </is>
      </c>
      <c r="E111" t="n">
        <v>0.8076534733441034</v>
      </c>
    </row>
    <row r="112">
      <c r="A112" t="inlineStr">
        <is>
          <t>G|FICO x CHANNEL|outcome_loans|band|7</t>
        </is>
      </c>
    </row>
    <row r="113">
      <c r="A113" t="inlineStr">
        <is>
          <t>G|FICO x CHANNEL|outcome_loans|rate|8</t>
        </is>
      </c>
      <c r="B113" t="n">
        <v>0.06473724295506474</v>
      </c>
      <c r="C113" t="n">
        <v>0.0903954802259887</v>
      </c>
      <c r="D113" t="n">
        <v>0.07689477557027226</v>
      </c>
      <c r="E113" t="n">
        <v>0.07738467308413552</v>
      </c>
    </row>
    <row r="114">
      <c r="A114" t="inlineStr">
        <is>
          <t>G|FICO x CHANNEL|outcome_loans|book|8</t>
        </is>
      </c>
      <c r="B114" t="n">
        <v>0.8365641460380659</v>
      </c>
      <c r="C114" t="n">
        <v>1.168131577266048</v>
      </c>
      <c r="D114" t="n">
        <v>0.9936693211415312</v>
      </c>
      <c r="E114" t="n">
        <v>1</v>
      </c>
    </row>
    <row r="115">
      <c r="A115" t="inlineStr">
        <is>
          <t>G|FICO x CHANNEL|outcome_loans|band|8</t>
        </is>
      </c>
    </row>
    <row r="116">
      <c r="A116" t="inlineStr">
        <is>
          <t>G|FICO x CHANNEL|outcome_loans|meta</t>
        </is>
      </c>
      <c r="B116" t="inlineStr">
        <is>
          <t>x</t>
        </is>
      </c>
      <c r="C116" t="n">
        <v>3.162665991221269</v>
      </c>
      <c r="D116" t="n">
        <v>10</v>
      </c>
    </row>
    <row r="117">
      <c r="A117" t="inlineStr">
        <is>
          <t>G|FICO x CHANNEL|outcome_booked|rate|1</t>
        </is>
      </c>
      <c r="B117" t="n">
        <v>0.1032366130282964</v>
      </c>
      <c r="C117" t="n">
        <v>0.2452047977290487</v>
      </c>
      <c r="D117" t="n">
        <v>0.09804363285320282</v>
      </c>
      <c r="E117" t="n">
        <v>0.1491655756309188</v>
      </c>
    </row>
    <row r="118">
      <c r="A118" t="inlineStr">
        <is>
          <t>G|FICO x CHANNEL|outcome_booked|book|1</t>
        </is>
      </c>
      <c r="B118" t="n">
        <v>1.37963616176999</v>
      </c>
      <c r="C118" t="n">
        <v>3.276874318743562</v>
      </c>
      <c r="D118" t="n">
        <v>1.310238076858486</v>
      </c>
      <c r="E118" t="n">
        <v>1.993422839000397</v>
      </c>
    </row>
    <row r="119">
      <c r="A119" t="inlineStr">
        <is>
          <t>G|FICO x CHANNEL|outcome_booked|band|1</t>
        </is>
      </c>
      <c r="B119" t="n">
        <v>0.6039812851062788</v>
      </c>
      <c r="C119" t="n">
        <v>2.438440600661326</v>
      </c>
      <c r="D119" t="n">
        <v>0.5577235040008647</v>
      </c>
    </row>
    <row r="120">
      <c r="A120" t="inlineStr">
        <is>
          <t>G|FICO x CHANNEL|outcome_booked|rate|2</t>
        </is>
      </c>
      <c r="B120" t="n">
        <v>0.08626501981866973</v>
      </c>
      <c r="C120" t="n">
        <v>0.07651412632770158</v>
      </c>
      <c r="D120" t="n">
        <v>0.07697322210798571</v>
      </c>
      <c r="E120" t="n">
        <v>0.07985779590889652</v>
      </c>
    </row>
    <row r="121">
      <c r="A121" t="inlineStr">
        <is>
          <t>G|FICO x CHANNEL|outcome_booked|book|2</t>
        </is>
      </c>
      <c r="B121" t="n">
        <v>1.152830738499922</v>
      </c>
      <c r="C121" t="n">
        <v>1.022521491856776</v>
      </c>
      <c r="D121" t="n">
        <v>1.028656768108259</v>
      </c>
      <c r="E121" t="n">
        <v>1.067205711262177</v>
      </c>
    </row>
    <row r="122">
      <c r="A122" t="inlineStr">
        <is>
          <t>G|FICO x CHANNEL|outcome_booked|band|2</t>
        </is>
      </c>
      <c r="B122" t="n">
        <v>1.124215883183804</v>
      </c>
      <c r="C122" t="n">
        <v>0.9369131281724594</v>
      </c>
      <c r="D122" t="n">
        <v>0.9476799112696344</v>
      </c>
    </row>
    <row r="123">
      <c r="A123" t="inlineStr">
        <is>
          <t>G|FICO x CHANNEL|outcome_booked|rate|3</t>
        </is>
      </c>
      <c r="B123" t="n">
        <v>0.04502360615694115</v>
      </c>
      <c r="C123" t="n">
        <v>0.04625110965994935</v>
      </c>
      <c r="D123" t="n">
        <v>0.07807485876303806</v>
      </c>
      <c r="E123" t="n">
        <v>0.05686223568965074</v>
      </c>
    </row>
    <row r="124">
      <c r="A124" t="inlineStr">
        <is>
          <t>G|FICO x CHANNEL|outcome_booked|book|3</t>
        </is>
      </c>
      <c r="B124" t="n">
        <v>0.6016876509730165</v>
      </c>
      <c r="C124" t="n">
        <v>0.6180917945396528</v>
      </c>
      <c r="D124" t="n">
        <v>1.043378848984982</v>
      </c>
      <c r="E124" t="n">
        <v>0.7598970393868687</v>
      </c>
    </row>
    <row r="125">
      <c r="A125" t="inlineStr">
        <is>
          <t>G|FICO x CHANNEL|outcome_booked|band|3</t>
        </is>
      </c>
      <c r="B125" t="n">
        <v>0.718131796099021</v>
      </c>
      <c r="C125" t="n">
        <v>0.7466818259615715</v>
      </c>
      <c r="D125" t="n">
        <v>1.710989447132353</v>
      </c>
    </row>
    <row r="126">
      <c r="A126" t="inlineStr">
        <is>
          <t>G|FICO x CHANNEL|outcome_booked|rate|4</t>
        </is>
      </c>
      <c r="B126" t="n">
        <v>0.04121392727379864</v>
      </c>
      <c r="C126" t="n">
        <v>0.03545096557474654</v>
      </c>
      <c r="D126" t="n">
        <v>0.08332388471451478</v>
      </c>
      <c r="E126" t="n">
        <v>0.05451749193722224</v>
      </c>
    </row>
    <row r="127">
      <c r="A127" t="inlineStr">
        <is>
          <t>G|FICO x CHANNEL|outcome_booked|book|4</t>
        </is>
      </c>
      <c r="B127" t="n">
        <v>0.5507757642136718</v>
      </c>
      <c r="C127" t="n">
        <v>0.4737605452358035</v>
      </c>
      <c r="D127" t="n">
        <v>1.113525919915539</v>
      </c>
      <c r="E127" t="n">
        <v>0.7285622912191043</v>
      </c>
    </row>
    <row r="128">
      <c r="A128" t="inlineStr">
        <is>
          <t>G|FICO x CHANNEL|outcome_booked|band|4</t>
        </is>
      </c>
      <c r="B128" t="n">
        <v>0.6771166315286687</v>
      </c>
      <c r="C128" t="n">
        <v>0.5592595872783042</v>
      </c>
      <c r="D128" t="n">
        <v>2.172307734022388</v>
      </c>
    </row>
    <row r="129">
      <c r="A129" t="inlineStr">
        <is>
          <t>G|FICO x CHANNEL|outcome_booked|rate|5</t>
        </is>
      </c>
      <c r="B129" t="n">
        <v>0.04094877956620275</v>
      </c>
      <c r="C129" t="n">
        <v>0.03370544807318695</v>
      </c>
      <c r="D129" t="n">
        <v>0.0359906323755155</v>
      </c>
      <c r="E129" t="n">
        <v>0.03682990751373654</v>
      </c>
    </row>
    <row r="130">
      <c r="A130" t="inlineStr">
        <is>
          <t>G|FICO x CHANNEL|outcome_booked|book|5</t>
        </is>
      </c>
      <c r="B130" t="n">
        <v>0.5472323763120419</v>
      </c>
      <c r="C130" t="n">
        <v>0.4504337525843054</v>
      </c>
      <c r="D130" t="n">
        <v>0.4809725586078762</v>
      </c>
      <c r="E130" t="n">
        <v>0.4921884857523176</v>
      </c>
    </row>
    <row r="131">
      <c r="A131" t="inlineStr">
        <is>
          <t>G|FICO x CHANNEL|outcome_booked|band|5</t>
        </is>
      </c>
      <c r="B131" t="n">
        <v>1.175288487477193</v>
      </c>
      <c r="C131" t="n">
        <v>0.8769839649578951</v>
      </c>
      <c r="D131" t="n">
        <v>0.9661081622512918</v>
      </c>
    </row>
    <row r="132">
      <c r="A132" t="inlineStr">
        <is>
          <t>G|FICO x CHANNEL|outcome_booked|rate|6</t>
        </is>
      </c>
      <c r="C132" t="n">
        <v>0</v>
      </c>
      <c r="E132" t="n">
        <v>0</v>
      </c>
    </row>
    <row r="133">
      <c r="A133" t="inlineStr">
        <is>
          <t>G|FICO x CHANNEL|outcome_booked|book|6</t>
        </is>
      </c>
    </row>
    <row r="134">
      <c r="A134" t="inlineStr">
        <is>
          <t>G|FICO x CHANNEL|outcome_booked|band|6</t>
        </is>
      </c>
    </row>
    <row r="135">
      <c r="A135" t="inlineStr">
        <is>
          <t>G|FICO x CHANNEL|outcome_booked|rate|7</t>
        </is>
      </c>
      <c r="B135" t="n">
        <v>0.01600431583552905</v>
      </c>
      <c r="C135" t="n">
        <v>0.1031903128947965</v>
      </c>
      <c r="D135" t="n">
        <v>0.02927043551277416</v>
      </c>
      <c r="E135" t="n">
        <v>0.04815037624246446</v>
      </c>
    </row>
    <row r="136">
      <c r="A136" t="inlineStr">
        <is>
          <t>G|FICO x CHANNEL|outcome_booked|book|7</t>
        </is>
      </c>
      <c r="E136" t="n">
        <v>0.6434732631990415</v>
      </c>
    </row>
    <row r="137">
      <c r="A137" t="inlineStr">
        <is>
          <t>G|FICO x CHANNEL|outcome_booked|band|7</t>
        </is>
      </c>
    </row>
    <row r="138">
      <c r="A138" t="inlineStr">
        <is>
          <t>G|FICO x CHANNEL|outcome_booked|rate|8</t>
        </is>
      </c>
      <c r="B138" t="n">
        <v>0.06209402737287426</v>
      </c>
      <c r="C138" t="n">
        <v>0.08834961310910708</v>
      </c>
      <c r="D138" t="n">
        <v>0.07378839081032544</v>
      </c>
      <c r="E138" t="n">
        <v>0.07482886857347225</v>
      </c>
    </row>
    <row r="139">
      <c r="A139" t="inlineStr">
        <is>
          <t>G|FICO x CHANNEL|outcome_booked|book|8</t>
        </is>
      </c>
      <c r="B139" t="n">
        <v>0.8298137945505067</v>
      </c>
      <c r="C139" t="n">
        <v>1.180688881088174</v>
      </c>
      <c r="D139" t="n">
        <v>0.9860952359298967</v>
      </c>
      <c r="E139" t="n">
        <v>0.9999999999999987</v>
      </c>
    </row>
    <row r="140">
      <c r="A140" t="inlineStr">
        <is>
          <t>G|FICO x CHANNEL|outcome_booked|band|8</t>
        </is>
      </c>
    </row>
    <row r="141">
      <c r="A141" t="inlineStr">
        <is>
          <t>G|FICO x CHANNEL|outcome_booked|meta</t>
        </is>
      </c>
      <c r="B141" t="inlineStr">
        <is>
          <t>x</t>
        </is>
      </c>
      <c r="C141" t="n">
        <v>3.276874318743562</v>
      </c>
      <c r="D141" t="n">
        <v>10</v>
      </c>
    </row>
    <row r="142">
      <c r="A142" t="inlineStr">
        <is>
          <t>G|FICO x CHANNEL|gco_rate|rate|1</t>
        </is>
      </c>
      <c r="B142" t="n">
        <v>0.05382250925935985</v>
      </c>
      <c r="C142" t="n">
        <v>0.1416885243252877</v>
      </c>
      <c r="D142" t="n">
        <v>0.05418720216775902</v>
      </c>
      <c r="E142" t="n">
        <v>0.08345255929305037</v>
      </c>
    </row>
    <row r="143">
      <c r="A143" t="inlineStr">
        <is>
          <t>G|FICO x CHANNEL|gco_rate|book|1</t>
        </is>
      </c>
      <c r="B143" t="n">
        <v>1.293646581223346</v>
      </c>
      <c r="C143" t="n">
        <v>3.405543101097873</v>
      </c>
      <c r="D143" t="n">
        <v>1.302412128215471</v>
      </c>
      <c r="E143" t="n">
        <v>2.005817259532897</v>
      </c>
    </row>
    <row r="144">
      <c r="A144" t="inlineStr">
        <is>
          <t>G|FICO x CHANNEL|gco_rate|band|1</t>
        </is>
      </c>
      <c r="B144" t="n">
        <v>0.5518943693761096</v>
      </c>
      <c r="C144" t="n">
        <v>2.623355637889496</v>
      </c>
      <c r="D144" t="n">
        <v>0.5491282604182235</v>
      </c>
    </row>
    <row r="145">
      <c r="A145" t="inlineStr">
        <is>
          <t>G|FICO x CHANNEL|gco_rate|rate|2</t>
        </is>
      </c>
      <c r="B145" t="n">
        <v>0.05005569466772698</v>
      </c>
      <c r="C145" t="n">
        <v>0.04225891257503112</v>
      </c>
      <c r="D145" t="n">
        <v>0.04350405077341554</v>
      </c>
      <c r="E145" t="n">
        <v>0.04521453740915432</v>
      </c>
    </row>
    <row r="146">
      <c r="A146" t="inlineStr">
        <is>
          <t>G|FICO x CHANNEL|gco_rate|book|2</t>
        </is>
      </c>
      <c r="B146" t="n">
        <v>1.203109612850385</v>
      </c>
      <c r="C146" t="n">
        <v>1.015710685569688</v>
      </c>
      <c r="D146" t="n">
        <v>1.045638104332879</v>
      </c>
      <c r="E146" t="n">
        <v>1.086750367937848</v>
      </c>
    </row>
    <row r="147">
      <c r="A147" t="inlineStr">
        <is>
          <t>G|FICO x CHANNEL|gco_rate|band|2</t>
        </is>
      </c>
      <c r="B147" t="n">
        <v>1.168054905981109</v>
      </c>
      <c r="C147" t="n">
        <v>0.9027162731903188</v>
      </c>
      <c r="D147" t="n">
        <v>0.9452479312942789</v>
      </c>
    </row>
    <row r="148">
      <c r="A148" t="inlineStr">
        <is>
          <t>G|FICO x CHANNEL|gco_rate|rate|3</t>
        </is>
      </c>
      <c r="B148" t="n">
        <v>0.02416902423541164</v>
      </c>
      <c r="C148" t="n">
        <v>0.02640479870989074</v>
      </c>
      <c r="D148" t="n">
        <v>0.0432990046008993</v>
      </c>
      <c r="E148" t="n">
        <v>0.03151500509362794</v>
      </c>
    </row>
    <row r="149">
      <c r="A149" t="inlineStr">
        <is>
          <t>G|FICO x CHANNEL|gco_rate|book|3</t>
        </is>
      </c>
      <c r="B149" t="n">
        <v>0.5809126330951804</v>
      </c>
      <c r="C149" t="n">
        <v>0.6346504101906126</v>
      </c>
      <c r="D149" t="n">
        <v>1.040709733587652</v>
      </c>
      <c r="E149" t="n">
        <v>0.7574763636557552</v>
      </c>
    </row>
    <row r="150">
      <c r="A150" t="inlineStr">
        <is>
          <t>G|FICO x CHANNEL|gco_rate|band|3</t>
        </is>
      </c>
      <c r="B150" t="n">
        <v>0.6878985196916947</v>
      </c>
      <c r="C150" t="n">
        <v>0.7774930635253152</v>
      </c>
      <c r="D150" t="n">
        <v>1.713043008488713</v>
      </c>
    </row>
    <row r="151">
      <c r="A151" t="inlineStr">
        <is>
          <t>G|FICO x CHANNEL|gco_rate|rate|4</t>
        </is>
      </c>
      <c r="B151" t="n">
        <v>0.02299567418454924</v>
      </c>
      <c r="C151" t="n">
        <v>0.02075932934058127</v>
      </c>
      <c r="D151" t="n">
        <v>0.04518040416451506</v>
      </c>
      <c r="E151" t="n">
        <v>0.03026397173122731</v>
      </c>
    </row>
    <row r="152">
      <c r="A152" t="inlineStr">
        <is>
          <t>G|FICO x CHANNEL|gco_rate|book|4</t>
        </is>
      </c>
      <c r="B152" t="n">
        <v>0.5527106725629815</v>
      </c>
      <c r="C152" t="n">
        <v>0.4989591863976923</v>
      </c>
      <c r="D152" t="n">
        <v>1.08592996108872</v>
      </c>
      <c r="E152" t="n">
        <v>0.7274072521532202</v>
      </c>
    </row>
    <row r="153">
      <c r="A153" t="inlineStr">
        <is>
          <t>G|FICO x CHANNEL|gco_rate|band|4</t>
        </is>
      </c>
      <c r="B153" t="n">
        <v>0.6818678243913163</v>
      </c>
      <c r="C153" t="n">
        <v>0.5983981658374574</v>
      </c>
      <c r="D153" t="n">
        <v>2.06437015854151</v>
      </c>
    </row>
    <row r="154">
      <c r="A154" t="inlineStr">
        <is>
          <t>G|FICO x CHANNEL|gco_rate|rate|5</t>
        </is>
      </c>
      <c r="B154" t="n">
        <v>0.02259516093848434</v>
      </c>
      <c r="C154" t="n">
        <v>0.01802270743101798</v>
      </c>
      <c r="D154" t="n">
        <v>0.0177152709979479</v>
      </c>
      <c r="E154" t="n">
        <v>0.01940834703954904</v>
      </c>
    </row>
    <row r="155">
      <c r="A155" t="inlineStr">
        <is>
          <t>G|FICO x CHANNEL|gco_rate|book|5</t>
        </is>
      </c>
      <c r="B155" t="n">
        <v>0.5430841687333329</v>
      </c>
      <c r="C155" t="n">
        <v>0.4331833311630761</v>
      </c>
      <c r="D155" t="n">
        <v>0.4257939675667393</v>
      </c>
      <c r="E155" t="n">
        <v>0.4664877602402493</v>
      </c>
    </row>
    <row r="156">
      <c r="A156" t="inlineStr">
        <is>
          <t>G|FICO x CHANNEL|gco_rate|band|5</t>
        </is>
      </c>
      <c r="B156" t="n">
        <v>1.264427615577086</v>
      </c>
      <c r="C156" t="n">
        <v>0.8957851944368566</v>
      </c>
      <c r="D156" t="n">
        <v>0.8742978867022101</v>
      </c>
    </row>
    <row r="157">
      <c r="A157" t="inlineStr">
        <is>
          <t>G|FICO x CHANNEL|gco_rate|rate|6</t>
        </is>
      </c>
      <c r="C157" t="n">
        <v>0</v>
      </c>
      <c r="E157" t="n">
        <v>0</v>
      </c>
    </row>
    <row r="158">
      <c r="A158" t="inlineStr">
        <is>
          <t>G|FICO x CHANNEL|gco_rate|book|6</t>
        </is>
      </c>
    </row>
    <row r="159">
      <c r="A159" t="inlineStr">
        <is>
          <t>G|FICO x CHANNEL|gco_rate|band|6</t>
        </is>
      </c>
    </row>
    <row r="160">
      <c r="A160" t="inlineStr">
        <is>
          <t>G|FICO x CHANNEL|gco_rate|rate|7</t>
        </is>
      </c>
      <c r="B160" t="n">
        <v>0.007777850065731658</v>
      </c>
      <c r="C160" t="n">
        <v>0.0521010838886127</v>
      </c>
      <c r="D160" t="n">
        <v>0.01850663107378558</v>
      </c>
      <c r="E160" t="n">
        <v>0.02551311188947889</v>
      </c>
    </row>
    <row r="161">
      <c r="A161" t="inlineStr">
        <is>
          <t>G|FICO x CHANNEL|gco_rate|book|7</t>
        </is>
      </c>
      <c r="E161" t="n">
        <v>0.6132183435214595</v>
      </c>
    </row>
    <row r="162">
      <c r="A162" t="inlineStr">
        <is>
          <t>G|FICO x CHANNEL|gco_rate|band|7</t>
        </is>
      </c>
    </row>
    <row r="163">
      <c r="A163" t="inlineStr">
        <is>
          <t>G|FICO x CHANNEL|gco_rate|rate|8</t>
        </is>
      </c>
      <c r="B163" t="n">
        <v>0.03403247368482893</v>
      </c>
      <c r="C163" t="n">
        <v>0.05021215552951191</v>
      </c>
      <c r="D163" t="n">
        <v>0.04043303389582082</v>
      </c>
      <c r="E163" t="n">
        <v>0.04160526533333563</v>
      </c>
    </row>
    <row r="164">
      <c r="A164" t="inlineStr">
        <is>
          <t>G|FICO x CHANNEL|gco_rate|book|8</t>
        </is>
      </c>
      <c r="B164" t="n">
        <v>0.8179847769787176</v>
      </c>
      <c r="C164" t="n">
        <v>1.206870215277299</v>
      </c>
      <c r="D164" t="n">
        <v>0.971824925808715</v>
      </c>
      <c r="E164" t="n">
        <v>0.9999999999999997</v>
      </c>
    </row>
    <row r="165">
      <c r="A165" t="inlineStr">
        <is>
          <t>G|FICO x CHANNEL|gco_rate|band|8</t>
        </is>
      </c>
    </row>
    <row r="166">
      <c r="A166" t="inlineStr">
        <is>
          <t>G|FICO x CHANNEL|gco_rate|meta</t>
        </is>
      </c>
      <c r="B166" t="inlineStr">
        <is>
          <t>x</t>
        </is>
      </c>
      <c r="C166" t="n">
        <v>3.405543101097873</v>
      </c>
      <c r="D166" t="n">
        <v>10</v>
      </c>
    </row>
    <row r="167">
      <c r="A167" t="inlineStr">
        <is>
          <t>G|FICO x CHANNEL|ranr_rate|rate|1</t>
        </is>
      </c>
      <c r="B167" t="n">
        <v>0.2170734766287685</v>
      </c>
      <c r="C167" t="n">
        <v>0.1379488383901921</v>
      </c>
      <c r="D167" t="n">
        <v>0.2161038541582268</v>
      </c>
      <c r="E167" t="n">
        <v>0.1901717430158448</v>
      </c>
    </row>
    <row r="168">
      <c r="A168" t="inlineStr">
        <is>
          <t>G|FICO x CHANNEL|ranr_rate|book|1</t>
        </is>
      </c>
      <c r="B168" t="n">
        <v>8.908342698</v>
      </c>
      <c r="C168" t="n">
        <v>0.995878874</v>
      </c>
      <c r="D168" t="n">
        <v>8.811380451</v>
      </c>
      <c r="E168" t="n">
        <v>6.218169337</v>
      </c>
    </row>
    <row r="169">
      <c r="A169" t="inlineStr">
        <is>
          <t>G|FICO x CHANNEL|ranr_rate|band|1</t>
        </is>
      </c>
      <c r="B169" t="n">
        <v>3.967676562</v>
      </c>
      <c r="C169" t="n">
        <v>-7.862504873</v>
      </c>
      <c r="D169" t="n">
        <v>3.942393715</v>
      </c>
    </row>
    <row r="170">
      <c r="A170" t="inlineStr">
        <is>
          <t>G|FICO x CHANNEL|ranr_rate|rate|2</t>
        </is>
      </c>
      <c r="B170" t="n">
        <v>0.1503331012467687</v>
      </c>
      <c r="C170" t="n">
        <v>0.1579237894125024</v>
      </c>
      <c r="D170" t="n">
        <v>0.1817081086912193</v>
      </c>
      <c r="E170" t="n">
        <v>0.1630754408239561</v>
      </c>
    </row>
    <row r="171">
      <c r="A171" t="inlineStr">
        <is>
          <t>G|FICO x CHANNEL|ranr_rate|book|2</t>
        </is>
      </c>
      <c r="B171" t="n">
        <v>2.23430516</v>
      </c>
      <c r="C171" t="n">
        <v>2.993373976</v>
      </c>
      <c r="D171" t="n">
        <v>5.371805904</v>
      </c>
      <c r="E171" t="n">
        <v>3.508539118</v>
      </c>
    </row>
    <row r="172">
      <c r="A172" t="inlineStr">
        <is>
          <t>G|FICO x CHANNEL|ranr_rate|band|2</t>
        </is>
      </c>
      <c r="B172" t="n">
        <v>-1.89557693</v>
      </c>
      <c r="C172" t="n">
        <v>-0.793787777</v>
      </c>
      <c r="D172" t="n">
        <v>2.744984217</v>
      </c>
    </row>
    <row r="173">
      <c r="A173" t="inlineStr">
        <is>
          <t>G|FICO x CHANNEL|ranr_rate|rate|3</t>
        </is>
      </c>
      <c r="B173" t="n">
        <v>0.1298033696344339</v>
      </c>
      <c r="C173" t="n">
        <v>0.1268738832157217</v>
      </c>
      <c r="D173" t="n">
        <v>0.1675406164276845</v>
      </c>
      <c r="E173" t="n">
        <v>0.1419183148673722</v>
      </c>
    </row>
    <row r="174">
      <c r="A174" t="inlineStr">
        <is>
          <t>G|FICO x CHANNEL|ranr_rate|book|3</t>
        </is>
      </c>
      <c r="B174" t="n">
        <v>0.181331999</v>
      </c>
      <c r="C174" t="n">
        <v>-0.111616643</v>
      </c>
      <c r="D174" t="n">
        <v>3.955056678</v>
      </c>
      <c r="E174" t="n">
        <v>1.392826522</v>
      </c>
    </row>
    <row r="175">
      <c r="A175" t="inlineStr">
        <is>
          <t>G|FICO x CHANNEL|ranr_rate|band|3</t>
        </is>
      </c>
      <c r="B175" t="n">
        <v>-1.80843221</v>
      </c>
      <c r="C175" t="n">
        <v>-2.224678398</v>
      </c>
      <c r="D175" t="n">
        <v>3.9187792</v>
      </c>
    </row>
    <row r="176">
      <c r="A176" t="inlineStr">
        <is>
          <t>G|FICO x CHANNEL|ranr_rate|rate|4</t>
        </is>
      </c>
      <c r="B176" t="n">
        <v>0.08572381463720408</v>
      </c>
      <c r="C176" t="n">
        <v>0.0911555197398795</v>
      </c>
      <c r="D176" t="n">
        <v>0.1094328953856207</v>
      </c>
      <c r="E176" t="n">
        <v>0.09596924359374789</v>
      </c>
    </row>
    <row r="177">
      <c r="A177" t="inlineStr">
        <is>
          <t>G|FICO x CHANNEL|ranr_rate|book|4</t>
        </is>
      </c>
      <c r="B177" t="n">
        <v>-4.226623501</v>
      </c>
      <c r="C177" t="n">
        <v>-3.683452991</v>
      </c>
      <c r="D177" t="n">
        <v>-1.855715426</v>
      </c>
      <c r="E177" t="n">
        <v>-3.202080605</v>
      </c>
    </row>
    <row r="178">
      <c r="A178" t="inlineStr">
        <is>
          <t>G|FICO x CHANNEL|ranr_rate|band|4</t>
        </is>
      </c>
      <c r="B178" t="n">
        <v>-1.513520529</v>
      </c>
      <c r="C178" t="n">
        <v>-0.705353944</v>
      </c>
      <c r="D178" t="n">
        <v>2.101666415</v>
      </c>
    </row>
    <row r="179">
      <c r="A179" t="inlineStr">
        <is>
          <t>G|FICO x CHANNEL|ranr_rate|rate|5</t>
        </is>
      </c>
      <c r="B179" t="n">
        <v>0.04457648068932364</v>
      </c>
      <c r="C179" t="n">
        <v>0.04898207027874037</v>
      </c>
      <c r="D179" t="n">
        <v>0.04658320363935518</v>
      </c>
      <c r="E179" t="n">
        <v>0.04674341748455088</v>
      </c>
    </row>
    <row r="180">
      <c r="A180" t="inlineStr">
        <is>
          <t>G|FICO x CHANNEL|ranr_rate|book|5</t>
        </is>
      </c>
      <c r="B180" t="n">
        <v>-8.341356896000001</v>
      </c>
      <c r="C180" t="n">
        <v>-7.900797937</v>
      </c>
      <c r="D180" t="n">
        <v>-8.140684601</v>
      </c>
      <c r="E180" t="n">
        <v>-8.124663216</v>
      </c>
    </row>
    <row r="181">
      <c r="A181" t="inlineStr">
        <is>
          <t>G|FICO x CHANNEL|ranr_rate|band|5</t>
        </is>
      </c>
      <c r="B181" t="n">
        <v>-0.321305246</v>
      </c>
      <c r="C181" t="n">
        <v>0.338752124</v>
      </c>
      <c r="D181" t="n">
        <v>-0.02410208</v>
      </c>
    </row>
    <row r="182">
      <c r="A182" t="inlineStr">
        <is>
          <t>G|FICO x CHANNEL|ranr_rate|rate|6</t>
        </is>
      </c>
      <c r="C182" t="n">
        <v>0.140296941334961</v>
      </c>
      <c r="E182" t="n">
        <v>0.140296941334961</v>
      </c>
    </row>
    <row r="183">
      <c r="A183" t="inlineStr">
        <is>
          <t>G|FICO x CHANNEL|ranr_rate|book|6</t>
        </is>
      </c>
      <c r="C183" t="n">
        <v>1.230689169</v>
      </c>
      <c r="E183" t="n">
        <v>1.230689169</v>
      </c>
    </row>
    <row r="184">
      <c r="A184" t="inlineStr">
        <is>
          <t>G|FICO x CHANNEL|ranr_rate|band|6</t>
        </is>
      </c>
    </row>
    <row r="185">
      <c r="A185" t="inlineStr">
        <is>
          <t>G|FICO x CHANNEL|ranr_rate|rate|7</t>
        </is>
      </c>
      <c r="B185" t="n">
        <v>0.1469454487933999</v>
      </c>
      <c r="C185" t="n">
        <v>0.1256885776789557</v>
      </c>
      <c r="D185" t="n">
        <v>0.1896654103875157</v>
      </c>
      <c r="E185" t="n">
        <v>0.1551731988462655</v>
      </c>
    </row>
    <row r="186">
      <c r="A186" t="inlineStr">
        <is>
          <t>G|FICO x CHANNEL|ranr_rate|book|7</t>
        </is>
      </c>
      <c r="B186" t="n">
        <v>1.895539915</v>
      </c>
      <c r="C186" t="n">
        <v>-0.230147197</v>
      </c>
      <c r="D186" t="n">
        <v>6.167536074</v>
      </c>
      <c r="E186" t="n">
        <v>2.71831492</v>
      </c>
    </row>
    <row r="187">
      <c r="A187" t="inlineStr">
        <is>
          <t>G|FICO x CHANNEL|ranr_rate|band|7</t>
        </is>
      </c>
      <c r="B187" t="n">
        <v>-1.237059432</v>
      </c>
      <c r="C187" t="n">
        <v>-4.307550993</v>
      </c>
      <c r="D187" t="n">
        <v>5.303168205</v>
      </c>
    </row>
    <row r="188">
      <c r="A188" t="inlineStr">
        <is>
          <t>G|FICO x CHANNEL|ranr_rate|rate|8</t>
        </is>
      </c>
      <c r="B188" t="n">
        <v>0.1257424641427197</v>
      </c>
      <c r="C188" t="n">
        <v>0.1130333511764385</v>
      </c>
      <c r="D188" t="n">
        <v>0.1447377923020619</v>
      </c>
      <c r="E188" t="n">
        <v>0.1279900496481476</v>
      </c>
    </row>
    <row r="189">
      <c r="A189" t="inlineStr">
        <is>
          <t>G|FICO x CHANNEL|ranr_rate|book|8</t>
        </is>
      </c>
      <c r="B189" t="n">
        <v>-0.224758551</v>
      </c>
      <c r="C189" t="n">
        <v>-1.495669847</v>
      </c>
      <c r="D189" t="n">
        <v>1.674774265</v>
      </c>
      <c r="E189" t="n">
        <v>0</v>
      </c>
    </row>
    <row r="190">
      <c r="A190" t="inlineStr">
        <is>
          <t>G|FICO x CHANNEL|ranr_rate|band|8</t>
        </is>
      </c>
    </row>
    <row r="191">
      <c r="A191" t="inlineStr">
        <is>
          <t>G|FICO x CHANNEL|ranr_rate|meta</t>
        </is>
      </c>
      <c r="B191" t="inlineStr">
        <is>
          <t>pts</t>
        </is>
      </c>
      <c r="C191" t="n">
        <v>8.908342698</v>
      </c>
      <c r="D191" t="n">
        <v>10</v>
      </c>
    </row>
    <row r="192">
      <c r="A192" t="inlineStr">
        <is>
          <t>G|FICO x CHANNEL|contribution_rate|rate|1</t>
        </is>
      </c>
      <c r="B192" t="n">
        <v>0.2708959858881283</v>
      </c>
      <c r="C192" t="n">
        <v>0.2796373627154796</v>
      </c>
      <c r="D192" t="n">
        <v>0.2702910563259856</v>
      </c>
      <c r="E192" t="n">
        <v>0.273624302308895</v>
      </c>
    </row>
    <row r="193">
      <c r="A193" t="inlineStr">
        <is>
          <t>G|FICO x CHANNEL|contribution_rate|book|1</t>
        </is>
      </c>
      <c r="B193" t="n">
        <v>10.130353015</v>
      </c>
      <c r="C193" t="n">
        <v>11.004490698</v>
      </c>
      <c r="D193" t="n">
        <v>10.069860059</v>
      </c>
      <c r="E193" t="n">
        <v>10.403184657</v>
      </c>
    </row>
    <row r="194">
      <c r="A194" t="inlineStr">
        <is>
          <t>G|FICO x CHANNEL|contribution_rate|band|1</t>
        </is>
      </c>
      <c r="B194" t="n">
        <v>-0.402393291</v>
      </c>
      <c r="C194" t="n">
        <v>0.90530615</v>
      </c>
      <c r="D194" t="n">
        <v>-0.506745014</v>
      </c>
    </row>
    <row r="195">
      <c r="A195" t="inlineStr">
        <is>
          <t>G|FICO x CHANNEL|contribution_rate|rate|2</t>
        </is>
      </c>
      <c r="B195" t="n">
        <v>0.2003887959144957</v>
      </c>
      <c r="C195" t="n">
        <v>0.2001827019875337</v>
      </c>
      <c r="D195" t="n">
        <v>0.2252121594646349</v>
      </c>
      <c r="E195" t="n">
        <v>0.2082899782331105</v>
      </c>
    </row>
    <row r="196">
      <c r="A196" t="inlineStr">
        <is>
          <t>G|FICO x CHANNEL|contribution_rate|book|2</t>
        </is>
      </c>
      <c r="B196" t="n">
        <v>3.079634018</v>
      </c>
      <c r="C196" t="n">
        <v>3.059024625</v>
      </c>
      <c r="D196" t="n">
        <v>5.561970373</v>
      </c>
      <c r="E196" t="n">
        <v>3.86975225</v>
      </c>
    </row>
    <row r="197">
      <c r="A197" t="inlineStr">
        <is>
          <t>G|FICO x CHANNEL|contribution_rate|band|2</t>
        </is>
      </c>
      <c r="B197" t="n">
        <v>-1.17539631</v>
      </c>
      <c r="C197" t="n">
        <v>-1.249202687</v>
      </c>
      <c r="D197" t="n">
        <v>2.492993527</v>
      </c>
    </row>
    <row r="198">
      <c r="A198" t="inlineStr">
        <is>
          <t>G|FICO x CHANNEL|contribution_rate|rate|3</t>
        </is>
      </c>
      <c r="B198" t="n">
        <v>0.1539723938698455</v>
      </c>
      <c r="C198" t="n">
        <v>0.1532786819256124</v>
      </c>
      <c r="D198" t="n">
        <v>0.2108396210285837</v>
      </c>
      <c r="E198" t="n">
        <v>0.1734333199610001</v>
      </c>
    </row>
    <row r="199">
      <c r="A199" t="inlineStr">
        <is>
          <t>G|FICO x CHANNEL|contribution_rate|book|3</t>
        </is>
      </c>
      <c r="B199" t="n">
        <v>-1.562006187</v>
      </c>
      <c r="C199" t="n">
        <v>-1.631377381</v>
      </c>
      <c r="D199" t="n">
        <v>4.124716529</v>
      </c>
      <c r="E199" t="n">
        <v>0.384086423</v>
      </c>
    </row>
    <row r="200">
      <c r="A200" t="inlineStr">
        <is>
          <t>G|FICO x CHANNEL|contribution_rate|band|3</t>
        </is>
      </c>
      <c r="B200" t="n">
        <v>-2.904987592</v>
      </c>
      <c r="C200" t="n">
        <v>-2.980344415</v>
      </c>
      <c r="D200" t="n">
        <v>5.7210721</v>
      </c>
    </row>
    <row r="201">
      <c r="A201" t="inlineStr">
        <is>
          <t>G|FICO x CHANNEL|contribution_rate|rate|4</t>
        </is>
      </c>
      <c r="B201" t="n">
        <v>0.1085728838543854</v>
      </c>
      <c r="C201" t="n">
        <v>0.1119148490804608</v>
      </c>
      <c r="D201" t="n">
        <v>0.1546132995501358</v>
      </c>
      <c r="E201" t="n">
        <v>0.126193889200492</v>
      </c>
    </row>
    <row r="202">
      <c r="A202" t="inlineStr">
        <is>
          <t>G|FICO x CHANNEL|contribution_rate|book|4</t>
        </is>
      </c>
      <c r="B202" t="n">
        <v>-6.101957188</v>
      </c>
      <c r="C202" t="n">
        <v>-5.767760665</v>
      </c>
      <c r="D202" t="n">
        <v>-1.497915618</v>
      </c>
      <c r="E202" t="n">
        <v>-4.339856653</v>
      </c>
    </row>
    <row r="203">
      <c r="A203" t="inlineStr">
        <is>
          <t>G|FICO x CHANNEL|contribution_rate|band|4</t>
        </is>
      </c>
      <c r="B203" t="n">
        <v>-2.601066942</v>
      </c>
      <c r="C203" t="n">
        <v>-2.093061481</v>
      </c>
      <c r="D203" t="n">
        <v>4.438184237</v>
      </c>
    </row>
    <row r="204">
      <c r="A204" t="inlineStr">
        <is>
          <t>G|FICO x CHANNEL|contribution_rate|rate|5</t>
        </is>
      </c>
      <c r="B204" t="n">
        <v>0.067171641627808</v>
      </c>
      <c r="C204" t="n">
        <v>0.06700477770975828</v>
      </c>
      <c r="D204" t="n">
        <v>0.06429847463730305</v>
      </c>
      <c r="E204" t="n">
        <v>0.0661517645240999</v>
      </c>
    </row>
    <row r="205">
      <c r="A205" t="inlineStr">
        <is>
          <t>G|FICO x CHANNEL|contribution_rate|book|5</t>
        </is>
      </c>
      <c r="B205" t="n">
        <v>-10.242081411</v>
      </c>
      <c r="C205" t="n">
        <v>-10.258767803</v>
      </c>
      <c r="D205" t="n">
        <v>-10.52939811</v>
      </c>
      <c r="E205" t="n">
        <v>-10.344069121</v>
      </c>
    </row>
    <row r="206">
      <c r="A206" t="inlineStr">
        <is>
          <t>G|FICO x CHANNEL|contribution_rate|band|5</t>
        </is>
      </c>
      <c r="B206" t="n">
        <v>0.151223545</v>
      </c>
      <c r="C206" t="n">
        <v>0.129077644</v>
      </c>
      <c r="D206" t="n">
        <v>-0.278803257</v>
      </c>
    </row>
    <row r="207">
      <c r="A207" t="inlineStr">
        <is>
          <t>G|FICO x CHANNEL|contribution_rate|rate|6</t>
        </is>
      </c>
      <c r="C207" t="n">
        <v>0.140296941334961</v>
      </c>
      <c r="E207" t="n">
        <v>0.140296941334961</v>
      </c>
    </row>
    <row r="208">
      <c r="A208" t="inlineStr">
        <is>
          <t>G|FICO x CHANNEL|contribution_rate|book|6</t>
        </is>
      </c>
      <c r="C208" t="n">
        <v>-2.92955144</v>
      </c>
      <c r="E208" t="n">
        <v>-2.92955144</v>
      </c>
    </row>
    <row r="209">
      <c r="A209" t="inlineStr">
        <is>
          <t>G|FICO x CHANNEL|contribution_rate|band|6</t>
        </is>
      </c>
    </row>
    <row r="210">
      <c r="A210" t="inlineStr">
        <is>
          <t>G|FICO x CHANNEL|contribution_rate|rate|7</t>
        </is>
      </c>
      <c r="B210" t="n">
        <v>0.1547232988591316</v>
      </c>
      <c r="C210" t="n">
        <v>0.1777896615675683</v>
      </c>
      <c r="D210" t="n">
        <v>0.2081720414613012</v>
      </c>
      <c r="E210" t="n">
        <v>0.1806863107357444</v>
      </c>
    </row>
    <row r="211">
      <c r="A211" t="inlineStr">
        <is>
          <t>G|FICO x CHANNEL|contribution_rate|book|7</t>
        </is>
      </c>
      <c r="B211" t="n">
        <v>-1.486915688</v>
      </c>
      <c r="C211" t="n">
        <v>0.8197205829999999</v>
      </c>
      <c r="D211" t="n">
        <v>3.857958573</v>
      </c>
      <c r="E211" t="n">
        <v>1.1093855</v>
      </c>
    </row>
    <row r="212">
      <c r="A212" t="inlineStr">
        <is>
          <t>G|FICO x CHANNEL|contribution_rate|band|7</t>
        </is>
      </c>
      <c r="B212" t="n">
        <v>-3.903593148</v>
      </c>
      <c r="C212" t="n">
        <v>-0.423185495</v>
      </c>
      <c r="D212" t="n">
        <v>4.225923673</v>
      </c>
    </row>
    <row r="213">
      <c r="A213" t="inlineStr">
        <is>
          <t>G|FICO x CHANNEL|contribution_rate|rate|8</t>
        </is>
      </c>
      <c r="B213" t="n">
        <v>0.1597650989343295</v>
      </c>
      <c r="C213" t="n">
        <v>0.1632455067059504</v>
      </c>
      <c r="D213" t="n">
        <v>0.1851708261978826</v>
      </c>
      <c r="E213" t="n">
        <v>0.1695924557349811</v>
      </c>
    </row>
    <row r="214">
      <c r="A214" t="inlineStr">
        <is>
          <t>G|FICO x CHANNEL|contribution_rate|book|8</t>
        </is>
      </c>
      <c r="B214" t="n">
        <v>-0.98273568</v>
      </c>
      <c r="C214" t="n">
        <v>-0.634694903</v>
      </c>
      <c r="D214" t="n">
        <v>1.557837046</v>
      </c>
      <c r="E214" t="n">
        <v>0</v>
      </c>
    </row>
    <row r="215">
      <c r="A215" t="inlineStr">
        <is>
          <t>G|FICO x CHANNEL|contribution_rate|band|8</t>
        </is>
      </c>
    </row>
    <row r="216">
      <c r="A216" t="inlineStr">
        <is>
          <t>G|FICO x CHANNEL|contribution_rate|meta</t>
        </is>
      </c>
      <c r="B216" t="inlineStr">
        <is>
          <t>pts</t>
        </is>
      </c>
      <c r="C216" t="n">
        <v>11.004490698</v>
      </c>
      <c r="D216" t="n">
        <v>10</v>
      </c>
    </row>
    <row r="217">
      <c r="A217" t="inlineStr">
        <is>
          <t>G|FICO x ASSET_CLASS|cols</t>
        </is>
      </c>
      <c r="B217" t="inlineStr">
        <is>
          <t>1</t>
        </is>
      </c>
      <c r="C217" t="inlineStr">
        <is>
          <t>2</t>
        </is>
      </c>
      <c r="D217" t="inlineStr">
        <is>
          <t>3</t>
        </is>
      </c>
      <c r="E217" t="inlineStr">
        <is>
          <t>4</t>
        </is>
      </c>
      <c r="F217" t="inlineStr">
        <is>
          <t>All</t>
        </is>
      </c>
    </row>
    <row r="218">
      <c r="A218" t="inlineStr">
        <is>
          <t>G|FICO x ASSET_CLASS|rows</t>
        </is>
      </c>
      <c r="B218" t="inlineStr">
        <is>
          <t>496 - 653</t>
        </is>
      </c>
      <c r="C218" t="inlineStr">
        <is>
          <t>654 - 685</t>
        </is>
      </c>
      <c r="D218" t="inlineStr">
        <is>
          <t>686 - 711</t>
        </is>
      </c>
      <c r="E218" t="inlineStr">
        <is>
          <t>712 - 745</t>
        </is>
      </c>
      <c r="F218" t="inlineStr">
        <is>
          <t>746 - 921</t>
        </is>
      </c>
      <c r="G218" t="inlineStr">
        <is>
          <t>(blank)</t>
        </is>
      </c>
      <c r="H218" t="inlineStr">
        <is>
          <t>(marked missing)</t>
        </is>
      </c>
      <c r="I218" t="inlineStr">
        <is>
          <t>All</t>
        </is>
      </c>
    </row>
    <row r="219">
      <c r="A219" t="inlineStr">
        <is>
          <t>G|FICO x ASSET_CLASS|names</t>
        </is>
      </c>
      <c r="B219" t="inlineStr">
        <is>
          <t>FICO</t>
        </is>
      </c>
      <c r="C219" t="inlineStr">
        <is>
          <t>ASSET_CLASS</t>
        </is>
      </c>
    </row>
    <row r="220">
      <c r="A220" t="inlineStr">
        <is>
          <t>G|FICO x ASSET_CLASS|total</t>
        </is>
      </c>
      <c r="B220" t="n">
        <v>8000</v>
      </c>
    </row>
    <row r="221">
      <c r="A221" t="inlineStr">
        <is>
          <t>G|FICO x ASSET_CLASS|loans|1</t>
        </is>
      </c>
      <c r="B221" t="n">
        <v>420</v>
      </c>
      <c r="C221" t="n">
        <v>394</v>
      </c>
      <c r="D221" t="n">
        <v>350</v>
      </c>
      <c r="E221" t="n">
        <v>392</v>
      </c>
      <c r="F221" t="n">
        <v>1556</v>
      </c>
    </row>
    <row r="222">
      <c r="A222" t="inlineStr">
        <is>
          <t>G|FICO x ASSET_CLASS|loans|2</t>
        </is>
      </c>
      <c r="B222" t="n">
        <v>397</v>
      </c>
      <c r="C222" t="n">
        <v>355</v>
      </c>
      <c r="D222" t="n">
        <v>377</v>
      </c>
      <c r="E222" t="n">
        <v>410</v>
      </c>
      <c r="F222" t="n">
        <v>1539</v>
      </c>
    </row>
    <row r="223">
      <c r="A223" t="inlineStr">
        <is>
          <t>G|FICO x ASSET_CLASS|loans|3</t>
        </is>
      </c>
      <c r="B223" t="n">
        <v>372</v>
      </c>
      <c r="C223" t="n">
        <v>395</v>
      </c>
      <c r="D223" t="n">
        <v>388</v>
      </c>
      <c r="E223" t="n">
        <v>407</v>
      </c>
      <c r="F223" t="n">
        <v>1562</v>
      </c>
    </row>
    <row r="224">
      <c r="A224" t="inlineStr">
        <is>
          <t>G|FICO x ASSET_CLASS|loans|4</t>
        </is>
      </c>
      <c r="B224" t="n">
        <v>361</v>
      </c>
      <c r="C224" t="n">
        <v>431</v>
      </c>
      <c r="D224" t="n">
        <v>392</v>
      </c>
      <c r="E224" t="n">
        <v>427</v>
      </c>
      <c r="F224" t="n">
        <v>1611</v>
      </c>
    </row>
    <row r="225">
      <c r="A225" t="inlineStr">
        <is>
          <t>G|FICO x ASSET_CLASS|loans|5</t>
        </is>
      </c>
      <c r="B225" t="n">
        <v>414</v>
      </c>
      <c r="C225" t="n">
        <v>399</v>
      </c>
      <c r="D225" t="n">
        <v>385</v>
      </c>
      <c r="E225" t="n">
        <v>373</v>
      </c>
      <c r="F225" t="n">
        <v>1571</v>
      </c>
    </row>
    <row r="226">
      <c r="A226" t="inlineStr">
        <is>
          <t>G|FICO x ASSET_CLASS|loans|6</t>
        </is>
      </c>
      <c r="C226" t="n">
        <v>1</v>
      </c>
      <c r="F226" t="n">
        <v>1</v>
      </c>
    </row>
    <row r="227">
      <c r="A227" t="inlineStr">
        <is>
          <t>G|FICO x ASSET_CLASS|loans|7</t>
        </is>
      </c>
      <c r="B227" t="n">
        <v>42</v>
      </c>
      <c r="C227" t="n">
        <v>36</v>
      </c>
      <c r="D227" t="n">
        <v>43</v>
      </c>
      <c r="E227" t="n">
        <v>39</v>
      </c>
      <c r="F227" t="n">
        <v>160</v>
      </c>
    </row>
    <row r="228">
      <c r="A228" t="inlineStr">
        <is>
          <t>G|FICO x ASSET_CLASS|loans|8</t>
        </is>
      </c>
      <c r="B228" t="n">
        <v>2006</v>
      </c>
      <c r="C228" t="n">
        <v>2011</v>
      </c>
      <c r="D228" t="n">
        <v>1935</v>
      </c>
      <c r="E228" t="n">
        <v>2048</v>
      </c>
      <c r="F228" t="n">
        <v>8000</v>
      </c>
    </row>
    <row r="229">
      <c r="A229" t="inlineStr">
        <is>
          <t>G|FICO x ASSET_CLASS|outcome_loans|rate|1</t>
        </is>
      </c>
      <c r="B229" t="n">
        <v>0.1357142857142857</v>
      </c>
      <c r="C229" t="n">
        <v>0.1119592875318066</v>
      </c>
      <c r="D229" t="n">
        <v>0.1514285714285714</v>
      </c>
      <c r="E229" t="n">
        <v>0.2040816326530612</v>
      </c>
      <c r="F229" t="n">
        <v>0.1504823151125402</v>
      </c>
    </row>
    <row r="230">
      <c r="A230" t="inlineStr">
        <is>
          <t>G|FICO x ASSET_CLASS|outcome_loans|book|1</t>
        </is>
      </c>
      <c r="B230" t="n">
        <v>1.75376182783291</v>
      </c>
      <c r="C230" t="n">
        <v>1.446788919171117</v>
      </c>
      <c r="D230" t="n">
        <v>1.956828986845142</v>
      </c>
      <c r="E230" t="n">
        <v>2.637235831327684</v>
      </c>
      <c r="F230" t="n">
        <v>1.944601031640079</v>
      </c>
    </row>
    <row r="231">
      <c r="A231" t="inlineStr">
        <is>
          <t>G|FICO x ASSET_CLASS|outcome_loans|band|1</t>
        </is>
      </c>
      <c r="B231" t="n">
        <v>0.8702582728006456</v>
      </c>
      <c r="C231" t="n">
        <v>0.6847194321682067</v>
      </c>
      <c r="D231" t="n">
        <v>1.008129439621152</v>
      </c>
      <c r="E231" t="n">
        <v>1.541213888152664</v>
      </c>
    </row>
    <row r="232">
      <c r="A232" t="inlineStr">
        <is>
          <t>G|FICO x ASSET_CLASS|outcome_loans|rate|2</t>
        </is>
      </c>
      <c r="B232" t="n">
        <v>0.07556675062972293</v>
      </c>
      <c r="C232" t="n">
        <v>0.05915492957746479</v>
      </c>
      <c r="D232" t="n">
        <v>0.08222811671087533</v>
      </c>
      <c r="E232" t="n">
        <v>0.1170731707317073</v>
      </c>
      <c r="F232" t="n">
        <v>0.08447043534762833</v>
      </c>
    </row>
    <row r="233">
      <c r="A233" t="inlineStr">
        <is>
          <t>G|FICO x ASSET_CLASS|outcome_loans|book|2</t>
        </is>
      </c>
      <c r="B233" t="n">
        <v>0.9765079778467749</v>
      </c>
      <c r="C233" t="n">
        <v>0.7644269494186443</v>
      </c>
      <c r="D233" t="n">
        <v>1.062589185089324</v>
      </c>
      <c r="E233" t="n">
        <v>1.51287284762993</v>
      </c>
      <c r="F233" t="n">
        <v>1.091565448054409</v>
      </c>
    </row>
    <row r="234">
      <c r="A234" t="inlineStr">
        <is>
          <t>G|FICO x ASSET_CLASS|outcome_loans|band|2</t>
        </is>
      </c>
      <c r="B234" t="n">
        <v>0.8629722921914358</v>
      </c>
      <c r="C234" t="n">
        <v>0.6425636387130119</v>
      </c>
      <c r="D234" t="n">
        <v>0.9651421375559307</v>
      </c>
      <c r="E234" t="n">
        <v>1.611897679952409</v>
      </c>
    </row>
    <row r="235">
      <c r="A235" t="inlineStr">
        <is>
          <t>G|FICO x ASSET_CLASS|outcome_loans|rate|3</t>
        </is>
      </c>
      <c r="B235" t="n">
        <v>0.05376344086021505</v>
      </c>
      <c r="C235" t="n">
        <v>0.04050632911392405</v>
      </c>
      <c r="D235" t="n">
        <v>0.06958762886597938</v>
      </c>
      <c r="E235" t="n">
        <v>0.08108108108108109</v>
      </c>
      <c r="F235" t="n">
        <v>0.06145966709346991</v>
      </c>
    </row>
    <row r="236">
      <c r="A236" t="inlineStr">
        <is>
          <t>G|FICO x ASSET_CLASS|outcome_loans|book|3</t>
        </is>
      </c>
      <c r="B236" t="n">
        <v>0.6947556759949276</v>
      </c>
      <c r="C236" t="n">
        <v>0.5234412384204822</v>
      </c>
      <c r="D236" t="n">
        <v>0.8992430424862182</v>
      </c>
      <c r="E236" t="n">
        <v>1.04776666812208</v>
      </c>
      <c r="F236" t="n">
        <v>0.7942098175778123</v>
      </c>
    </row>
    <row r="237">
      <c r="A237" t="inlineStr">
        <is>
          <t>G|FICO x ASSET_CLASS|outcome_loans|band|3</t>
        </is>
      </c>
      <c r="B237" t="n">
        <v>0.8418222976796832</v>
      </c>
      <c r="C237" t="n">
        <v>0.590886075949367</v>
      </c>
      <c r="D237" t="n">
        <v>1.183998207082026</v>
      </c>
      <c r="E237" t="n">
        <v>1.486486486486487</v>
      </c>
    </row>
    <row r="238">
      <c r="A238" t="inlineStr">
        <is>
          <t>G|FICO x ASSET_CLASS|outcome_loans|rate|4</t>
        </is>
      </c>
      <c r="B238" t="n">
        <v>0.03601108033240998</v>
      </c>
      <c r="C238" t="n">
        <v>0.04640371229698376</v>
      </c>
      <c r="D238" t="n">
        <v>0.04846938775510204</v>
      </c>
      <c r="E238" t="n">
        <v>0.08196721311475409</v>
      </c>
      <c r="F238" t="n">
        <v>0.05400372439478585</v>
      </c>
    </row>
    <row r="239">
      <c r="A239" t="inlineStr">
        <is>
          <t>G|FICO x ASSET_CLASS|outcome_loans|book|4</t>
        </is>
      </c>
      <c r="B239" t="n">
        <v>0.4653515857495111</v>
      </c>
      <c r="C239" t="n">
        <v>0.5996499106035106</v>
      </c>
      <c r="D239" t="n">
        <v>0.6263435099403251</v>
      </c>
      <c r="E239" t="n">
        <v>1.05921766995948</v>
      </c>
      <c r="F239" t="n">
        <v>0.6978607292954636</v>
      </c>
    </row>
    <row r="240">
      <c r="A240" t="inlineStr">
        <is>
          <t>G|FICO x ASSET_CLASS|outcome_loans|band|4</t>
        </is>
      </c>
      <c r="B240" t="n">
        <v>0.6082952758853036</v>
      </c>
      <c r="C240" t="n">
        <v>0.8172594106035945</v>
      </c>
      <c r="D240" t="n">
        <v>0.8688850540216086</v>
      </c>
      <c r="E240" t="n">
        <v>1.866330390920555</v>
      </c>
    </row>
    <row r="241">
      <c r="A241" t="inlineStr">
        <is>
          <t>G|FICO x ASSET_CLASS|outcome_loans|rate|5</t>
        </is>
      </c>
      <c r="B241" t="n">
        <v>0.03623188405797102</v>
      </c>
      <c r="C241" t="n">
        <v>0.04010025062656641</v>
      </c>
      <c r="D241" t="n">
        <v>0.04155844155844156</v>
      </c>
      <c r="E241" t="n">
        <v>0.04021447721179625</v>
      </c>
      <c r="F241" t="n">
        <v>0.03946530872056015</v>
      </c>
    </row>
    <row r="242">
      <c r="A242" t="inlineStr">
        <is>
          <t>G|FICO x ASSET_CLASS|outcome_loans|book|5</t>
        </is>
      </c>
      <c r="B242" t="n">
        <v>0.4682049120835382</v>
      </c>
      <c r="C242" t="n">
        <v>0.5181937072082468</v>
      </c>
      <c r="D242" t="n">
        <v>0.5370371147430921</v>
      </c>
      <c r="E242" t="n">
        <v>0.5196697951811925</v>
      </c>
      <c r="F242" t="n">
        <v>0.5099886986361238</v>
      </c>
    </row>
    <row r="243">
      <c r="A243" t="inlineStr">
        <is>
          <t>G|FICO x ASSET_CLASS|outcome_loans|band|5</t>
        </is>
      </c>
      <c r="B243" t="n">
        <v>0.8919210607462227</v>
      </c>
      <c r="C243" t="n">
        <v>1.021684646398605</v>
      </c>
      <c r="D243" t="n">
        <v>1.071485036702428</v>
      </c>
      <c r="E243" t="n">
        <v>1.025041355313445</v>
      </c>
    </row>
    <row r="244">
      <c r="A244" t="inlineStr">
        <is>
          <t>G|FICO x ASSET_CLASS|outcome_loans|rate|6</t>
        </is>
      </c>
      <c r="C244" t="n">
        <v>0</v>
      </c>
      <c r="F244" t="n">
        <v>0</v>
      </c>
    </row>
    <row r="245">
      <c r="A245" t="inlineStr">
        <is>
          <t>G|FICO x ASSET_CLASS|outcome_loans|book|6</t>
        </is>
      </c>
    </row>
    <row r="246">
      <c r="A246" t="inlineStr">
        <is>
          <t>G|FICO x ASSET_CLASS|outcome_loans|band|6</t>
        </is>
      </c>
    </row>
    <row r="247">
      <c r="A247" t="inlineStr">
        <is>
          <t>G|FICO x ASSET_CLASS|outcome_loans|rate|7</t>
        </is>
      </c>
      <c r="B247" t="n">
        <v>0.02380952380952381</v>
      </c>
      <c r="C247" t="n">
        <v>0.1388888888888889</v>
      </c>
      <c r="D247" t="n">
        <v>0.04651162790697674</v>
      </c>
      <c r="E247" t="n">
        <v>0.05128205128205128</v>
      </c>
      <c r="F247" t="n">
        <v>0.0625</v>
      </c>
    </row>
    <row r="248">
      <c r="A248" t="inlineStr">
        <is>
          <t>G|FICO x ASSET_CLASS|outcome_loans|book|7</t>
        </is>
      </c>
      <c r="F248" t="n">
        <v>0.8076534733441034</v>
      </c>
    </row>
    <row r="249">
      <c r="A249" t="inlineStr">
        <is>
          <t>G|FICO x ASSET_CLASS|outcome_loans|band|7</t>
        </is>
      </c>
    </row>
    <row r="250">
      <c r="A250" t="inlineStr">
        <is>
          <t>G|FICO x ASSET_CLASS|outcome_loans|rate|8</t>
        </is>
      </c>
      <c r="B250" t="n">
        <v>0.06779661016949153</v>
      </c>
      <c r="C250" t="n">
        <v>0.06069651741293532</v>
      </c>
      <c r="D250" t="n">
        <v>0.07648578811369509</v>
      </c>
      <c r="E250" t="n">
        <v>0.10400390625</v>
      </c>
      <c r="F250" t="n">
        <v>0.07738467308413552</v>
      </c>
    </row>
    <row r="251">
      <c r="A251" t="inlineStr">
        <is>
          <t>G|FICO x ASSET_CLASS|outcome_loans|book|8</t>
        </is>
      </c>
      <c r="B251" t="n">
        <v>0.8760986829495359</v>
      </c>
      <c r="C251" t="n">
        <v>0.784348049735169</v>
      </c>
      <c r="D251" t="n">
        <v>0.9883841989037917</v>
      </c>
      <c r="E251" t="n">
        <v>1.343985857986672</v>
      </c>
      <c r="F251" t="n">
        <v>1</v>
      </c>
    </row>
    <row r="252">
      <c r="A252" t="inlineStr">
        <is>
          <t>G|FICO x ASSET_CLASS|outcome_loans|band|8</t>
        </is>
      </c>
    </row>
    <row r="253">
      <c r="A253" t="inlineStr">
        <is>
          <t>G|FICO x ASSET_CLASS|outcome_loans|meta</t>
        </is>
      </c>
      <c r="B253" t="inlineStr">
        <is>
          <t>x</t>
        </is>
      </c>
      <c r="C253" t="n">
        <v>2.637235831327684</v>
      </c>
      <c r="D253" t="n">
        <v>10</v>
      </c>
    </row>
    <row r="254">
      <c r="A254" t="inlineStr">
        <is>
          <t>G|FICO x ASSET_CLASS|outcome_booked|rate|1</t>
        </is>
      </c>
      <c r="B254" t="n">
        <v>0.1276352086740425</v>
      </c>
      <c r="C254" t="n">
        <v>0.108700694066502</v>
      </c>
      <c r="D254" t="n">
        <v>0.1408827058373993</v>
      </c>
      <c r="E254" t="n">
        <v>0.2242535291400861</v>
      </c>
      <c r="F254" t="n">
        <v>0.1491655756309188</v>
      </c>
    </row>
    <row r="255">
      <c r="A255" t="inlineStr">
        <is>
          <t>G|FICO x ASSET_CLASS|outcome_booked|book|1</t>
        </is>
      </c>
      <c r="B255" t="n">
        <v>1.705694755343268</v>
      </c>
      <c r="C255" t="n">
        <v>1.452657191519231</v>
      </c>
      <c r="D255" t="n">
        <v>1.882732006018113</v>
      </c>
      <c r="E255" t="n">
        <v>2.996885205071595</v>
      </c>
      <c r="F255" t="n">
        <v>1.993422839000397</v>
      </c>
    </row>
    <row r="256">
      <c r="A256" t="inlineStr">
        <is>
          <t>G|FICO x ASSET_CLASS|outcome_booked|band|1</t>
        </is>
      </c>
      <c r="B256" t="n">
        <v>0.8132096170035026</v>
      </c>
      <c r="C256" t="n">
        <v>0.6650342939790537</v>
      </c>
      <c r="D256" t="n">
        <v>0.9289596398675806</v>
      </c>
      <c r="E256" t="n">
        <v>1.791775105196673</v>
      </c>
    </row>
    <row r="257">
      <c r="A257" t="inlineStr">
        <is>
          <t>G|FICO x ASSET_CLASS|outcome_booked|rate|2</t>
        </is>
      </c>
      <c r="B257" t="n">
        <v>0.06348643500205574</v>
      </c>
      <c r="C257" t="n">
        <v>0.05558659797747173</v>
      </c>
      <c r="D257" t="n">
        <v>0.08342653528102482</v>
      </c>
      <c r="E257" t="n">
        <v>0.1119359301162006</v>
      </c>
      <c r="F257" t="n">
        <v>0.07985779590889652</v>
      </c>
    </row>
    <row r="258">
      <c r="A258" t="inlineStr">
        <is>
          <t>G|FICO x ASSET_CLASS|outcome_booked|book|2</t>
        </is>
      </c>
      <c r="B258" t="n">
        <v>0.8484216882114182</v>
      </c>
      <c r="C258" t="n">
        <v>0.7428496386109704</v>
      </c>
      <c r="D258" t="n">
        <v>1.11489772425345</v>
      </c>
      <c r="E258" t="n">
        <v>1.495892324047288</v>
      </c>
      <c r="F258" t="n">
        <v>1.067205711262177</v>
      </c>
    </row>
    <row r="259">
      <c r="A259" t="inlineStr">
        <is>
          <t>G|FICO x ASSET_CLASS|outcome_booked|band|2</t>
        </is>
      </c>
      <c r="B259" t="n">
        <v>0.7426239781355174</v>
      </c>
      <c r="C259" t="n">
        <v>0.6392392239448949</v>
      </c>
      <c r="D259" t="n">
        <v>1.059885234816398</v>
      </c>
      <c r="E259" t="n">
        <v>1.653404103717667</v>
      </c>
    </row>
    <row r="260">
      <c r="A260" t="inlineStr">
        <is>
          <t>G|FICO x ASSET_CLASS|outcome_booked|rate|3</t>
        </is>
      </c>
      <c r="B260" t="n">
        <v>0.06046557269561652</v>
      </c>
      <c r="C260" t="n">
        <v>0.03818519804568093</v>
      </c>
      <c r="D260" t="n">
        <v>0.06427548153730028</v>
      </c>
      <c r="E260" t="n">
        <v>0.06461676794219112</v>
      </c>
      <c r="F260" t="n">
        <v>0.05686223568965074</v>
      </c>
    </row>
    <row r="261">
      <c r="A261" t="inlineStr">
        <is>
          <t>G|FICO x ASSET_CLASS|outcome_booked|book|3</t>
        </is>
      </c>
      <c r="B261" t="n">
        <v>0.8080514091462855</v>
      </c>
      <c r="C261" t="n">
        <v>0.5103003529739055</v>
      </c>
      <c r="D261" t="n">
        <v>0.8589663690316259</v>
      </c>
      <c r="E261" t="n">
        <v>0.8635272612567401</v>
      </c>
      <c r="F261" t="n">
        <v>0.7598970393868687</v>
      </c>
    </row>
    <row r="262">
      <c r="A262" t="inlineStr">
        <is>
          <t>G|FICO x ASSET_CLASS|outcome_booked|band|3</t>
        </is>
      </c>
      <c r="B262" t="n">
        <v>1.084039607321751</v>
      </c>
      <c r="C262" t="n">
        <v>0.6040497133408764</v>
      </c>
      <c r="D262" t="n">
        <v>1.181934324020646</v>
      </c>
      <c r="E262" t="n">
        <v>1.194871410271308</v>
      </c>
    </row>
    <row r="263">
      <c r="A263" t="inlineStr">
        <is>
          <t>G|FICO x ASSET_CLASS|outcome_booked|rate|4</t>
        </is>
      </c>
      <c r="B263" t="n">
        <v>0.04054846076713071</v>
      </c>
      <c r="C263" t="n">
        <v>0.0454678030440295</v>
      </c>
      <c r="D263" t="n">
        <v>0.04231326070887811</v>
      </c>
      <c r="E263" t="n">
        <v>0.08791346933525528</v>
      </c>
      <c r="F263" t="n">
        <v>0.05451749193722223</v>
      </c>
    </row>
    <row r="264">
      <c r="A264" t="inlineStr">
        <is>
          <t>G|FICO x ASSET_CLASS|outcome_booked|book|4</t>
        </is>
      </c>
      <c r="B264" t="n">
        <v>0.5418825854264698</v>
      </c>
      <c r="C264" t="n">
        <v>0.607623821004135</v>
      </c>
      <c r="D264" t="n">
        <v>0.5654670652588034</v>
      </c>
      <c r="E264" t="n">
        <v>1.174860331463325</v>
      </c>
      <c r="F264" t="n">
        <v>0.7285622912191042</v>
      </c>
    </row>
    <row r="265">
      <c r="A265" t="inlineStr">
        <is>
          <t>G|FICO x ASSET_CLASS|outcome_booked|band|4</t>
        </is>
      </c>
      <c r="B265" t="n">
        <v>0.6919066973184953</v>
      </c>
      <c r="C265" t="n">
        <v>0.7844395065388725</v>
      </c>
      <c r="D265" t="n">
        <v>0.7247250369920415</v>
      </c>
      <c r="E265" t="n">
        <v>2.04704720669849</v>
      </c>
    </row>
    <row r="266">
      <c r="A266" t="inlineStr">
        <is>
          <t>G|FICO x ASSET_CLASS|outcome_booked|rate|5</t>
        </is>
      </c>
      <c r="B266" t="n">
        <v>0.03369942521373164</v>
      </c>
      <c r="C266" t="n">
        <v>0.04674229712438486</v>
      </c>
      <c r="D266" t="n">
        <v>0.03337613677724733</v>
      </c>
      <c r="E266" t="n">
        <v>0.03299889535073695</v>
      </c>
      <c r="F266" t="n">
        <v>0.03682990751373653</v>
      </c>
    </row>
    <row r="267">
      <c r="A267" t="inlineStr">
        <is>
          <t>G|FICO x ASSET_CLASS|outcome_booked|book|5</t>
        </is>
      </c>
      <c r="B267" t="n">
        <v>0.4503532641368636</v>
      </c>
      <c r="C267" t="n">
        <v>0.624655938483019</v>
      </c>
      <c r="D267" t="n">
        <v>0.4460328936348442</v>
      </c>
      <c r="E267" t="n">
        <v>0.4409915047470787</v>
      </c>
      <c r="F267" t="n">
        <v>0.4921884857523176</v>
      </c>
    </row>
    <row r="268">
      <c r="A268" t="inlineStr">
        <is>
          <t>G|FICO x ASSET_CLASS|outcome_booked|band|5</t>
        </is>
      </c>
      <c r="B268" t="n">
        <v>0.8879293490733464</v>
      </c>
      <c r="C268" t="n">
        <v>1.400534289227499</v>
      </c>
      <c r="D268" t="n">
        <v>0.8789983459261625</v>
      </c>
      <c r="E268" t="n">
        <v>0.8690946877055101</v>
      </c>
    </row>
    <row r="269">
      <c r="A269" t="inlineStr">
        <is>
          <t>G|FICO x ASSET_CLASS|outcome_booked|rate|6</t>
        </is>
      </c>
      <c r="C269" t="n">
        <v>0</v>
      </c>
      <c r="F269" t="n">
        <v>0</v>
      </c>
    </row>
    <row r="270">
      <c r="A270" t="inlineStr">
        <is>
          <t>G|FICO x ASSET_CLASS|outcome_booked|book|6</t>
        </is>
      </c>
    </row>
    <row r="271">
      <c r="A271" t="inlineStr">
        <is>
          <t>G|FICO x ASSET_CLASS|outcome_booked|band|6</t>
        </is>
      </c>
    </row>
    <row r="272">
      <c r="A272" t="inlineStr">
        <is>
          <t>G|FICO x ASSET_CLASS|outcome_booked|rate|7</t>
        </is>
      </c>
      <c r="B272" t="n">
        <v>0.009586870506969991</v>
      </c>
      <c r="C272" t="n">
        <v>0.1158764205229406</v>
      </c>
      <c r="D272" t="n">
        <v>0.03694305066533045</v>
      </c>
      <c r="E272" t="n">
        <v>0.04927232715453918</v>
      </c>
      <c r="F272" t="n">
        <v>0.04815037624246446</v>
      </c>
    </row>
    <row r="273">
      <c r="A273" t="inlineStr">
        <is>
          <t>G|FICO x ASSET_CLASS|outcome_booked|book|7</t>
        </is>
      </c>
      <c r="F273" t="n">
        <v>0.6434732631990415</v>
      </c>
    </row>
    <row r="274">
      <c r="A274" t="inlineStr">
        <is>
          <t>G|FICO x ASSET_CLASS|outcome_booked|band|7</t>
        </is>
      </c>
    </row>
    <row r="275">
      <c r="A275" t="inlineStr">
        <is>
          <t>G|FICO x ASSET_CLASS|outcome_booked|rate|8</t>
        </is>
      </c>
      <c r="B275" t="n">
        <v>0.06479266841209207</v>
      </c>
      <c r="C275" t="n">
        <v>0.05990447229803184</v>
      </c>
      <c r="D275" t="n">
        <v>0.07111558928800159</v>
      </c>
      <c r="E275" t="n">
        <v>0.1032953749844734</v>
      </c>
      <c r="F275" t="n">
        <v>0.07482886857347225</v>
      </c>
    </row>
    <row r="276">
      <c r="A276" t="inlineStr">
        <is>
          <t>G|FICO x ASSET_CLASS|outcome_booked|book|8</t>
        </is>
      </c>
      <c r="B276" t="n">
        <v>0.8658779645782561</v>
      </c>
      <c r="C276" t="n">
        <v>0.8005529609099106</v>
      </c>
      <c r="D276" t="n">
        <v>0.9503763807169583</v>
      </c>
      <c r="E276" t="n">
        <v>1.380421446343942</v>
      </c>
      <c r="F276" t="n">
        <v>0.9999999999999987</v>
      </c>
    </row>
    <row r="277">
      <c r="A277" t="inlineStr">
        <is>
          <t>G|FICO x ASSET_CLASS|outcome_booked|band|8</t>
        </is>
      </c>
    </row>
    <row r="278">
      <c r="A278" t="inlineStr">
        <is>
          <t>G|FICO x ASSET_CLASS|outcome_booked|meta</t>
        </is>
      </c>
      <c r="B278" t="inlineStr">
        <is>
          <t>x</t>
        </is>
      </c>
      <c r="C278" t="n">
        <v>2.996885205071595</v>
      </c>
      <c r="D278" t="n">
        <v>10</v>
      </c>
    </row>
    <row r="279">
      <c r="A279" t="inlineStr">
        <is>
          <t>G|FICO x ASSET_CLASS|gco_rate|rate|1</t>
        </is>
      </c>
      <c r="B279" t="n">
        <v>0.07355223055051165</v>
      </c>
      <c r="C279" t="n">
        <v>0.05940718881303055</v>
      </c>
      <c r="D279" t="n">
        <v>0.08042333444240277</v>
      </c>
      <c r="E279" t="n">
        <v>0.1231658585862879</v>
      </c>
      <c r="F279" t="n">
        <v>0.08345255929305034</v>
      </c>
    </row>
    <row r="280">
      <c r="A280" t="inlineStr">
        <is>
          <t>G|FICO x ASSET_CLASS|gco_rate|book|1</t>
        </is>
      </c>
      <c r="B280" t="n">
        <v>1.767858706373372</v>
      </c>
      <c r="C280" t="n">
        <v>1.427876696304382</v>
      </c>
      <c r="D280" t="n">
        <v>1.933008569902442</v>
      </c>
      <c r="E280" t="n">
        <v>2.960343062338384</v>
      </c>
      <c r="F280" t="n">
        <v>2.005817259532897</v>
      </c>
    </row>
    <row r="281">
      <c r="A281" t="inlineStr">
        <is>
          <t>G|FICO x ASSET_CLASS|gco_rate|band|1</t>
        </is>
      </c>
      <c r="B281" t="n">
        <v>0.8451400690093763</v>
      </c>
      <c r="C281" t="n">
        <v>0.6459743404111616</v>
      </c>
      <c r="D281" t="n">
        <v>0.9533049072608608</v>
      </c>
      <c r="E281" t="n">
        <v>1.7404429065153</v>
      </c>
    </row>
    <row r="282">
      <c r="A282" t="inlineStr">
        <is>
          <t>G|FICO x ASSET_CLASS|gco_rate|rate|2</t>
        </is>
      </c>
      <c r="B282" t="n">
        <v>0.03262896125692831</v>
      </c>
      <c r="C282" t="n">
        <v>0.03220881070191754</v>
      </c>
      <c r="D282" t="n">
        <v>0.04904611205615317</v>
      </c>
      <c r="E282" t="n">
        <v>0.06425822850758699</v>
      </c>
      <c r="F282" t="n">
        <v>0.04521453740915432</v>
      </c>
    </row>
    <row r="283">
      <c r="A283" t="inlineStr">
        <is>
          <t>G|FICO x ASSET_CLASS|gco_rate|book|2</t>
        </is>
      </c>
      <c r="B283" t="n">
        <v>0.7842507671927957</v>
      </c>
      <c r="C283" t="n">
        <v>0.7741522724074702</v>
      </c>
      <c r="D283" t="n">
        <v>1.178843871399509</v>
      </c>
      <c r="E283" t="n">
        <v>1.544473469710118</v>
      </c>
      <c r="F283" t="n">
        <v>1.086750367937848</v>
      </c>
    </row>
    <row r="284">
      <c r="A284" t="inlineStr">
        <is>
          <t>G|FICO x ASSET_CLASS|gco_rate|band|2</t>
        </is>
      </c>
      <c r="B284" t="n">
        <v>0.6585879176080297</v>
      </c>
      <c r="C284" t="n">
        <v>0.6570695463311553</v>
      </c>
      <c r="D284" t="n">
        <v>1.115059073035587</v>
      </c>
      <c r="E284" t="n">
        <v>1.691137770960734</v>
      </c>
    </row>
    <row r="285">
      <c r="A285" t="inlineStr">
        <is>
          <t>G|FICO x ASSET_CLASS|gco_rate|rate|3</t>
        </is>
      </c>
      <c r="B285" t="n">
        <v>0.03498530803243795</v>
      </c>
      <c r="C285" t="n">
        <v>0.01870715496835951</v>
      </c>
      <c r="D285" t="n">
        <v>0.03438001216278803</v>
      </c>
      <c r="E285" t="n">
        <v>0.03806352628725936</v>
      </c>
      <c r="F285" t="n">
        <v>0.03151500509362794</v>
      </c>
    </row>
    <row r="286">
      <c r="A286" t="inlineStr">
        <is>
          <t>G|FICO x ASSET_CLASS|gco_rate|book|3</t>
        </is>
      </c>
      <c r="B286" t="n">
        <v>0.8408865501070715</v>
      </c>
      <c r="C286" t="n">
        <v>0.4496343147551246</v>
      </c>
      <c r="D286" t="n">
        <v>0.8263380100412802</v>
      </c>
      <c r="E286" t="n">
        <v>0.9148728167528709</v>
      </c>
      <c r="F286" t="n">
        <v>0.7574763636557553</v>
      </c>
    </row>
    <row r="287">
      <c r="A287" t="inlineStr">
        <is>
          <t>G|FICO x ASSET_CLASS|gco_rate|band|3</t>
        </is>
      </c>
      <c r="B287" t="n">
        <v>1.148158152115248</v>
      </c>
      <c r="C287" t="n">
        <v>0.5215023580325703</v>
      </c>
      <c r="D287" t="n">
        <v>1.125136212823914</v>
      </c>
      <c r="E287" t="n">
        <v>1.305148031995351</v>
      </c>
    </row>
    <row r="288">
      <c r="A288" t="inlineStr">
        <is>
          <t>G|FICO x ASSET_CLASS|gco_rate|rate|4</t>
        </is>
      </c>
      <c r="B288" t="n">
        <v>0.02461761470580813</v>
      </c>
      <c r="C288" t="n">
        <v>0.02633420507366459</v>
      </c>
      <c r="D288" t="n">
        <v>0.02322727151614726</v>
      </c>
      <c r="E288" t="n">
        <v>0.04600441784929067</v>
      </c>
      <c r="F288" t="n">
        <v>0.03026397173122731</v>
      </c>
    </row>
    <row r="289">
      <c r="A289" t="inlineStr">
        <is>
          <t>G|FICO x ASSET_CLASS|gco_rate|book|4</t>
        </is>
      </c>
      <c r="B289" t="n">
        <v>0.5916946931734529</v>
      </c>
      <c r="C289" t="n">
        <v>0.6329536625395505</v>
      </c>
      <c r="D289" t="n">
        <v>0.5582772115513159</v>
      </c>
      <c r="E289" t="n">
        <v>1.10573547556324</v>
      </c>
      <c r="F289" t="n">
        <v>0.7274072521532202</v>
      </c>
    </row>
    <row r="290">
      <c r="A290" t="inlineStr">
        <is>
          <t>G|FICO x ASSET_CLASS|gco_rate|band|4</t>
        </is>
      </c>
      <c r="B290" t="n">
        <v>0.7714685081564954</v>
      </c>
      <c r="C290" t="n">
        <v>0.8291261313311146</v>
      </c>
      <c r="D290" t="n">
        <v>0.7147660377971981</v>
      </c>
      <c r="E290" t="n">
        <v>1.854678345569113</v>
      </c>
    </row>
    <row r="291">
      <c r="A291" t="inlineStr">
        <is>
          <t>G|FICO x ASSET_CLASS|gco_rate|rate|5</t>
        </is>
      </c>
      <c r="B291" t="n">
        <v>0.01846337237406543</v>
      </c>
      <c r="C291" t="n">
        <v>0.02429547794680709</v>
      </c>
      <c r="D291" t="n">
        <v>0.01682813232770902</v>
      </c>
      <c r="E291" t="n">
        <v>0.01778061167366514</v>
      </c>
      <c r="F291" t="n">
        <v>0.01940834703954903</v>
      </c>
    </row>
    <row r="292">
      <c r="A292" t="inlineStr">
        <is>
          <t>G|FICO x ASSET_CLASS|gco_rate|book|5</t>
        </is>
      </c>
      <c r="B292" t="n">
        <v>0.4437748978678406</v>
      </c>
      <c r="C292" t="n">
        <v>0.5839520010785912</v>
      </c>
      <c r="D292" t="n">
        <v>0.40447121759432</v>
      </c>
      <c r="E292" t="n">
        <v>0.4273644581090717</v>
      </c>
      <c r="F292" t="n">
        <v>0.4664877602402492</v>
      </c>
    </row>
    <row r="293">
      <c r="A293" t="inlineStr">
        <is>
          <t>G|FICO x ASSET_CLASS|gco_rate|band|5</t>
        </is>
      </c>
      <c r="B293" t="n">
        <v>0.9349815094307363</v>
      </c>
      <c r="C293" t="n">
        <v>1.372255529935013</v>
      </c>
      <c r="D293" t="n">
        <v>0.8305856601183079</v>
      </c>
      <c r="E293" t="n">
        <v>0.8938373725528002</v>
      </c>
    </row>
    <row r="294">
      <c r="A294" t="inlineStr">
        <is>
          <t>G|FICO x ASSET_CLASS|gco_rate|rate|6</t>
        </is>
      </c>
      <c r="C294" t="n">
        <v>0</v>
      </c>
      <c r="F294" t="n">
        <v>0</v>
      </c>
    </row>
    <row r="295">
      <c r="A295" t="inlineStr">
        <is>
          <t>G|FICO x ASSET_CLASS|gco_rate|book|6</t>
        </is>
      </c>
    </row>
    <row r="296">
      <c r="A296" t="inlineStr">
        <is>
          <t>G|FICO x ASSET_CLASS|gco_rate|band|6</t>
        </is>
      </c>
    </row>
    <row r="297">
      <c r="A297" t="inlineStr">
        <is>
          <t>G|FICO x ASSET_CLASS|gco_rate|rate|7</t>
        </is>
      </c>
      <c r="B297" t="n">
        <v>0.004127622161368955</v>
      </c>
      <c r="C297" t="n">
        <v>0.06113306624451557</v>
      </c>
      <c r="D297" t="n">
        <v>0.02458982875144944</v>
      </c>
      <c r="E297" t="n">
        <v>0.02144455121582318</v>
      </c>
      <c r="F297" t="n">
        <v>0.02551311188947889</v>
      </c>
    </row>
    <row r="298">
      <c r="A298" t="inlineStr">
        <is>
          <t>G|FICO x ASSET_CLASS|gco_rate|book|7</t>
        </is>
      </c>
      <c r="F298" t="n">
        <v>0.6132183435214595</v>
      </c>
    </row>
    <row r="299">
      <c r="A299" t="inlineStr">
        <is>
          <t>G|FICO x ASSET_CLASS|gco_rate|band|7</t>
        </is>
      </c>
    </row>
    <row r="300">
      <c r="A300" t="inlineStr">
        <is>
          <t>G|FICO x ASSET_CLASS|gco_rate|rate|8</t>
        </is>
      </c>
      <c r="B300" t="n">
        <v>0.03658802020131283</v>
      </c>
      <c r="C300" t="n">
        <v>0.03267264405351186</v>
      </c>
      <c r="D300" t="n">
        <v>0.0398533959196397</v>
      </c>
      <c r="E300" t="n">
        <v>0.05721698514012346</v>
      </c>
      <c r="F300" t="n">
        <v>0.0416052653333356</v>
      </c>
    </row>
    <row r="301">
      <c r="A301" t="inlineStr">
        <is>
          <t>G|FICO x ASSET_CLASS|gco_rate|book|8</t>
        </is>
      </c>
      <c r="B301" t="n">
        <v>0.8794084092043318</v>
      </c>
      <c r="C301" t="n">
        <v>0.7853007015276345</v>
      </c>
      <c r="D301" t="n">
        <v>0.9578930839724202</v>
      </c>
      <c r="E301" t="n">
        <v>1.375234232535446</v>
      </c>
      <c r="F301" t="n">
        <v>0.9999999999999988</v>
      </c>
    </row>
    <row r="302">
      <c r="A302" t="inlineStr">
        <is>
          <t>G|FICO x ASSET_CLASS|gco_rate|band|8</t>
        </is>
      </c>
    </row>
    <row r="303">
      <c r="A303" t="inlineStr">
        <is>
          <t>G|FICO x ASSET_CLASS|gco_rate|meta</t>
        </is>
      </c>
      <c r="B303" t="inlineStr">
        <is>
          <t>x</t>
        </is>
      </c>
      <c r="C303" t="n">
        <v>2.960343062338384</v>
      </c>
      <c r="D303" t="n">
        <v>10</v>
      </c>
    </row>
    <row r="304">
      <c r="A304" t="inlineStr">
        <is>
          <t>G|FICO x ASSET_CLASS|ranr_rate|rate|1</t>
        </is>
      </c>
      <c r="B304" t="n">
        <v>0.2077442608211614</v>
      </c>
      <c r="C304" t="n">
        <v>0.2055596297167591</v>
      </c>
      <c r="D304" t="n">
        <v>0.1917460412988871</v>
      </c>
      <c r="E304" t="n">
        <v>0.1527857550175701</v>
      </c>
      <c r="F304" t="n">
        <v>0.1901717430158448</v>
      </c>
    </row>
    <row r="305">
      <c r="A305" t="inlineStr">
        <is>
          <t>G|FICO x ASSET_CLASS|ranr_rate|book|1</t>
        </is>
      </c>
      <c r="B305" t="n">
        <v>7.975421117</v>
      </c>
      <c r="C305" t="n">
        <v>7.756958007</v>
      </c>
      <c r="D305" t="n">
        <v>6.375599165</v>
      </c>
      <c r="E305" t="n">
        <v>2.479570537</v>
      </c>
      <c r="F305" t="n">
        <v>6.218169337</v>
      </c>
    </row>
    <row r="306">
      <c r="A306" t="inlineStr">
        <is>
          <t>G|FICO x ASSET_CLASS|ranr_rate|band|1</t>
        </is>
      </c>
      <c r="B306" t="n">
        <v>2.392162031</v>
      </c>
      <c r="C306" t="n">
        <v>2.083559861</v>
      </c>
      <c r="D306" t="n">
        <v>0.204727885</v>
      </c>
      <c r="E306" t="n">
        <v>-4.932817269</v>
      </c>
    </row>
    <row r="307">
      <c r="A307" t="inlineStr">
        <is>
          <t>G|FICO x ASSET_CLASS|ranr_rate|rate|2</t>
        </is>
      </c>
      <c r="B307" t="n">
        <v>0.1778760363577258</v>
      </c>
      <c r="C307" t="n">
        <v>0.1780228111174895</v>
      </c>
      <c r="D307" t="n">
        <v>0.1597304607764646</v>
      </c>
      <c r="E307" t="n">
        <v>0.1399400584406234</v>
      </c>
      <c r="F307" t="n">
        <v>0.1630754408239561</v>
      </c>
    </row>
    <row r="308">
      <c r="A308" t="inlineStr">
        <is>
          <t>G|FICO x ASSET_CLASS|ranr_rate|book|2</t>
        </is>
      </c>
      <c r="B308" t="n">
        <v>4.988598671</v>
      </c>
      <c r="C308" t="n">
        <v>5.003276147</v>
      </c>
      <c r="D308" t="n">
        <v>3.174041113</v>
      </c>
      <c r="E308" t="n">
        <v>1.195000879</v>
      </c>
      <c r="F308" t="n">
        <v>3.508539118</v>
      </c>
    </row>
    <row r="309">
      <c r="A309" t="inlineStr">
        <is>
          <t>G|FICO x ASSET_CLASS|ranr_rate|band|2</t>
        </is>
      </c>
      <c r="B309" t="n">
        <v>1.989181743</v>
      </c>
      <c r="C309" t="n">
        <v>1.93196642</v>
      </c>
      <c r="D309" t="n">
        <v>-0.441818424</v>
      </c>
      <c r="E309" t="n">
        <v>-3.190361831</v>
      </c>
    </row>
    <row r="310">
      <c r="A310" t="inlineStr">
        <is>
          <t>G|FICO x ASSET_CLASS|ranr_rate|rate|3</t>
        </is>
      </c>
      <c r="B310" t="n">
        <v>0.1394747088927646</v>
      </c>
      <c r="C310" t="n">
        <v>0.1529877133403514</v>
      </c>
      <c r="D310" t="n">
        <v>0.1323364145670277</v>
      </c>
      <c r="E310" t="n">
        <v>0.1425164613916163</v>
      </c>
      <c r="F310" t="n">
        <v>0.1419183148673722</v>
      </c>
    </row>
    <row r="311">
      <c r="A311" t="inlineStr">
        <is>
          <t>G|FICO x ASSET_CLASS|ranr_rate|book|3</t>
        </is>
      </c>
      <c r="B311" t="n">
        <v>1.148465924</v>
      </c>
      <c r="C311" t="n">
        <v>2.499766369</v>
      </c>
      <c r="D311" t="n">
        <v>0.434636492</v>
      </c>
      <c r="E311" t="n">
        <v>1.452641174</v>
      </c>
      <c r="F311" t="n">
        <v>1.392826522</v>
      </c>
    </row>
    <row r="312">
      <c r="A312" t="inlineStr">
        <is>
          <t>G|FICO x ASSET_CLASS|ranr_rate|band|3</t>
        </is>
      </c>
      <c r="B312" t="n">
        <v>-0.317887412</v>
      </c>
      <c r="C312" t="n">
        <v>1.483470976</v>
      </c>
      <c r="D312" t="n">
        <v>-1.278821356</v>
      </c>
      <c r="E312" t="n">
        <v>0.081287575</v>
      </c>
    </row>
    <row r="313">
      <c r="A313" t="inlineStr">
        <is>
          <t>G|FICO x ASSET_CLASS|ranr_rate|rate|4</t>
        </is>
      </c>
      <c r="B313" t="n">
        <v>0.1013543955768143</v>
      </c>
      <c r="C313" t="n">
        <v>0.09423281563887562</v>
      </c>
      <c r="D313" t="n">
        <v>0.1008589944409684</v>
      </c>
      <c r="E313" t="n">
        <v>0.08852018205526856</v>
      </c>
      <c r="F313" t="n">
        <v>0.09596924359374788</v>
      </c>
    </row>
    <row r="314">
      <c r="A314" t="inlineStr">
        <is>
          <t>G|FICO x ASSET_CLASS|ranr_rate|book|4</t>
        </is>
      </c>
      <c r="B314" t="n">
        <v>-2.663565407</v>
      </c>
      <c r="C314" t="n">
        <v>-3.375723401</v>
      </c>
      <c r="D314" t="n">
        <v>-2.713105521</v>
      </c>
      <c r="E314" t="n">
        <v>-3.946986759</v>
      </c>
      <c r="F314" t="n">
        <v>-3.202080605</v>
      </c>
    </row>
    <row r="315">
      <c r="A315" t="inlineStr">
        <is>
          <t>G|FICO x ASSET_CLASS|ranr_rate|band|4</t>
        </is>
      </c>
      <c r="B315" t="n">
        <v>0.69605054</v>
      </c>
      <c r="C315" t="n">
        <v>-0.239737957</v>
      </c>
      <c r="D315" t="n">
        <v>0.643941248</v>
      </c>
      <c r="E315" t="n">
        <v>-1.003000679</v>
      </c>
    </row>
    <row r="316">
      <c r="A316" t="inlineStr">
        <is>
          <t>G|FICO x ASSET_CLASS|ranr_rate|rate|5</t>
        </is>
      </c>
      <c r="B316" t="n">
        <v>0.04893947310134965</v>
      </c>
      <c r="C316" t="n">
        <v>0.03938017904569642</v>
      </c>
      <c r="D316" t="n">
        <v>0.05119390860871899</v>
      </c>
      <c r="E316" t="n">
        <v>0.04769662628883067</v>
      </c>
      <c r="F316" t="n">
        <v>0.04674341748455087</v>
      </c>
    </row>
    <row r="317">
      <c r="A317" t="inlineStr">
        <is>
          <t>G|FICO x ASSET_CLASS|ranr_rate|book|5</t>
        </is>
      </c>
      <c r="B317" t="n">
        <v>-7.905057655</v>
      </c>
      <c r="C317" t="n">
        <v>-8.860987059999999</v>
      </c>
      <c r="D317" t="n">
        <v>-7.679614104</v>
      </c>
      <c r="E317" t="n">
        <v>-8.029342335999999</v>
      </c>
      <c r="F317" t="n">
        <v>-8.124663216</v>
      </c>
    </row>
    <row r="318">
      <c r="A318" t="inlineStr">
        <is>
          <t>G|FICO x ASSET_CLASS|ranr_rate|band|5</t>
        </is>
      </c>
      <c r="B318" t="n">
        <v>0.298378866</v>
      </c>
      <c r="C318" t="n">
        <v>-0.992993733</v>
      </c>
      <c r="D318" t="n">
        <v>0.59204368</v>
      </c>
      <c r="E318" t="n">
        <v>0.123669923</v>
      </c>
    </row>
    <row r="319">
      <c r="A319" t="inlineStr">
        <is>
          <t>G|FICO x ASSET_CLASS|ranr_rate|rate|6</t>
        </is>
      </c>
      <c r="C319" t="n">
        <v>0.140296941334961</v>
      </c>
      <c r="F319" t="n">
        <v>0.140296941334961</v>
      </c>
    </row>
    <row r="320">
      <c r="A320" t="inlineStr">
        <is>
          <t>G|FICO x ASSET_CLASS|ranr_rate|book|6</t>
        </is>
      </c>
      <c r="C320" t="n">
        <v>1.230689169</v>
      </c>
      <c r="F320" t="n">
        <v>1.230689169</v>
      </c>
    </row>
    <row r="321">
      <c r="A321" t="inlineStr">
        <is>
          <t>G|FICO x ASSET_CLASS|ranr_rate|band|6</t>
        </is>
      </c>
    </row>
    <row r="322">
      <c r="A322" t="inlineStr">
        <is>
          <t>G|FICO x ASSET_CLASS|ranr_rate|rate|7</t>
        </is>
      </c>
      <c r="B322" t="n">
        <v>0.1796574184198243</v>
      </c>
      <c r="C322" t="n">
        <v>0.112038788814841</v>
      </c>
      <c r="D322" t="n">
        <v>0.1540231821186723</v>
      </c>
      <c r="E322" t="n">
        <v>0.1646195456584492</v>
      </c>
      <c r="F322" t="n">
        <v>0.1551731988462655</v>
      </c>
    </row>
    <row r="323">
      <c r="A323" t="inlineStr">
        <is>
          <t>G|FICO x ASSET_CLASS|ranr_rate|book|7</t>
        </is>
      </c>
      <c r="B323" t="n">
        <v>5.166736877</v>
      </c>
      <c r="C323" t="n">
        <v>-1.595126083</v>
      </c>
      <c r="D323" t="n">
        <v>2.603313247</v>
      </c>
      <c r="E323" t="n">
        <v>3.662949601</v>
      </c>
      <c r="F323" t="n">
        <v>2.71831492</v>
      </c>
    </row>
    <row r="324">
      <c r="A324" t="inlineStr">
        <is>
          <t>G|FICO x ASSET_CLASS|ranr_rate|band|7</t>
        </is>
      </c>
      <c r="B324" t="n">
        <v>3.431925923</v>
      </c>
      <c r="C324" t="n">
        <v>-5.428953282</v>
      </c>
      <c r="D324" t="n">
        <v>-0.159407582</v>
      </c>
      <c r="E324" t="n">
        <v>1.225814525</v>
      </c>
    </row>
    <row r="325">
      <c r="A325" t="inlineStr">
        <is>
          <t>G|FICO x ASSET_CLASS|ranr_rate|rate|8</t>
        </is>
      </c>
      <c r="B325" t="n">
        <v>0.1366271301464631</v>
      </c>
      <c r="C325" t="n">
        <v>0.1319777891966655</v>
      </c>
      <c r="D325" t="n">
        <v>0.1267931865560142</v>
      </c>
      <c r="E325" t="n">
        <v>0.1166197094471362</v>
      </c>
      <c r="F325" t="n">
        <v>0.1279900496481476</v>
      </c>
    </row>
    <row r="326">
      <c r="A326" t="inlineStr">
        <is>
          <t>G|FICO x ASSET_CLASS|ranr_rate|book|8</t>
        </is>
      </c>
      <c r="B326" t="n">
        <v>0.8637080499999999</v>
      </c>
      <c r="C326" t="n">
        <v>0.398773955</v>
      </c>
      <c r="D326" t="n">
        <v>-0.119686309</v>
      </c>
      <c r="E326" t="n">
        <v>-1.13703402</v>
      </c>
      <c r="F326" t="n">
        <v>0</v>
      </c>
    </row>
    <row r="327">
      <c r="A327" t="inlineStr">
        <is>
          <t>G|FICO x ASSET_CLASS|ranr_rate|band|8</t>
        </is>
      </c>
    </row>
    <row r="328">
      <c r="A328" t="inlineStr">
        <is>
          <t>G|FICO x ASSET_CLASS|ranr_rate|meta</t>
        </is>
      </c>
      <c r="B328" t="inlineStr">
        <is>
          <t>pts</t>
        </is>
      </c>
      <c r="C328" t="n">
        <v>8.860987059999999</v>
      </c>
      <c r="D328" t="n">
        <v>10</v>
      </c>
    </row>
    <row r="329">
      <c r="A329" t="inlineStr">
        <is>
          <t>G|FICO x ASSET_CLASS|contribution_rate|rate|1</t>
        </is>
      </c>
      <c r="B329" t="n">
        <v>0.2812964913716731</v>
      </c>
      <c r="C329" t="n">
        <v>0.2649668185297895</v>
      </c>
      <c r="D329" t="n">
        <v>0.2721693757412896</v>
      </c>
      <c r="E329" t="n">
        <v>0.2759516136038578</v>
      </c>
      <c r="F329" t="n">
        <v>0.2736243023088951</v>
      </c>
    </row>
    <row r="330">
      <c r="A330" t="inlineStr">
        <is>
          <t>G|FICO x ASSET_CLASS|contribution_rate|book|1</t>
        </is>
      </c>
      <c r="B330" t="n">
        <v>11.170403564</v>
      </c>
      <c r="C330" t="n">
        <v>9.537436279</v>
      </c>
      <c r="D330" t="n">
        <v>10.257692001</v>
      </c>
      <c r="E330" t="n">
        <v>10.635915787</v>
      </c>
      <c r="F330" t="n">
        <v>10.403184657</v>
      </c>
    </row>
    <row r="331">
      <c r="A331" t="inlineStr">
        <is>
          <t>G|FICO x ASSET_CLASS|contribution_rate|band|1</t>
        </is>
      </c>
      <c r="B331" t="n">
        <v>1.044421726</v>
      </c>
      <c r="C331" t="n">
        <v>-1.172245809</v>
      </c>
      <c r="D331" t="n">
        <v>-0.189204322</v>
      </c>
      <c r="E331" t="n">
        <v>0.307072301</v>
      </c>
    </row>
    <row r="332">
      <c r="A332" t="inlineStr">
        <is>
          <t>G|FICO x ASSET_CLASS|contribution_rate|rate|2</t>
        </is>
      </c>
      <c r="B332" t="n">
        <v>0.2105049976146541</v>
      </c>
      <c r="C332" t="n">
        <v>0.210231621819407</v>
      </c>
      <c r="D332" t="n">
        <v>0.2087765728326179</v>
      </c>
      <c r="E332" t="n">
        <v>0.2041982869482105</v>
      </c>
      <c r="F332" t="n">
        <v>0.2082899782331105</v>
      </c>
    </row>
    <row r="333">
      <c r="A333" t="inlineStr">
        <is>
          <t>G|FICO x ASSET_CLASS|contribution_rate|book|2</t>
        </is>
      </c>
      <c r="B333" t="n">
        <v>4.091254188</v>
      </c>
      <c r="C333" t="n">
        <v>4.063916608</v>
      </c>
      <c r="D333" t="n">
        <v>3.91841171</v>
      </c>
      <c r="E333" t="n">
        <v>3.460583121</v>
      </c>
      <c r="F333" t="n">
        <v>3.86975225</v>
      </c>
    </row>
    <row r="334">
      <c r="A334" t="inlineStr">
        <is>
          <t>G|FICO x ASSET_CLASS|contribution_rate|band|2</t>
        </is>
      </c>
      <c r="B334" t="n">
        <v>0.297695867</v>
      </c>
      <c r="C334" t="n">
        <v>0.250959877</v>
      </c>
      <c r="D334" t="n">
        <v>0.06427137300000001</v>
      </c>
      <c r="E334" t="n">
        <v>-0.564242919</v>
      </c>
    </row>
    <row r="335">
      <c r="A335" t="inlineStr">
        <is>
          <t>G|FICO x ASSET_CLASS|contribution_rate|rate|3</t>
        </is>
      </c>
      <c r="B335" t="n">
        <v>0.1744600169252025</v>
      </c>
      <c r="C335" t="n">
        <v>0.1716948683087108</v>
      </c>
      <c r="D335" t="n">
        <v>0.1667164267298157</v>
      </c>
      <c r="E335" t="n">
        <v>0.1805799876788757</v>
      </c>
      <c r="F335" t="n">
        <v>0.1734333199610002</v>
      </c>
    </row>
    <row r="336">
      <c r="A336" t="inlineStr">
        <is>
          <t>G|FICO x ASSET_CLASS|contribution_rate|book|3</t>
        </is>
      </c>
      <c r="B336" t="n">
        <v>0.486756119</v>
      </c>
      <c r="C336" t="n">
        <v>0.210241257</v>
      </c>
      <c r="D336" t="n">
        <v>-0.287602901</v>
      </c>
      <c r="E336" t="n">
        <v>1.098753194</v>
      </c>
      <c r="F336" t="n">
        <v>0.384086423</v>
      </c>
    </row>
    <row r="337">
      <c r="A337" t="inlineStr">
        <is>
          <t>G|FICO x ASSET_CLASS|contribution_rate|band|3</t>
        </is>
      </c>
      <c r="B337" t="n">
        <v>0.133562467</v>
      </c>
      <c r="C337" t="n">
        <v>-0.232979468</v>
      </c>
      <c r="D337" t="n">
        <v>-0.896451251</v>
      </c>
      <c r="E337" t="n">
        <v>0.971225716</v>
      </c>
    </row>
    <row r="338">
      <c r="A338" t="inlineStr">
        <is>
          <t>G|FICO x ASSET_CLASS|contribution_rate|rate|4</t>
        </is>
      </c>
      <c r="B338" t="n">
        <v>0.1258163271754221</v>
      </c>
      <c r="C338" t="n">
        <v>0.1205670207125402</v>
      </c>
      <c r="D338" t="n">
        <v>0.1240862659571156</v>
      </c>
      <c r="E338" t="n">
        <v>0.1345245999045592</v>
      </c>
      <c r="F338" t="n">
        <v>0.126193889200492</v>
      </c>
    </row>
    <row r="339">
      <c r="A339" t="inlineStr">
        <is>
          <t>G|FICO x ASSET_CLASS|contribution_rate|book|4</t>
        </is>
      </c>
      <c r="B339" t="n">
        <v>-4.377612856</v>
      </c>
      <c r="C339" t="n">
        <v>-4.902543502</v>
      </c>
      <c r="D339" t="n">
        <v>-4.550618978</v>
      </c>
      <c r="E339" t="n">
        <v>-3.506785583</v>
      </c>
      <c r="F339" t="n">
        <v>-4.339856653</v>
      </c>
    </row>
    <row r="340">
      <c r="A340" t="inlineStr">
        <is>
          <t>G|FICO x ASSET_CLASS|contribution_rate|band|4</t>
        </is>
      </c>
      <c r="B340" t="n">
        <v>-0.048763379</v>
      </c>
      <c r="C340" t="n">
        <v>-0.777097056</v>
      </c>
      <c r="D340" t="n">
        <v>-0.277625563</v>
      </c>
      <c r="E340" t="n">
        <v>1.122014979</v>
      </c>
    </row>
    <row r="341">
      <c r="A341" t="inlineStr">
        <is>
          <t>G|FICO x ASSET_CLASS|contribution_rate|rate|5</t>
        </is>
      </c>
      <c r="B341" t="n">
        <v>0.06740284547541511</v>
      </c>
      <c r="C341" t="n">
        <v>0.06367565699250349</v>
      </c>
      <c r="D341" t="n">
        <v>0.068022040936428</v>
      </c>
      <c r="E341" t="n">
        <v>0.06547723796249581</v>
      </c>
      <c r="F341" t="n">
        <v>0.06615176452409989</v>
      </c>
    </row>
    <row r="342">
      <c r="A342" t="inlineStr">
        <is>
          <t>G|FICO x ASSET_CLASS|contribution_rate|book|5</t>
        </is>
      </c>
      <c r="B342" t="n">
        <v>-10.218961026</v>
      </c>
      <c r="C342" t="n">
        <v>-10.591679874</v>
      </c>
      <c r="D342" t="n">
        <v>-10.15704148</v>
      </c>
      <c r="E342" t="n">
        <v>-10.411521777</v>
      </c>
      <c r="F342" t="n">
        <v>-10.344069121</v>
      </c>
    </row>
    <row r="343">
      <c r="A343" t="inlineStr">
        <is>
          <t>G|FICO x ASSET_CLASS|contribution_rate|band|5</t>
        </is>
      </c>
      <c r="B343" t="n">
        <v>0.169984818</v>
      </c>
      <c r="C343" t="n">
        <v>-0.333923623</v>
      </c>
      <c r="D343" t="n">
        <v>0.248800705</v>
      </c>
      <c r="E343" t="n">
        <v>-0.08751351</v>
      </c>
    </row>
    <row r="344">
      <c r="A344" t="inlineStr">
        <is>
          <t>G|FICO x ASSET_CLASS|contribution_rate|rate|6</t>
        </is>
      </c>
      <c r="C344" t="n">
        <v>0.140296941334961</v>
      </c>
      <c r="F344" t="n">
        <v>0.140296941334961</v>
      </c>
    </row>
    <row r="345">
      <c r="A345" t="inlineStr">
        <is>
          <t>G|FICO x ASSET_CLASS|contribution_rate|book|6</t>
        </is>
      </c>
      <c r="C345" t="n">
        <v>-2.92955144</v>
      </c>
      <c r="F345" t="n">
        <v>-2.92955144</v>
      </c>
    </row>
    <row r="346">
      <c r="A346" t="inlineStr">
        <is>
          <t>G|FICO x ASSET_CLASS|contribution_rate|band|6</t>
        </is>
      </c>
    </row>
    <row r="347">
      <c r="A347" t="inlineStr">
        <is>
          <t>G|FICO x ASSET_CLASS|contribution_rate|rate|7</t>
        </is>
      </c>
      <c r="B347" t="n">
        <v>0.1837850405811932</v>
      </c>
      <c r="C347" t="n">
        <v>0.1731718550593566</v>
      </c>
      <c r="D347" t="n">
        <v>0.1786130108701217</v>
      </c>
      <c r="E347" t="n">
        <v>0.1860640968742723</v>
      </c>
      <c r="F347" t="n">
        <v>0.1806863107357444</v>
      </c>
    </row>
    <row r="348">
      <c r="A348" t="inlineStr">
        <is>
          <t>G|FICO x ASSET_CLASS|contribution_rate|book|7</t>
        </is>
      </c>
      <c r="B348" t="n">
        <v>1.419258485</v>
      </c>
      <c r="C348" t="n">
        <v>0.357939932</v>
      </c>
      <c r="D348" t="n">
        <v>0.9020555139999999</v>
      </c>
      <c r="E348" t="n">
        <v>1.647164114</v>
      </c>
      <c r="F348" t="n">
        <v>1.1093855</v>
      </c>
    </row>
    <row r="349">
      <c r="A349" t="inlineStr">
        <is>
          <t>G|FICO x ASSET_CLASS|contribution_rate|band|7</t>
        </is>
      </c>
      <c r="B349" t="n">
        <v>0.434345528</v>
      </c>
      <c r="C349" t="n">
        <v>-0.9457792229999999</v>
      </c>
      <c r="D349" t="n">
        <v>-0.287386879</v>
      </c>
      <c r="E349" t="n">
        <v>0.6978537299999999</v>
      </c>
    </row>
    <row r="350">
      <c r="A350" t="inlineStr">
        <is>
          <t>G|FICO x ASSET_CLASS|contribution_rate|rate|8</t>
        </is>
      </c>
      <c r="B350" t="n">
        <v>0.1732090054791082</v>
      </c>
      <c r="C350" t="n">
        <v>0.1646504332501773</v>
      </c>
      <c r="D350" t="n">
        <v>0.1666465824756539</v>
      </c>
      <c r="E350" t="n">
        <v>0.1738366945872596</v>
      </c>
      <c r="F350" t="n">
        <v>0.1695924557349811</v>
      </c>
    </row>
    <row r="351">
      <c r="A351" t="inlineStr">
        <is>
          <t>G|FICO x ASSET_CLASS|contribution_rate|book|8</t>
        </is>
      </c>
      <c r="B351" t="n">
        <v>0.361654974</v>
      </c>
      <c r="C351" t="n">
        <v>-0.494202248</v>
      </c>
      <c r="D351" t="n">
        <v>-0.294587326</v>
      </c>
      <c r="E351" t="n">
        <v>0.424423885</v>
      </c>
      <c r="F351" t="n">
        <v>0</v>
      </c>
    </row>
    <row r="352">
      <c r="A352" t="inlineStr">
        <is>
          <t>G|FICO x ASSET_CLASS|contribution_rate|band|8</t>
        </is>
      </c>
    </row>
    <row r="353">
      <c r="A353" t="inlineStr">
        <is>
          <t>G|FICO x ASSET_CLASS|contribution_rate|meta</t>
        </is>
      </c>
      <c r="B353" t="inlineStr">
        <is>
          <t>pts</t>
        </is>
      </c>
      <c r="C353" t="n">
        <v>11.170403564</v>
      </c>
      <c r="D353" t="n">
        <v>10</v>
      </c>
    </row>
    <row r="354">
      <c r="A354" t="inlineStr">
        <is>
          <t>G|ORIG_BAL x CHANNEL|cols</t>
        </is>
      </c>
      <c r="B354" t="inlineStr">
        <is>
          <t>Branch</t>
        </is>
      </c>
      <c r="C354" t="inlineStr">
        <is>
          <t>Broker</t>
        </is>
      </c>
      <c r="D354" t="inlineStr">
        <is>
          <t>Online</t>
        </is>
      </c>
      <c r="E354" t="inlineStr">
        <is>
          <t>All</t>
        </is>
      </c>
    </row>
    <row r="355">
      <c r="A355" t="inlineStr">
        <is>
          <t>G|ORIG_BAL x CHANNEL|rows</t>
        </is>
      </c>
      <c r="B355" t="inlineStr">
        <is>
          <t>5,005 - 15,448</t>
        </is>
      </c>
      <c r="C355" t="inlineStr">
        <is>
          <t>15,449 - 26,323</t>
        </is>
      </c>
      <c r="D355" t="inlineStr">
        <is>
          <t>26,324 - 37,950</t>
        </is>
      </c>
      <c r="E355" t="inlineStr">
        <is>
          <t>37,951 - 49,151</t>
        </is>
      </c>
      <c r="F355" t="inlineStr">
        <is>
          <t>49,152 - 59,984</t>
        </is>
      </c>
      <c r="G355" t="inlineStr">
        <is>
          <t>(blank)</t>
        </is>
      </c>
      <c r="H355" t="inlineStr">
        <is>
          <t>All</t>
        </is>
      </c>
    </row>
    <row r="356">
      <c r="A356" t="inlineStr">
        <is>
          <t>G|ORIG_BAL x CHANNEL|names</t>
        </is>
      </c>
      <c r="B356" t="inlineStr">
        <is>
          <t>ORIG_BAL</t>
        </is>
      </c>
      <c r="C356" t="inlineStr">
        <is>
          <t>CHANNEL</t>
        </is>
      </c>
    </row>
    <row r="357">
      <c r="A357" t="inlineStr">
        <is>
          <t>G|ORIG_BAL x CHANNEL|total</t>
        </is>
      </c>
      <c r="B357" t="n">
        <v>8000</v>
      </c>
    </row>
    <row r="358">
      <c r="A358" t="inlineStr">
        <is>
          <t>G|ORIG_BAL x CHANNEL|loans|1</t>
        </is>
      </c>
      <c r="B358" t="n">
        <v>542</v>
      </c>
      <c r="C358" t="n">
        <v>514</v>
      </c>
      <c r="D358" t="n">
        <v>544</v>
      </c>
      <c r="E358" t="n">
        <v>1600</v>
      </c>
    </row>
    <row r="359">
      <c r="A359" t="inlineStr">
        <is>
          <t>G|ORIG_BAL x CHANNEL|loans|2</t>
        </is>
      </c>
      <c r="B359" t="n">
        <v>525</v>
      </c>
      <c r="C359" t="n">
        <v>537</v>
      </c>
      <c r="D359" t="n">
        <v>538</v>
      </c>
      <c r="E359" t="n">
        <v>1600</v>
      </c>
    </row>
    <row r="360">
      <c r="A360" t="inlineStr">
        <is>
          <t>G|ORIG_BAL x CHANNEL|loans|3</t>
        </is>
      </c>
      <c r="B360" t="n">
        <v>518</v>
      </c>
      <c r="C360" t="n">
        <v>553</v>
      </c>
      <c r="D360" t="n">
        <v>528</v>
      </c>
      <c r="E360" t="n">
        <v>1599</v>
      </c>
    </row>
    <row r="361">
      <c r="A361" t="inlineStr">
        <is>
          <t>G|ORIG_BAL x CHANNEL|loans|4</t>
        </is>
      </c>
      <c r="B361" t="n">
        <v>526</v>
      </c>
      <c r="C361" t="n">
        <v>531</v>
      </c>
      <c r="D361" t="n">
        <v>543</v>
      </c>
      <c r="E361" t="n">
        <v>1600</v>
      </c>
    </row>
    <row r="362">
      <c r="A362" t="inlineStr">
        <is>
          <t>G|ORIG_BAL x CHANNEL|loans|5</t>
        </is>
      </c>
      <c r="B362" t="n">
        <v>515</v>
      </c>
      <c r="C362" t="n">
        <v>520</v>
      </c>
      <c r="D362" t="n">
        <v>565</v>
      </c>
      <c r="E362" t="n">
        <v>1600</v>
      </c>
    </row>
    <row r="363">
      <c r="A363" t="inlineStr">
        <is>
          <t>G|ORIG_BAL x CHANNEL|loans|6</t>
        </is>
      </c>
      <c r="B363" t="n">
        <v>1</v>
      </c>
      <c r="E363" t="n">
        <v>1</v>
      </c>
    </row>
    <row r="364">
      <c r="A364" t="inlineStr">
        <is>
          <t>G|ORIG_BAL x CHANNEL|loans|7</t>
        </is>
      </c>
      <c r="B364" t="n">
        <v>2627</v>
      </c>
      <c r="C364" t="n">
        <v>2655</v>
      </c>
      <c r="D364" t="n">
        <v>2718</v>
      </c>
      <c r="E364" t="n">
        <v>8000</v>
      </c>
    </row>
    <row r="365">
      <c r="A365" t="inlineStr">
        <is>
          <t>G|ORIG_BAL x CHANNEL|outcome_loans|rate|1</t>
        </is>
      </c>
      <c r="B365" t="n">
        <v>0.06457564575645756</v>
      </c>
      <c r="C365" t="n">
        <v>0.08365758754863813</v>
      </c>
      <c r="D365" t="n">
        <v>0.08272058823529412</v>
      </c>
      <c r="E365" t="n">
        <v>0.076875</v>
      </c>
    </row>
    <row r="366">
      <c r="A366" t="inlineStr">
        <is>
          <t>G|ORIG_BAL x CHANNEL|outcome_loans|book|1</t>
        </is>
      </c>
      <c r="B366" t="n">
        <v>0.8344759134182618</v>
      </c>
      <c r="C366" t="n">
        <v>1.081061458483936</v>
      </c>
      <c r="D366" t="n">
        <v>1.068953126484843</v>
      </c>
      <c r="E366" t="n">
        <v>0.9934137722132471</v>
      </c>
    </row>
    <row r="367">
      <c r="A367" t="inlineStr">
        <is>
          <t>G|ORIG_BAL x CHANNEL|outcome_loans|band|1</t>
        </is>
      </c>
      <c r="B367" t="n">
        <v>0.7763753773901375</v>
      </c>
      <c r="C367" t="n">
        <v>1.135651750972762</v>
      </c>
      <c r="D367" t="n">
        <v>1.119909502262443</v>
      </c>
    </row>
    <row r="368">
      <c r="A368" t="inlineStr">
        <is>
          <t>G|ORIG_BAL x CHANNEL|outcome_loans|rate|2</t>
        </is>
      </c>
      <c r="B368" t="n">
        <v>0.07047619047619047</v>
      </c>
      <c r="C368" t="n">
        <v>0.1173184357541899</v>
      </c>
      <c r="D368" t="n">
        <v>0.09107806691449814</v>
      </c>
      <c r="E368" t="n">
        <v>0.093125</v>
      </c>
    </row>
    <row r="369">
      <c r="A369" t="inlineStr">
        <is>
          <t>G|ORIG_BAL x CHANNEL|outcome_loans|book|2</t>
        </is>
      </c>
      <c r="B369" t="n">
        <v>0.9107254404184937</v>
      </c>
      <c r="C369" t="n">
        <v>1.516042273986697</v>
      </c>
      <c r="D369" t="n">
        <v>1.176952273423377</v>
      </c>
      <c r="E369" t="n">
        <v>1.203403675282714</v>
      </c>
    </row>
    <row r="370">
      <c r="A370" t="inlineStr">
        <is>
          <t>G|ORIG_BAL x CHANNEL|outcome_loans|band|2</t>
        </is>
      </c>
      <c r="B370" t="n">
        <v>0.6764455782312925</v>
      </c>
      <c r="C370" t="n">
        <v>1.450110432636092</v>
      </c>
      <c r="D370" t="n">
        <v>0.9672490706319703</v>
      </c>
    </row>
    <row r="371">
      <c r="A371" t="inlineStr">
        <is>
          <t>G|ORIG_BAL x CHANNEL|outcome_loans|rate|3</t>
        </is>
      </c>
      <c r="B371" t="n">
        <v>0.06382978723404255</v>
      </c>
      <c r="C371" t="n">
        <v>0.07414104882459313</v>
      </c>
      <c r="D371" t="n">
        <v>0.06818181818181818</v>
      </c>
      <c r="E371" t="n">
        <v>0.06883604505632041</v>
      </c>
    </row>
    <row r="372">
      <c r="A372" t="inlineStr">
        <is>
          <t>G|ORIG_BAL x CHANNEL|outcome_loans|book|3</t>
        </is>
      </c>
      <c r="B372" t="n">
        <v>0.8248375897982332</v>
      </c>
      <c r="C372" t="n">
        <v>0.9580844096089183</v>
      </c>
      <c r="D372" t="n">
        <v>0.8810765163753854</v>
      </c>
      <c r="E372" t="n">
        <v>0.8895307340961339</v>
      </c>
    </row>
    <row r="373">
      <c r="A373" t="inlineStr">
        <is>
          <t>G|ORIG_BAL x CHANNEL|outcome_loans|band|3</t>
        </is>
      </c>
      <c r="B373" t="n">
        <v>0.8961038961038961</v>
      </c>
      <c r="C373" t="n">
        <v>1.122860811908693</v>
      </c>
      <c r="D373" t="n">
        <v>0.9858722358722358</v>
      </c>
    </row>
    <row r="374">
      <c r="A374" t="inlineStr">
        <is>
          <t>G|ORIG_BAL x CHANNEL|outcome_loans|rate|4</t>
        </is>
      </c>
      <c r="B374" t="n">
        <v>0.07984790874524715</v>
      </c>
      <c r="C374" t="n">
        <v>0.09227871939736347</v>
      </c>
      <c r="D374" t="n">
        <v>0.07918968692449356</v>
      </c>
      <c r="E374" t="n">
        <v>0.08375</v>
      </c>
    </row>
    <row r="375">
      <c r="A375" t="inlineStr">
        <is>
          <t>G|ORIG_BAL x CHANNEL|outcome_loans|book|4</t>
        </is>
      </c>
      <c r="B375" t="n">
        <v>1.03183105339779</v>
      </c>
      <c r="C375" t="n">
        <v>1.192467651792424</v>
      </c>
      <c r="D375" t="n">
        <v>1.02332521116159</v>
      </c>
      <c r="E375" t="n">
        <v>1.082255654281099</v>
      </c>
    </row>
    <row r="376">
      <c r="A376" t="inlineStr">
        <is>
          <t>G|ORIG_BAL x CHANNEL|outcome_loans|band|4</t>
        </is>
      </c>
      <c r="B376" t="n">
        <v>0.9321375433956025</v>
      </c>
      <c r="C376" t="n">
        <v>1.160540600420959</v>
      </c>
      <c r="D376" t="n">
        <v>0.9198186711998868</v>
      </c>
    </row>
    <row r="377">
      <c r="A377" t="inlineStr">
        <is>
          <t>G|ORIG_BAL x CHANNEL|outcome_loans|rate|5</t>
        </is>
      </c>
      <c r="B377" t="n">
        <v>0.04466019417475728</v>
      </c>
      <c r="C377" t="n">
        <v>0.08461538461538462</v>
      </c>
      <c r="D377" t="n">
        <v>0.06371681415929203</v>
      </c>
      <c r="E377" t="n">
        <v>0.064375</v>
      </c>
    </row>
    <row r="378">
      <c r="A378" t="inlineStr">
        <is>
          <t>G|ORIG_BAL x CHANNEL|outcome_loans|book|5</t>
        </is>
      </c>
      <c r="B378" t="n">
        <v>0.5771193751274369</v>
      </c>
      <c r="C378" t="n">
        <v>1.093438548527402</v>
      </c>
      <c r="D378" t="n">
        <v>0.8233777002587673</v>
      </c>
      <c r="E378" t="n">
        <v>0.8318830775444265</v>
      </c>
    </row>
    <row r="379">
      <c r="A379" t="inlineStr">
        <is>
          <t>G|ORIG_BAL x CHANNEL|outcome_loans|band|5</t>
        </is>
      </c>
      <c r="B379" t="n">
        <v>0.6057038834951456</v>
      </c>
      <c r="C379" t="n">
        <v>1.548891786179922</v>
      </c>
      <c r="D379" t="n">
        <v>0.9842821291771233</v>
      </c>
    </row>
    <row r="380">
      <c r="A380" t="inlineStr">
        <is>
          <t>G|ORIG_BAL x CHANNEL|outcome_loans|rate|6</t>
        </is>
      </c>
      <c r="B380" t="n">
        <v>0</v>
      </c>
      <c r="E380" t="n">
        <v>0</v>
      </c>
    </row>
    <row r="381">
      <c r="A381" t="inlineStr">
        <is>
          <t>G|ORIG_BAL x CHANNEL|outcome_loans|book|6</t>
        </is>
      </c>
    </row>
    <row r="382">
      <c r="A382" t="inlineStr">
        <is>
          <t>G|ORIG_BAL x CHANNEL|outcome_loans|band|6</t>
        </is>
      </c>
    </row>
    <row r="383">
      <c r="A383" t="inlineStr">
        <is>
          <t>G|ORIG_BAL x CHANNEL|outcome_loans|rate|7</t>
        </is>
      </c>
      <c r="B383" t="n">
        <v>0.06473724295506474</v>
      </c>
      <c r="C383" t="n">
        <v>0.0903954802259887</v>
      </c>
      <c r="D383" t="n">
        <v>0.07689477557027226</v>
      </c>
      <c r="E383" t="n">
        <v>0.07738467308413552</v>
      </c>
    </row>
    <row r="384">
      <c r="A384" t="inlineStr">
        <is>
          <t>G|ORIG_BAL x CHANNEL|outcome_loans|book|7</t>
        </is>
      </c>
      <c r="B384" t="n">
        <v>0.8365641460380659</v>
      </c>
      <c r="C384" t="n">
        <v>1.168131577266048</v>
      </c>
      <c r="D384" t="n">
        <v>0.9936693211415312</v>
      </c>
      <c r="E384" t="n">
        <v>1</v>
      </c>
    </row>
    <row r="385">
      <c r="A385" t="inlineStr">
        <is>
          <t>G|ORIG_BAL x CHANNEL|outcome_loans|band|7</t>
        </is>
      </c>
    </row>
    <row r="386">
      <c r="A386" t="inlineStr">
        <is>
          <t>G|ORIG_BAL x CHANNEL|outcome_loans|meta</t>
        </is>
      </c>
      <c r="B386" t="inlineStr">
        <is>
          <t>x</t>
        </is>
      </c>
      <c r="C386" t="n">
        <v>1.548891786179922</v>
      </c>
      <c r="D386" t="n">
        <v>10</v>
      </c>
    </row>
    <row r="387">
      <c r="A387" t="inlineStr">
        <is>
          <t>G|ORIG_BAL x CHANNEL|outcome_booked|rate|1</t>
        </is>
      </c>
      <c r="B387" t="n">
        <v>0.06711890823290693</v>
      </c>
      <c r="C387" t="n">
        <v>0.08032199699577761</v>
      </c>
      <c r="D387" t="n">
        <v>0.07944556391978397</v>
      </c>
      <c r="E387" t="n">
        <v>0.07557453391360711</v>
      </c>
    </row>
    <row r="388">
      <c r="A388" t="inlineStr">
        <is>
          <t>G|ORIG_BAL x CHANNEL|outcome_booked|book|1</t>
        </is>
      </c>
      <c r="B388" t="n">
        <v>0.8969654294185242</v>
      </c>
      <c r="C388" t="n">
        <v>1.073409213944104</v>
      </c>
      <c r="D388" t="n">
        <v>1.061696714574518</v>
      </c>
      <c r="E388" t="n">
        <v>1.009964942065142</v>
      </c>
    </row>
    <row r="389">
      <c r="A389" t="inlineStr">
        <is>
          <t>G|ORIG_BAL x CHANNEL|outcome_booked|band|1</t>
        </is>
      </c>
      <c r="B389" t="n">
        <v>0.8403190984673156</v>
      </c>
      <c r="C389" t="n">
        <v>1.095721126639401</v>
      </c>
      <c r="D389" t="n">
        <v>1.079652489325491</v>
      </c>
    </row>
    <row r="390">
      <c r="A390" t="inlineStr">
        <is>
          <t>G|ORIG_BAL x CHANNEL|outcome_booked|rate|2</t>
        </is>
      </c>
      <c r="B390" t="n">
        <v>0.0689620818748256</v>
      </c>
      <c r="C390" t="n">
        <v>0.1166491386620997</v>
      </c>
      <c r="D390" t="n">
        <v>0.09519623101575854</v>
      </c>
      <c r="E390" t="n">
        <v>0.09377887022910673</v>
      </c>
    </row>
    <row r="391">
      <c r="A391" t="inlineStr">
        <is>
          <t>G|ORIG_BAL x CHANNEL|outcome_booked|book|2</t>
        </is>
      </c>
      <c r="B391" t="n">
        <v>0.9215972817645062</v>
      </c>
      <c r="C391" t="n">
        <v>1.558878824254374</v>
      </c>
      <c r="D391" t="n">
        <v>1.27218589336665</v>
      </c>
      <c r="E391" t="n">
        <v>1.253244530044282</v>
      </c>
    </row>
    <row r="392">
      <c r="A392" t="inlineStr">
        <is>
          <t>G|ORIG_BAL x CHANNEL|outcome_booked|band|2</t>
        </is>
      </c>
      <c r="B392" t="n">
        <v>0.650797960861509</v>
      </c>
      <c r="C392" t="n">
        <v>1.419585157819046</v>
      </c>
      <c r="D392" t="n">
        <v>1.022866651792092</v>
      </c>
    </row>
    <row r="393">
      <c r="A393" t="inlineStr">
        <is>
          <t>G|ORIG_BAL x CHANNEL|outcome_booked|rate|3</t>
        </is>
      </c>
      <c r="B393" t="n">
        <v>0.06239969619746574</v>
      </c>
      <c r="C393" t="n">
        <v>0.07396369442121604</v>
      </c>
      <c r="D393" t="n">
        <v>0.06784813887066096</v>
      </c>
      <c r="E393" t="n">
        <v>0.06822026696935879</v>
      </c>
    </row>
    <row r="394">
      <c r="A394" t="inlineStr">
        <is>
          <t>G|ORIG_BAL x CHANNEL|outcome_booked|book|3</t>
        </is>
      </c>
      <c r="B394" t="n">
        <v>0.8338986996201505</v>
      </c>
      <c r="C394" t="n">
        <v>0.9884379629312875</v>
      </c>
      <c r="D394" t="n">
        <v>0.9067107409761621</v>
      </c>
      <c r="E394" t="n">
        <v>0.9116837962393517</v>
      </c>
    </row>
    <row r="395">
      <c r="A395" t="inlineStr">
        <is>
          <t>G|ORIG_BAL x CHANNEL|outcome_booked|band|3</t>
        </is>
      </c>
      <c r="B395" t="n">
        <v>0.8789872479826164</v>
      </c>
      <c r="C395" t="n">
        <v>1.135231912861252</v>
      </c>
      <c r="D395" t="n">
        <v>0.9918874669102062</v>
      </c>
    </row>
    <row r="396">
      <c r="A396" t="inlineStr">
        <is>
          <t>G|ORIG_BAL x CHANNEL|outcome_booked|rate|4</t>
        </is>
      </c>
      <c r="B396" t="n">
        <v>0.07817734344322087</v>
      </c>
      <c r="C396" t="n">
        <v>0.0911667546552818</v>
      </c>
      <c r="D396" t="n">
        <v>0.07997680019508326</v>
      </c>
      <c r="E396" t="n">
        <v>0.08308928618120667</v>
      </c>
    </row>
    <row r="397">
      <c r="A397" t="inlineStr">
        <is>
          <t>G|ORIG_BAL x CHANNEL|outcome_booked|book|4</t>
        </is>
      </c>
      <c r="B397" t="n">
        <v>1.044748436446834</v>
      </c>
      <c r="C397" t="n">
        <v>1.218336671304441</v>
      </c>
      <c r="D397" t="n">
        <v>1.068796063868803</v>
      </c>
      <c r="E397" t="n">
        <v>1.110390785871948</v>
      </c>
    </row>
    <row r="398">
      <c r="A398" t="inlineStr">
        <is>
          <t>G|ORIG_BAL x CHANNEL|outcome_booked|band|4</t>
        </is>
      </c>
      <c r="B398" t="n">
        <v>0.9143371209400876</v>
      </c>
      <c r="C398" t="n">
        <v>1.152685706683168</v>
      </c>
      <c r="D398" t="n">
        <v>0.9443559022431686</v>
      </c>
    </row>
    <row r="399">
      <c r="A399" t="inlineStr">
        <is>
          <t>G|ORIG_BAL x CHANNEL|outcome_booked|rate|5</t>
        </is>
      </c>
      <c r="B399" t="n">
        <v>0.04509050367088964</v>
      </c>
      <c r="C399" t="n">
        <v>0.08539735471840343</v>
      </c>
      <c r="D399" t="n">
        <v>0.06352451543082047</v>
      </c>
      <c r="E399" t="n">
        <v>0.06473600628619963</v>
      </c>
    </row>
    <row r="400">
      <c r="A400" t="inlineStr">
        <is>
          <t>G|ORIG_BAL x CHANNEL|outcome_booked|book|5</t>
        </is>
      </c>
      <c r="B400" t="n">
        <v>0.6025816577276797</v>
      </c>
      <c r="C400" t="n">
        <v>1.141235412834743</v>
      </c>
      <c r="D400" t="n">
        <v>0.8489305884459224</v>
      </c>
      <c r="E400" t="n">
        <v>0.8651207417714352</v>
      </c>
    </row>
    <row r="401">
      <c r="A401" t="inlineStr">
        <is>
          <t>G|ORIG_BAL x CHANNEL|outcome_booked|band|5</t>
        </is>
      </c>
      <c r="B401" t="n">
        <v>0.6090248351916299</v>
      </c>
      <c r="C401" t="n">
        <v>1.560230441510857</v>
      </c>
      <c r="D401" t="n">
        <v>0.9713896390792535</v>
      </c>
    </row>
    <row r="402">
      <c r="A402" t="inlineStr">
        <is>
          <t>G|ORIG_BAL x CHANNEL|outcome_booked|rate|6</t>
        </is>
      </c>
    </row>
    <row r="403">
      <c r="A403" t="inlineStr">
        <is>
          <t>G|ORIG_BAL x CHANNEL|outcome_booked|book|6</t>
        </is>
      </c>
    </row>
    <row r="404">
      <c r="A404" t="inlineStr">
        <is>
          <t>G|ORIG_BAL x CHANNEL|outcome_booked|band|6</t>
        </is>
      </c>
    </row>
    <row r="405">
      <c r="A405" t="inlineStr">
        <is>
          <t>G|ORIG_BAL x CHANNEL|outcome_booked|rate|7</t>
        </is>
      </c>
      <c r="B405" t="n">
        <v>0.06209402737287426</v>
      </c>
      <c r="C405" t="n">
        <v>0.08834961310910705</v>
      </c>
      <c r="D405" t="n">
        <v>0.07378839081032539</v>
      </c>
      <c r="E405" t="n">
        <v>0.07482886857347223</v>
      </c>
    </row>
    <row r="406">
      <c r="A406" t="inlineStr">
        <is>
          <t>G|ORIG_BAL x CHANNEL|outcome_booked|book|7</t>
        </is>
      </c>
      <c r="B406" t="n">
        <v>0.8298137945505067</v>
      </c>
      <c r="C406" t="n">
        <v>1.180688881088173</v>
      </c>
      <c r="D406" t="n">
        <v>0.9860952359298959</v>
      </c>
      <c r="E406" t="n">
        <v>0.9999999999999986</v>
      </c>
    </row>
    <row r="407">
      <c r="A407" t="inlineStr">
        <is>
          <t>G|ORIG_BAL x CHANNEL|outcome_booked|band|7</t>
        </is>
      </c>
    </row>
    <row r="408">
      <c r="A408" t="inlineStr">
        <is>
          <t>G|ORIG_BAL x CHANNEL|outcome_booked|meta</t>
        </is>
      </c>
      <c r="B408" t="inlineStr">
        <is>
          <t>x</t>
        </is>
      </c>
      <c r="C408" t="n">
        <v>1.560230441510857</v>
      </c>
      <c r="D408" t="n">
        <v>10</v>
      </c>
    </row>
    <row r="409">
      <c r="A409" t="inlineStr">
        <is>
          <t>G|ORIG_BAL x CHANNEL|gco_rate|rate|1</t>
        </is>
      </c>
      <c r="B409" t="n">
        <v>0.03544280615493821</v>
      </c>
      <c r="C409" t="n">
        <v>0.04581691734433199</v>
      </c>
      <c r="D409" t="n">
        <v>0.04309844401147397</v>
      </c>
      <c r="E409" t="n">
        <v>0.04139745179629655</v>
      </c>
    </row>
    <row r="410">
      <c r="A410" t="inlineStr">
        <is>
          <t>G|ORIG_BAL x CHANNEL|gco_rate|book|1</t>
        </is>
      </c>
      <c r="B410" t="n">
        <v>0.8518827093391986</v>
      </c>
      <c r="C410" t="n">
        <v>1.101228822295764</v>
      </c>
      <c r="D410" t="n">
        <v>1.035889175713102</v>
      </c>
      <c r="E410" t="n">
        <v>0.995005114487935</v>
      </c>
    </row>
    <row r="411">
      <c r="A411" t="inlineStr">
        <is>
          <t>G|ORIG_BAL x CHANNEL|gco_rate|band|1</t>
        </is>
      </c>
      <c r="B411" t="n">
        <v>0.7978190990987081</v>
      </c>
      <c r="C411" t="n">
        <v>1.166274358991177</v>
      </c>
      <c r="D411" t="n">
        <v>1.063556469663649</v>
      </c>
    </row>
    <row r="412">
      <c r="A412" t="inlineStr">
        <is>
          <t>G|ORIG_BAL x CHANNEL|gco_rate|rate|2</t>
        </is>
      </c>
      <c r="B412" t="n">
        <v>0.04048703755894253</v>
      </c>
      <c r="C412" t="n">
        <v>0.06798370490301706</v>
      </c>
      <c r="D412" t="n">
        <v>0.05071441265118935</v>
      </c>
      <c r="E412" t="n">
        <v>0.05316017920478749</v>
      </c>
    </row>
    <row r="413">
      <c r="A413" t="inlineStr">
        <is>
          <t>G|ORIG_BAL x CHANNEL|gco_rate|book|2</t>
        </is>
      </c>
      <c r="B413" t="n">
        <v>0.9731229264989893</v>
      </c>
      <c r="C413" t="n">
        <v>1.63401685720163</v>
      </c>
      <c r="D413" t="n">
        <v>1.218942175824922</v>
      </c>
      <c r="E413" t="n">
        <v>1.277727200604911</v>
      </c>
    </row>
    <row r="414">
      <c r="A414" t="inlineStr">
        <is>
          <t>G|ORIG_BAL x CHANNEL|gco_rate|band|2</t>
        </is>
      </c>
      <c r="B414" t="n">
        <v>0.6817897670599881</v>
      </c>
      <c r="C414" t="n">
        <v>1.489673691497575</v>
      </c>
      <c r="D414" t="n">
        <v>0.9324780292725052</v>
      </c>
    </row>
    <row r="415">
      <c r="A415" t="inlineStr">
        <is>
          <t>G|ORIG_BAL x CHANNEL|gco_rate|rate|3</t>
        </is>
      </c>
      <c r="B415" t="n">
        <v>0.03518654246842046</v>
      </c>
      <c r="C415" t="n">
        <v>0.04058912713037382</v>
      </c>
      <c r="D415" t="n">
        <v>0.03635529456334192</v>
      </c>
      <c r="E415" t="n">
        <v>0.03745072983796681</v>
      </c>
    </row>
    <row r="416">
      <c r="A416" t="inlineStr">
        <is>
          <t>G|ORIG_BAL x CHANNEL|gco_rate|book|3</t>
        </is>
      </c>
      <c r="B416" t="n">
        <v>0.8457233041662092</v>
      </c>
      <c r="C416" t="n">
        <v>0.97557669216094</v>
      </c>
      <c r="D416" t="n">
        <v>0.8738147508991547</v>
      </c>
      <c r="E416" t="n">
        <v>0.9001439971099026</v>
      </c>
    </row>
    <row r="417">
      <c r="A417" t="inlineStr">
        <is>
          <t>G|ORIG_BAL x CHANNEL|gco_rate|band|3</t>
        </is>
      </c>
      <c r="B417" t="n">
        <v>0.9132072498730854</v>
      </c>
      <c r="C417" t="n">
        <v>1.134519496040276</v>
      </c>
      <c r="D417" t="n">
        <v>0.9570143539520817</v>
      </c>
    </row>
    <row r="418">
      <c r="A418" t="inlineStr">
        <is>
          <t>G|ORIG_BAL x CHANNEL|gco_rate|rate|4</t>
        </is>
      </c>
      <c r="B418" t="n">
        <v>0.04348156147247659</v>
      </c>
      <c r="C418" t="n">
        <v>0.05131566132374259</v>
      </c>
      <c r="D418" t="n">
        <v>0.04550931566329014</v>
      </c>
      <c r="E418" t="n">
        <v>0.04676588351390012</v>
      </c>
    </row>
    <row r="419">
      <c r="A419" t="inlineStr">
        <is>
          <t>G|ORIG_BAL x CHANNEL|gco_rate|book|4</t>
        </is>
      </c>
      <c r="B419" t="n">
        <v>1.045097564553628</v>
      </c>
      <c r="C419" t="n">
        <v>1.23339343981125</v>
      </c>
      <c r="D419" t="n">
        <v>1.093835486895127</v>
      </c>
      <c r="E419" t="n">
        <v>1.124037622142734</v>
      </c>
    </row>
    <row r="420">
      <c r="A420" t="inlineStr">
        <is>
          <t>G|ORIG_BAL x CHANNEL|gco_rate|band|4</t>
        </is>
      </c>
      <c r="B420" t="n">
        <v>0.8988230917155171</v>
      </c>
      <c r="C420" t="n">
        <v>1.152857633819869</v>
      </c>
      <c r="D420" t="n">
        <v>0.959861473156629</v>
      </c>
    </row>
    <row r="421">
      <c r="A421" t="inlineStr">
        <is>
          <t>G|ORIG_BAL x CHANNEL|gco_rate|rate|5</t>
        </is>
      </c>
      <c r="B421" t="n">
        <v>0.02283222249562007</v>
      </c>
      <c r="C421" t="n">
        <v>0.04914748203538337</v>
      </c>
      <c r="D421" t="n">
        <v>0.03456842093079401</v>
      </c>
      <c r="E421" t="n">
        <v>0.03555289463498783</v>
      </c>
    </row>
    <row r="422">
      <c r="A422" t="inlineStr">
        <is>
          <t>G|ORIG_BAL x CHANNEL|gco_rate|book|5</t>
        </is>
      </c>
      <c r="B422" t="n">
        <v>0.5487820426739609</v>
      </c>
      <c r="C422" t="n">
        <v>1.181280341361136</v>
      </c>
      <c r="D422" t="n">
        <v>0.8308664937919898</v>
      </c>
      <c r="E422" t="n">
        <v>0.8545287321242382</v>
      </c>
    </row>
    <row r="423">
      <c r="A423" t="inlineStr">
        <is>
          <t>G|ORIG_BAL x CHANNEL|gco_rate|band|5</t>
        </is>
      </c>
      <c r="B423" t="n">
        <v>0.5491745728203553</v>
      </c>
      <c r="C423" t="n">
        <v>1.696394485627583</v>
      </c>
      <c r="D423" t="n">
        <v>0.9578708565973761</v>
      </c>
    </row>
    <row r="424">
      <c r="A424" t="inlineStr">
        <is>
          <t>G|ORIG_BAL x CHANNEL|gco_rate|rate|6</t>
        </is>
      </c>
    </row>
    <row r="425">
      <c r="A425" t="inlineStr">
        <is>
          <t>G|ORIG_BAL x CHANNEL|gco_rate|book|6</t>
        </is>
      </c>
    </row>
    <row r="426">
      <c r="A426" t="inlineStr">
        <is>
          <t>G|ORIG_BAL x CHANNEL|gco_rate|band|6</t>
        </is>
      </c>
    </row>
    <row r="427">
      <c r="A427" t="inlineStr">
        <is>
          <t>G|ORIG_BAL x CHANNEL|gco_rate|rate|7</t>
        </is>
      </c>
      <c r="B427" t="n">
        <v>0.03403247368482894</v>
      </c>
      <c r="C427" t="n">
        <v>0.0502121555295119</v>
      </c>
      <c r="D427" t="n">
        <v>0.04043303389582081</v>
      </c>
      <c r="E427" t="n">
        <v>0.04160526533333562</v>
      </c>
    </row>
    <row r="428">
      <c r="A428" t="inlineStr">
        <is>
          <t>G|ORIG_BAL x CHANNEL|gco_rate|book|7</t>
        </is>
      </c>
      <c r="B428" t="n">
        <v>0.817984776978718</v>
      </c>
      <c r="C428" t="n">
        <v>1.206870215277298</v>
      </c>
      <c r="D428" t="n">
        <v>0.9718249258087149</v>
      </c>
      <c r="E428" t="n">
        <v>0.9999999999999993</v>
      </c>
    </row>
    <row r="429">
      <c r="A429" t="inlineStr">
        <is>
          <t>G|ORIG_BAL x CHANNEL|gco_rate|band|7</t>
        </is>
      </c>
    </row>
    <row r="430">
      <c r="A430" t="inlineStr">
        <is>
          <t>G|ORIG_BAL x CHANNEL|gco_rate|meta</t>
        </is>
      </c>
      <c r="B430" t="inlineStr">
        <is>
          <t>x</t>
        </is>
      </c>
      <c r="C430" t="n">
        <v>1.696394485627583</v>
      </c>
      <c r="D430" t="n">
        <v>10</v>
      </c>
    </row>
    <row r="431">
      <c r="A431" t="inlineStr">
        <is>
          <t>G|ORIG_BAL x CHANNEL|ranr_rate|rate|1</t>
        </is>
      </c>
      <c r="B431" t="n">
        <v>0.1418756775356384</v>
      </c>
      <c r="C431" t="n">
        <v>0.1425491297977683</v>
      </c>
      <c r="D431" t="n">
        <v>0.1553830958841331</v>
      </c>
      <c r="E431" t="n">
        <v>0.1466798967561383</v>
      </c>
    </row>
    <row r="432">
      <c r="A432" t="inlineStr">
        <is>
          <t>G|ORIG_BAL x CHANNEL|ranr_rate|book|1</t>
        </is>
      </c>
      <c r="B432" t="n">
        <v>1.388562789</v>
      </c>
      <c r="C432" t="n">
        <v>1.455908015</v>
      </c>
      <c r="D432" t="n">
        <v>2.739304624</v>
      </c>
      <c r="E432" t="n">
        <v>1.868984711</v>
      </c>
    </row>
    <row r="433">
      <c r="A433" t="inlineStr">
        <is>
          <t>G|ORIG_BAL x CHANNEL|ranr_rate|band|1</t>
        </is>
      </c>
      <c r="B433" t="n">
        <v>-0.724653998</v>
      </c>
      <c r="C433" t="n">
        <v>-0.61053612</v>
      </c>
      <c r="D433" t="n">
        <v>1.317763267</v>
      </c>
    </row>
    <row r="434">
      <c r="A434" t="inlineStr">
        <is>
          <t>G|ORIG_BAL x CHANNEL|ranr_rate|rate|2</t>
        </is>
      </c>
      <c r="B434" t="n">
        <v>0.1245390156125631</v>
      </c>
      <c r="C434" t="n">
        <v>0.09448227328017</v>
      </c>
      <c r="D434" t="n">
        <v>0.1384309643305416</v>
      </c>
      <c r="E434" t="n">
        <v>0.1190597270318928</v>
      </c>
    </row>
    <row r="435">
      <c r="A435" t="inlineStr">
        <is>
          <t>G|ORIG_BAL x CHANNEL|ranr_rate|book|2</t>
        </is>
      </c>
      <c r="B435" t="n">
        <v>-0.345103404</v>
      </c>
      <c r="C435" t="n">
        <v>-3.350777637</v>
      </c>
      <c r="D435" t="n">
        <v>1.044091468</v>
      </c>
      <c r="E435" t="n">
        <v>-0.893032262</v>
      </c>
    </row>
    <row r="436">
      <c r="A436" t="inlineStr">
        <is>
          <t>G|ORIG_BAL x CHANNEL|ranr_rate|band|2</t>
        </is>
      </c>
      <c r="B436" t="n">
        <v>0.816995282</v>
      </c>
      <c r="C436" t="n">
        <v>-3.705150293</v>
      </c>
      <c r="D436" t="n">
        <v>2.908574961</v>
      </c>
    </row>
    <row r="437">
      <c r="A437" t="inlineStr">
        <is>
          <t>G|ORIG_BAL x CHANNEL|ranr_rate|rate|3</t>
        </is>
      </c>
      <c r="B437" t="n">
        <v>0.1250621784073144</v>
      </c>
      <c r="C437" t="n">
        <v>0.1187512108936822</v>
      </c>
      <c r="D437" t="n">
        <v>0.1506805872937105</v>
      </c>
      <c r="E437" t="n">
        <v>0.1312994440713133</v>
      </c>
    </row>
    <row r="438">
      <c r="A438" t="inlineStr">
        <is>
          <t>G|ORIG_BAL x CHANNEL|ranr_rate|book|3</t>
        </is>
      </c>
      <c r="B438" t="n">
        <v>-0.292787124</v>
      </c>
      <c r="C438" t="n">
        <v>-0.923883875</v>
      </c>
      <c r="D438" t="n">
        <v>2.269053765</v>
      </c>
      <c r="E438" t="n">
        <v>0.330939442</v>
      </c>
    </row>
    <row r="439">
      <c r="A439" t="inlineStr">
        <is>
          <t>G|ORIG_BAL x CHANNEL|ranr_rate|band|3</t>
        </is>
      </c>
      <c r="B439" t="n">
        <v>-0.921239544</v>
      </c>
      <c r="C439" t="n">
        <v>-1.924232919</v>
      </c>
      <c r="D439" t="n">
        <v>2.889118423</v>
      </c>
    </row>
    <row r="440">
      <c r="A440" t="inlineStr">
        <is>
          <t>G|ORIG_BAL x CHANNEL|ranr_rate|rate|4</t>
        </is>
      </c>
      <c r="B440" t="n">
        <v>0.109981552332292</v>
      </c>
      <c r="C440" t="n">
        <v>0.1153273587483306</v>
      </c>
      <c r="D440" t="n">
        <v>0.1414284715284809</v>
      </c>
      <c r="E440" t="n">
        <v>0.1224284738147316</v>
      </c>
    </row>
    <row r="441">
      <c r="A441" t="inlineStr">
        <is>
          <t>G|ORIG_BAL x CHANNEL|ranr_rate|book|4</t>
        </is>
      </c>
      <c r="B441" t="n">
        <v>-1.800849732</v>
      </c>
      <c r="C441" t="n">
        <v>-1.26626909</v>
      </c>
      <c r="D441" t="n">
        <v>1.343842188</v>
      </c>
      <c r="E441" t="n">
        <v>-0.556157583</v>
      </c>
    </row>
    <row r="442">
      <c r="A442" t="inlineStr">
        <is>
          <t>G|ORIG_BAL x CHANNEL|ranr_rate|band|4</t>
        </is>
      </c>
      <c r="B442" t="n">
        <v>-1.855991051</v>
      </c>
      <c r="C442" t="n">
        <v>-1.061635052</v>
      </c>
      <c r="D442" t="n">
        <v>2.876693382</v>
      </c>
    </row>
    <row r="443">
      <c r="A443" t="inlineStr">
        <is>
          <t>G|ORIG_BAL x CHANNEL|ranr_rate|rate|5</t>
        </is>
      </c>
      <c r="B443" t="n">
        <v>0.1363602968168651</v>
      </c>
      <c r="C443" t="n">
        <v>0.1094749751155859</v>
      </c>
      <c r="D443" t="n">
        <v>0.1443980594250918</v>
      </c>
      <c r="E443" t="n">
        <v>0.1304237269597044</v>
      </c>
    </row>
    <row r="444">
      <c r="A444" t="inlineStr">
        <is>
          <t>G|ORIG_BAL x CHANNEL|ranr_rate|book|5</t>
        </is>
      </c>
      <c r="B444" t="n">
        <v>0.837024717</v>
      </c>
      <c r="C444" t="n">
        <v>-1.851507453</v>
      </c>
      <c r="D444" t="n">
        <v>1.640800978</v>
      </c>
      <c r="E444" t="n">
        <v>0.243367731</v>
      </c>
    </row>
    <row r="445">
      <c r="A445" t="inlineStr">
        <is>
          <t>G|ORIG_BAL x CHANNEL|ranr_rate|band|5</t>
        </is>
      </c>
      <c r="B445" t="n">
        <v>0.8747253109999999</v>
      </c>
      <c r="C445" t="n">
        <v>-3.109008183</v>
      </c>
      <c r="D445" t="n">
        <v>2.158152658</v>
      </c>
    </row>
    <row r="446">
      <c r="A446" t="inlineStr">
        <is>
          <t>G|ORIG_BAL x CHANNEL|ranr_rate|rate|6</t>
        </is>
      </c>
    </row>
    <row r="447">
      <c r="A447" t="inlineStr">
        <is>
          <t>G|ORIG_BAL x CHANNEL|ranr_rate|book|6</t>
        </is>
      </c>
    </row>
    <row r="448">
      <c r="A448" t="inlineStr">
        <is>
          <t>G|ORIG_BAL x CHANNEL|ranr_rate|band|6</t>
        </is>
      </c>
    </row>
    <row r="449">
      <c r="A449" t="inlineStr">
        <is>
          <t>G|ORIG_BAL x CHANNEL|ranr_rate|rate|7</t>
        </is>
      </c>
      <c r="B449" t="n">
        <v>0.1257424641427197</v>
      </c>
      <c r="C449" t="n">
        <v>0.1130333511764385</v>
      </c>
      <c r="D449" t="n">
        <v>0.1447377923020618</v>
      </c>
      <c r="E449" t="n">
        <v>0.1279900496481476</v>
      </c>
    </row>
    <row r="450">
      <c r="A450" t="inlineStr">
        <is>
          <t>G|ORIG_BAL x CHANNEL|ranr_rate|book|7</t>
        </is>
      </c>
      <c r="B450" t="n">
        <v>-0.224758551</v>
      </c>
      <c r="C450" t="n">
        <v>-1.495669847</v>
      </c>
      <c r="D450" t="n">
        <v>1.674774265</v>
      </c>
      <c r="E450" t="n">
        <v>0</v>
      </c>
    </row>
    <row r="451">
      <c r="A451" t="inlineStr">
        <is>
          <t>G|ORIG_BAL x CHANNEL|ranr_rate|band|7</t>
        </is>
      </c>
    </row>
    <row r="452">
      <c r="A452" t="inlineStr">
        <is>
          <t>G|ORIG_BAL x CHANNEL|ranr_rate|meta</t>
        </is>
      </c>
      <c r="B452" t="inlineStr">
        <is>
          <t>pts</t>
        </is>
      </c>
      <c r="C452" t="n">
        <v>3.705150293</v>
      </c>
      <c r="D452" t="n">
        <v>10</v>
      </c>
    </row>
    <row r="453">
      <c r="A453" t="inlineStr">
        <is>
          <t>G|ORIG_BAL x CHANNEL|contribution_rate|rate|1</t>
        </is>
      </c>
      <c r="B453" t="n">
        <v>0.1773184836905765</v>
      </c>
      <c r="C453" t="n">
        <v>0.1883660471421006</v>
      </c>
      <c r="D453" t="n">
        <v>0.1984815398956072</v>
      </c>
      <c r="E453" t="n">
        <v>0.1880773485524349</v>
      </c>
    </row>
    <row r="454">
      <c r="A454" t="inlineStr">
        <is>
          <t>G|ORIG_BAL x CHANNEL|contribution_rate|book|1</t>
        </is>
      </c>
      <c r="B454" t="n">
        <v>0.772602796</v>
      </c>
      <c r="C454" t="n">
        <v>1.877359141</v>
      </c>
      <c r="D454" t="n">
        <v>2.888908416</v>
      </c>
      <c r="E454" t="n">
        <v>1.848489282</v>
      </c>
    </row>
    <row r="455">
      <c r="A455" t="inlineStr">
        <is>
          <t>G|ORIG_BAL x CHANNEL|contribution_rate|band|1</t>
        </is>
      </c>
      <c r="B455" t="n">
        <v>-1.622834862</v>
      </c>
      <c r="C455" t="n">
        <v>0.042670264</v>
      </c>
      <c r="D455" t="n">
        <v>1.575312821</v>
      </c>
    </row>
    <row r="456">
      <c r="A456" t="inlineStr">
        <is>
          <t>G|ORIG_BAL x CHANNEL|contribution_rate|rate|2</t>
        </is>
      </c>
      <c r="B456" t="n">
        <v>0.1650260531715056</v>
      </c>
      <c r="C456" t="n">
        <v>0.1624659781831869</v>
      </c>
      <c r="D456" t="n">
        <v>0.189145376981731</v>
      </c>
      <c r="E456" t="n">
        <v>0.1722199062366803</v>
      </c>
    </row>
    <row r="457">
      <c r="A457" t="inlineStr">
        <is>
          <t>G|ORIG_BAL x CHANNEL|contribution_rate|book|2</t>
        </is>
      </c>
      <c r="B457" t="n">
        <v>-0.456640256</v>
      </c>
      <c r="C457" t="n">
        <v>-0.712647755</v>
      </c>
      <c r="D457" t="n">
        <v>1.955292125</v>
      </c>
      <c r="E457" t="n">
        <v>0.26274505</v>
      </c>
    </row>
    <row r="458">
      <c r="A458" t="inlineStr">
        <is>
          <t>G|ORIG_BAL x CHANNEL|contribution_rate|band|2</t>
        </is>
      </c>
      <c r="B458" t="n">
        <v>-1.072647284</v>
      </c>
      <c r="C458" t="n">
        <v>-1.470443999</v>
      </c>
      <c r="D458" t="n">
        <v>2.541345174</v>
      </c>
    </row>
    <row r="459">
      <c r="A459" t="inlineStr">
        <is>
          <t>G|ORIG_BAL x CHANNEL|contribution_rate|rate|3</t>
        </is>
      </c>
      <c r="B459" t="n">
        <v>0.1602487208757348</v>
      </c>
      <c r="C459" t="n">
        <v>0.159340338024056</v>
      </c>
      <c r="D459" t="n">
        <v>0.1870358818570524</v>
      </c>
      <c r="E459" t="n">
        <v>0.1687501739092802</v>
      </c>
    </row>
    <row r="460">
      <c r="A460" t="inlineStr">
        <is>
          <t>G|ORIG_BAL x CHANNEL|contribution_rate|book|3</t>
        </is>
      </c>
      <c r="B460" t="n">
        <v>-0.934373486</v>
      </c>
      <c r="C460" t="n">
        <v>-1.025211771</v>
      </c>
      <c r="D460" t="n">
        <v>1.744342612</v>
      </c>
      <c r="E460" t="n">
        <v>-0.084228183</v>
      </c>
    </row>
    <row r="461">
      <c r="A461" t="inlineStr">
        <is>
          <t>G|ORIG_BAL x CHANNEL|contribution_rate|band|3</t>
        </is>
      </c>
      <c r="B461" t="n">
        <v>-1.255658351</v>
      </c>
      <c r="C461" t="n">
        <v>-1.442969358</v>
      </c>
      <c r="D461" t="n">
        <v>2.725823503</v>
      </c>
    </row>
    <row r="462">
      <c r="A462" t="inlineStr">
        <is>
          <t>G|ORIG_BAL x CHANNEL|contribution_rate|rate|4</t>
        </is>
      </c>
      <c r="B462" t="n">
        <v>0.1533997344386167</v>
      </c>
      <c r="C462" t="n">
        <v>0.1666430200720732</v>
      </c>
      <c r="D462" t="n">
        <v>0.1869377871917709</v>
      </c>
      <c r="E462" t="n">
        <v>0.1691805976256634</v>
      </c>
    </row>
    <row r="463">
      <c r="A463" t="inlineStr">
        <is>
          <t>G|ORIG_BAL x CHANNEL|contribution_rate|book|4</t>
        </is>
      </c>
      <c r="B463" t="n">
        <v>-1.61927213</v>
      </c>
      <c r="C463" t="n">
        <v>-0.294943566</v>
      </c>
      <c r="D463" t="n">
        <v>1.734533146</v>
      </c>
      <c r="E463" t="n">
        <v>-0.041185811</v>
      </c>
    </row>
    <row r="464">
      <c r="A464" t="inlineStr">
        <is>
          <t>G|ORIG_BAL x CHANNEL|contribution_rate|band|4</t>
        </is>
      </c>
      <c r="B464" t="n">
        <v>-2.351783475</v>
      </c>
      <c r="C464" t="n">
        <v>-0.379481422</v>
      </c>
      <c r="D464" t="n">
        <v>2.689313677</v>
      </c>
    </row>
    <row r="465">
      <c r="A465" t="inlineStr">
        <is>
          <t>G|ORIG_BAL x CHANNEL|contribution_rate|rate|5</t>
        </is>
      </c>
      <c r="B465" t="n">
        <v>0.1591925193124852</v>
      </c>
      <c r="C465" t="n">
        <v>0.1586224571509692</v>
      </c>
      <c r="D465" t="n">
        <v>0.1789664803558857</v>
      </c>
      <c r="E465" t="n">
        <v>0.1659766215946923</v>
      </c>
    </row>
    <row r="466">
      <c r="A466" t="inlineStr">
        <is>
          <t>G|ORIG_BAL x CHANNEL|contribution_rate|book|5</t>
        </is>
      </c>
      <c r="B466" t="n">
        <v>-1.039993642</v>
      </c>
      <c r="C466" t="n">
        <v>-1.096999858</v>
      </c>
      <c r="D466" t="n">
        <v>0.937402462</v>
      </c>
      <c r="E466" t="n">
        <v>-0.361583414</v>
      </c>
    </row>
    <row r="467">
      <c r="A467" t="inlineStr">
        <is>
          <t>G|ORIG_BAL x CHANNEL|contribution_rate|band|5</t>
        </is>
      </c>
      <c r="B467" t="n">
        <v>-0.999605179</v>
      </c>
      <c r="C467" t="n">
        <v>-1.091432922</v>
      </c>
      <c r="D467" t="n">
        <v>2.006113586</v>
      </c>
    </row>
    <row r="468">
      <c r="A468" t="inlineStr">
        <is>
          <t>G|ORIG_BAL x CHANNEL|contribution_rate|rate|6</t>
        </is>
      </c>
    </row>
    <row r="469">
      <c r="A469" t="inlineStr">
        <is>
          <t>G|ORIG_BAL x CHANNEL|contribution_rate|book|6</t>
        </is>
      </c>
    </row>
    <row r="470">
      <c r="A470" t="inlineStr">
        <is>
          <t>G|ORIG_BAL x CHANNEL|contribution_rate|band|6</t>
        </is>
      </c>
    </row>
    <row r="471">
      <c r="A471" t="inlineStr">
        <is>
          <t>G|ORIG_BAL x CHANNEL|contribution_rate|rate|7</t>
        </is>
      </c>
      <c r="B471" t="n">
        <v>0.1597650989343296</v>
      </c>
      <c r="C471" t="n">
        <v>0.1632455067059504</v>
      </c>
      <c r="D471" t="n">
        <v>0.1851708261978826</v>
      </c>
      <c r="E471" t="n">
        <v>0.1695924557349811</v>
      </c>
    </row>
    <row r="472">
      <c r="A472" t="inlineStr">
        <is>
          <t>G|ORIG_BAL x CHANNEL|contribution_rate|book|7</t>
        </is>
      </c>
      <c r="B472" t="n">
        <v>-0.98273568</v>
      </c>
      <c r="C472" t="n">
        <v>-0.634694903</v>
      </c>
      <c r="D472" t="n">
        <v>1.557837046</v>
      </c>
      <c r="E472" t="n">
        <v>0</v>
      </c>
    </row>
    <row r="473">
      <c r="A473" t="inlineStr">
        <is>
          <t>G|ORIG_BAL x CHANNEL|contribution_rate|band|7</t>
        </is>
      </c>
    </row>
    <row r="474">
      <c r="A474" t="inlineStr">
        <is>
          <t>G|ORIG_BAL x CHANNEL|contribution_rate|meta</t>
        </is>
      </c>
      <c r="B474" t="inlineStr">
        <is>
          <t>pts</t>
        </is>
      </c>
      <c r="C474" t="n">
        <v>2.888908416</v>
      </c>
      <c r="D474" t="n">
        <v>10</v>
      </c>
    </row>
    <row r="475">
      <c r="A475" t="inlineStr">
        <is>
          <t>G|ORIG_BAL x ASSET_CLASS|cols</t>
        </is>
      </c>
      <c r="B475" t="inlineStr">
        <is>
          <t>1</t>
        </is>
      </c>
      <c r="C475" t="inlineStr">
        <is>
          <t>2</t>
        </is>
      </c>
      <c r="D475" t="inlineStr">
        <is>
          <t>3</t>
        </is>
      </c>
      <c r="E475" t="inlineStr">
        <is>
          <t>4</t>
        </is>
      </c>
      <c r="F475" t="inlineStr">
        <is>
          <t>All</t>
        </is>
      </c>
    </row>
    <row r="476">
      <c r="A476" t="inlineStr">
        <is>
          <t>G|ORIG_BAL x ASSET_CLASS|rows</t>
        </is>
      </c>
      <c r="B476" t="inlineStr">
        <is>
          <t>5,005 - 15,448</t>
        </is>
      </c>
      <c r="C476" t="inlineStr">
        <is>
          <t>15,449 - 26,323</t>
        </is>
      </c>
      <c r="D476" t="inlineStr">
        <is>
          <t>26,324 - 37,950</t>
        </is>
      </c>
      <c r="E476" t="inlineStr">
        <is>
          <t>37,951 - 49,151</t>
        </is>
      </c>
      <c r="F476" t="inlineStr">
        <is>
          <t>49,152 - 59,984</t>
        </is>
      </c>
      <c r="G476" t="inlineStr">
        <is>
          <t>(blank)</t>
        </is>
      </c>
      <c r="H476" t="inlineStr">
        <is>
          <t>All</t>
        </is>
      </c>
    </row>
    <row r="477">
      <c r="A477" t="inlineStr">
        <is>
          <t>G|ORIG_BAL x ASSET_CLASS|names</t>
        </is>
      </c>
      <c r="B477" t="inlineStr">
        <is>
          <t>ORIG_BAL</t>
        </is>
      </c>
      <c r="C477" t="inlineStr">
        <is>
          <t>ASSET_CLASS</t>
        </is>
      </c>
    </row>
    <row r="478">
      <c r="A478" t="inlineStr">
        <is>
          <t>G|ORIG_BAL x ASSET_CLASS|total</t>
        </is>
      </c>
      <c r="B478" t="n">
        <v>8000</v>
      </c>
    </row>
    <row r="479">
      <c r="A479" t="inlineStr">
        <is>
          <t>G|ORIG_BAL x ASSET_CLASS|loans|1</t>
        </is>
      </c>
      <c r="B479" t="n">
        <v>417</v>
      </c>
      <c r="C479" t="n">
        <v>404</v>
      </c>
      <c r="D479" t="n">
        <v>354</v>
      </c>
      <c r="E479" t="n">
        <v>425</v>
      </c>
      <c r="F479" t="n">
        <v>1600</v>
      </c>
    </row>
    <row r="480">
      <c r="A480" t="inlineStr">
        <is>
          <t>G|ORIG_BAL x ASSET_CLASS|loans|2</t>
        </is>
      </c>
      <c r="B480" t="n">
        <v>404</v>
      </c>
      <c r="C480" t="n">
        <v>356</v>
      </c>
      <c r="D480" t="n">
        <v>427</v>
      </c>
      <c r="E480" t="n">
        <v>413</v>
      </c>
      <c r="F480" t="n">
        <v>1600</v>
      </c>
    </row>
    <row r="481">
      <c r="A481" t="inlineStr">
        <is>
          <t>G|ORIG_BAL x ASSET_CLASS|loans|3</t>
        </is>
      </c>
      <c r="B481" t="n">
        <v>388</v>
      </c>
      <c r="C481" t="n">
        <v>432</v>
      </c>
      <c r="D481" t="n">
        <v>367</v>
      </c>
      <c r="E481" t="n">
        <v>412</v>
      </c>
      <c r="F481" t="n">
        <v>1599</v>
      </c>
    </row>
    <row r="482">
      <c r="A482" t="inlineStr">
        <is>
          <t>G|ORIG_BAL x ASSET_CLASS|loans|4</t>
        </is>
      </c>
      <c r="B482" t="n">
        <v>384</v>
      </c>
      <c r="C482" t="n">
        <v>420</v>
      </c>
      <c r="D482" t="n">
        <v>382</v>
      </c>
      <c r="E482" t="n">
        <v>414</v>
      </c>
      <c r="F482" t="n">
        <v>1600</v>
      </c>
    </row>
    <row r="483">
      <c r="A483" t="inlineStr">
        <is>
          <t>G|ORIG_BAL x ASSET_CLASS|loans|5</t>
        </is>
      </c>
      <c r="B483" t="n">
        <v>413</v>
      </c>
      <c r="C483" t="n">
        <v>398</v>
      </c>
      <c r="D483" t="n">
        <v>405</v>
      </c>
      <c r="E483" t="n">
        <v>384</v>
      </c>
      <c r="F483" t="n">
        <v>1600</v>
      </c>
    </row>
    <row r="484">
      <c r="A484" t="inlineStr">
        <is>
          <t>G|ORIG_BAL x ASSET_CLASS|loans|6</t>
        </is>
      </c>
      <c r="C484" t="n">
        <v>1</v>
      </c>
      <c r="F484" t="n">
        <v>1</v>
      </c>
    </row>
    <row r="485">
      <c r="A485" t="inlineStr">
        <is>
          <t>G|ORIG_BAL x ASSET_CLASS|loans|7</t>
        </is>
      </c>
      <c r="B485" t="n">
        <v>2006</v>
      </c>
      <c r="C485" t="n">
        <v>2011</v>
      </c>
      <c r="D485" t="n">
        <v>1935</v>
      </c>
      <c r="E485" t="n">
        <v>2048</v>
      </c>
      <c r="F485" t="n">
        <v>8000</v>
      </c>
    </row>
    <row r="486">
      <c r="A486" t="inlineStr">
        <is>
          <t>G|ORIG_BAL x ASSET_CLASS|outcome_loans|rate|1</t>
        </is>
      </c>
      <c r="B486" t="n">
        <v>0.06235011990407674</v>
      </c>
      <c r="C486" t="n">
        <v>0.06683168316831684</v>
      </c>
      <c r="D486" t="n">
        <v>0.08192090395480225</v>
      </c>
      <c r="E486" t="n">
        <v>0.09647058823529411</v>
      </c>
      <c r="F486" t="n">
        <v>0.076875</v>
      </c>
    </row>
    <row r="487">
      <c r="A487" t="inlineStr">
        <is>
          <t>G|ORIG_BAL x ASSET_CLASS|outcome_loans|book|1</t>
        </is>
      </c>
      <c r="B487" t="n">
        <v>0.8057166544631823</v>
      </c>
      <c r="C487" t="n">
        <v>0.8636294566451799</v>
      </c>
      <c r="D487" t="n">
        <v>1.058619241897356</v>
      </c>
      <c r="E487" t="n">
        <v>1.246636890620545</v>
      </c>
      <c r="F487" t="n">
        <v>0.9934137722132471</v>
      </c>
    </row>
    <row r="488">
      <c r="A488" t="inlineStr">
        <is>
          <t>G|ORIG_BAL x ASSET_CLASS|outcome_loans|band|1</t>
        </is>
      </c>
      <c r="B488" t="n">
        <v>0.7604143489332246</v>
      </c>
      <c r="C488" t="n">
        <v>0.8326113861386139</v>
      </c>
      <c r="D488" t="n">
        <v>1.085887726890251</v>
      </c>
      <c r="E488" t="n">
        <v>1.382352941176471</v>
      </c>
    </row>
    <row r="489">
      <c r="A489" t="inlineStr">
        <is>
          <t>G|ORIG_BAL x ASSET_CLASS|outcome_loans|rate|2</t>
        </is>
      </c>
      <c r="B489" t="n">
        <v>0.09405940594059406</v>
      </c>
      <c r="C489" t="n">
        <v>0.06179775280898876</v>
      </c>
      <c r="D489" t="n">
        <v>0.09836065573770492</v>
      </c>
      <c r="E489" t="n">
        <v>0.1138014527845036</v>
      </c>
      <c r="F489" t="n">
        <v>0.093125</v>
      </c>
    </row>
    <row r="490">
      <c r="A490" t="inlineStr">
        <is>
          <t>G|ORIG_BAL x ASSET_CLASS|outcome_loans|book|2</t>
        </is>
      </c>
      <c r="B490" t="n">
        <v>1.21547849453766</v>
      </c>
      <c r="C490" t="n">
        <v>0.7985787152166415</v>
      </c>
      <c r="D490" t="n">
        <v>1.271061203951376</v>
      </c>
      <c r="E490" t="n">
        <v>1.470594217808149</v>
      </c>
      <c r="F490" t="n">
        <v>1.203403675282714</v>
      </c>
    </row>
    <row r="491">
      <c r="A491" t="inlineStr">
        <is>
          <t>G|ORIG_BAL x ASSET_CLASS|outcome_loans|band|2</t>
        </is>
      </c>
      <c r="B491" t="n">
        <v>1.013468914459013</v>
      </c>
      <c r="C491" t="n">
        <v>0.6053260196408032</v>
      </c>
      <c r="D491" t="n">
        <v>1.078290179255401</v>
      </c>
      <c r="E491" t="n">
        <v>1.324336514266724</v>
      </c>
    </row>
    <row r="492">
      <c r="A492" t="inlineStr">
        <is>
          <t>G|ORIG_BAL x ASSET_CLASS|outcome_loans|rate|3</t>
        </is>
      </c>
      <c r="B492" t="n">
        <v>0.06701030927835051</v>
      </c>
      <c r="C492" t="n">
        <v>0.05336426914153132</v>
      </c>
      <c r="D492" t="n">
        <v>0.05449591280653951</v>
      </c>
      <c r="E492" t="n">
        <v>0.09951456310679611</v>
      </c>
      <c r="F492" t="n">
        <v>0.06883604505632041</v>
      </c>
    </row>
    <row r="493">
      <c r="A493" t="inlineStr">
        <is>
          <t>G|ORIG_BAL x ASSET_CLASS|outcome_loans|book|3</t>
        </is>
      </c>
      <c r="B493" t="n">
        <v>0.8659377446163582</v>
      </c>
      <c r="C493" t="n">
        <v>0.6895973971940372</v>
      </c>
      <c r="D493" t="n">
        <v>0.7042210121801447</v>
      </c>
      <c r="E493" t="n">
        <v>1.285972520664397</v>
      </c>
      <c r="F493" t="n">
        <v>0.8895307340961339</v>
      </c>
    </row>
    <row r="494">
      <c r="A494" t="inlineStr">
        <is>
          <t>G|ORIG_BAL x ASSET_CLASS|outcome_loans|band|3</t>
        </is>
      </c>
      <c r="B494" t="n">
        <v>0.9652675503190967</v>
      </c>
      <c r="C494" t="n">
        <v>0.7158172653812305</v>
      </c>
      <c r="D494" t="n">
        <v>0.7453829851650015</v>
      </c>
      <c r="E494" t="n">
        <v>1.710496693400872</v>
      </c>
    </row>
    <row r="495">
      <c r="A495" t="inlineStr">
        <is>
          <t>G|ORIG_BAL x ASSET_CLASS|outcome_loans|rate|4</t>
        </is>
      </c>
      <c r="B495" t="n">
        <v>0.05208333333333334</v>
      </c>
      <c r="C495" t="n">
        <v>0.06190476190476191</v>
      </c>
      <c r="D495" t="n">
        <v>0.0968586387434555</v>
      </c>
      <c r="E495" t="n">
        <v>0.1231884057971015</v>
      </c>
      <c r="F495" t="n">
        <v>0.08375</v>
      </c>
    </row>
    <row r="496">
      <c r="A496" t="inlineStr">
        <is>
          <t>G|ORIG_BAL x ASSET_CLASS|outcome_loans|book|4</t>
        </is>
      </c>
      <c r="B496" t="n">
        <v>0.6730445611200861</v>
      </c>
      <c r="C496" t="n">
        <v>0.799961535502731</v>
      </c>
      <c r="D496" t="n">
        <v>1.251651456072537</v>
      </c>
      <c r="E496" t="n">
        <v>1.59189670108403</v>
      </c>
      <c r="F496" t="n">
        <v>1.082255654281099</v>
      </c>
    </row>
    <row r="497">
      <c r="A497" t="inlineStr">
        <is>
          <t>G|ORIG_BAL x ASSET_CLASS|outcome_loans|band|4</t>
        </is>
      </c>
      <c r="B497" t="n">
        <v>0.5555555555555556</v>
      </c>
      <c r="C497" t="n">
        <v>0.6763668430335097</v>
      </c>
      <c r="D497" t="n">
        <v>1.216224968964214</v>
      </c>
      <c r="E497" t="n">
        <v>1.760258425004366</v>
      </c>
    </row>
    <row r="498">
      <c r="A498" t="inlineStr">
        <is>
          <t>G|ORIG_BAL x ASSET_CLASS|outcome_loans|rate|5</t>
        </is>
      </c>
      <c r="B498" t="n">
        <v>0.06295399515738499</v>
      </c>
      <c r="C498" t="n">
        <v>0.06030150753768844</v>
      </c>
      <c r="D498" t="n">
        <v>0.04938271604938271</v>
      </c>
      <c r="E498" t="n">
        <v>0.0859375</v>
      </c>
      <c r="F498" t="n">
        <v>0.064375</v>
      </c>
    </row>
    <row r="499">
      <c r="A499" t="inlineStr">
        <is>
          <t>G|ORIG_BAL x ASSET_CLASS|outcome_loans|book|5</t>
        </is>
      </c>
      <c r="B499" t="n">
        <v>0.8135202055959977</v>
      </c>
      <c r="C499" t="n">
        <v>0.7792435521711952</v>
      </c>
      <c r="D499" t="n">
        <v>0.6381459542471928</v>
      </c>
      <c r="E499" t="n">
        <v>1.110523525848142</v>
      </c>
      <c r="F499" t="n">
        <v>0.8318830775444265</v>
      </c>
    </row>
    <row r="500">
      <c r="A500" t="inlineStr">
        <is>
          <t>G|ORIG_BAL x ASSET_CLASS|outcome_loans|band|5</t>
        </is>
      </c>
      <c r="B500" t="n">
        <v>0.970472626646961</v>
      </c>
      <c r="C500" t="n">
        <v>0.9174988868392596</v>
      </c>
      <c r="D500" t="n">
        <v>0.7109921166146065</v>
      </c>
      <c r="E500" t="n">
        <v>1.492857142857143</v>
      </c>
    </row>
    <row r="501">
      <c r="A501" t="inlineStr">
        <is>
          <t>G|ORIG_BAL x ASSET_CLASS|outcome_loans|rate|6</t>
        </is>
      </c>
      <c r="C501" t="n">
        <v>0</v>
      </c>
      <c r="F501" t="n">
        <v>0</v>
      </c>
    </row>
    <row r="502">
      <c r="A502" t="inlineStr">
        <is>
          <t>G|ORIG_BAL x ASSET_CLASS|outcome_loans|book|6</t>
        </is>
      </c>
    </row>
    <row r="503">
      <c r="A503" t="inlineStr">
        <is>
          <t>G|ORIG_BAL x ASSET_CLASS|outcome_loans|band|6</t>
        </is>
      </c>
    </row>
    <row r="504">
      <c r="A504" t="inlineStr">
        <is>
          <t>G|ORIG_BAL x ASSET_CLASS|outcome_loans|rate|7</t>
        </is>
      </c>
      <c r="B504" t="n">
        <v>0.06779661016949153</v>
      </c>
      <c r="C504" t="n">
        <v>0.06069651741293532</v>
      </c>
      <c r="D504" t="n">
        <v>0.07648578811369509</v>
      </c>
      <c r="E504" t="n">
        <v>0.10400390625</v>
      </c>
      <c r="F504" t="n">
        <v>0.07738467308413552</v>
      </c>
    </row>
    <row r="505">
      <c r="A505" t="inlineStr">
        <is>
          <t>G|ORIG_BAL x ASSET_CLASS|outcome_loans|book|7</t>
        </is>
      </c>
      <c r="B505" t="n">
        <v>0.8760986829495359</v>
      </c>
      <c r="C505" t="n">
        <v>0.784348049735169</v>
      </c>
      <c r="D505" t="n">
        <v>0.9883841989037917</v>
      </c>
      <c r="E505" t="n">
        <v>1.343985857986672</v>
      </c>
      <c r="F505" t="n">
        <v>1</v>
      </c>
    </row>
    <row r="506">
      <c r="A506" t="inlineStr">
        <is>
          <t>G|ORIG_BAL x ASSET_CLASS|outcome_loans|band|7</t>
        </is>
      </c>
    </row>
    <row r="507">
      <c r="A507" t="inlineStr">
        <is>
          <t>G|ORIG_BAL x ASSET_CLASS|outcome_loans|meta</t>
        </is>
      </c>
      <c r="B507" t="inlineStr">
        <is>
          <t>x</t>
        </is>
      </c>
      <c r="C507" t="n">
        <v>1.760258425004366</v>
      </c>
      <c r="D507" t="n">
        <v>10</v>
      </c>
    </row>
    <row r="508">
      <c r="A508" t="inlineStr">
        <is>
          <t>G|ORIG_BAL x ASSET_CLASS|outcome_booked|rate|1</t>
        </is>
      </c>
      <c r="B508" t="n">
        <v>0.06159312716859232</v>
      </c>
      <c r="C508" t="n">
        <v>0.06335027854409166</v>
      </c>
      <c r="D508" t="n">
        <v>0.0772159794425423</v>
      </c>
      <c r="E508" t="n">
        <v>0.100048562735548</v>
      </c>
      <c r="F508" t="n">
        <v>0.07557453391360711</v>
      </c>
    </row>
    <row r="509">
      <c r="A509" t="inlineStr">
        <is>
          <t>G|ORIG_BAL x ASSET_CLASS|outcome_booked|book|1</t>
        </is>
      </c>
      <c r="B509" t="n">
        <v>0.8231198512391747</v>
      </c>
      <c r="C509" t="n">
        <v>0.8466021169609135</v>
      </c>
      <c r="D509" t="n">
        <v>1.03190093495435</v>
      </c>
      <c r="E509" t="n">
        <v>1.337031611500489</v>
      </c>
      <c r="F509" t="n">
        <v>1.009964942065142</v>
      </c>
    </row>
    <row r="510">
      <c r="A510" t="inlineStr">
        <is>
          <t>G|ORIG_BAL x ASSET_CLASS|outcome_booked|band|1</t>
        </is>
      </c>
      <c r="B510" t="n">
        <v>0.7648073422268861</v>
      </c>
      <c r="C510" t="n">
        <v>0.7939162699597196</v>
      </c>
      <c r="D510" t="n">
        <v>1.027958419708674</v>
      </c>
      <c r="E510" t="n">
        <v>1.496936474351225</v>
      </c>
    </row>
    <row r="511">
      <c r="A511" t="inlineStr">
        <is>
          <t>G|ORIG_BAL x ASSET_CLASS|outcome_booked|rate|2</t>
        </is>
      </c>
      <c r="B511" t="n">
        <v>0.09500769304133913</v>
      </c>
      <c r="C511" t="n">
        <v>0.0630994851011092</v>
      </c>
      <c r="D511" t="n">
        <v>0.1007157042828881</v>
      </c>
      <c r="E511" t="n">
        <v>0.1120522412356989</v>
      </c>
      <c r="F511" t="n">
        <v>0.09377887022910673</v>
      </c>
    </row>
    <row r="512">
      <c r="A512" t="inlineStr">
        <is>
          <t>G|ORIG_BAL x ASSET_CLASS|outcome_booked|book|2</t>
        </is>
      </c>
      <c r="B512" t="n">
        <v>1.269666304630195</v>
      </c>
      <c r="C512" t="n">
        <v>0.8432505569578885</v>
      </c>
      <c r="D512" t="n">
        <v>1.345947175240238</v>
      </c>
      <c r="E512" t="n">
        <v>1.49744668564216</v>
      </c>
      <c r="F512" t="n">
        <v>1.253244530044282</v>
      </c>
    </row>
    <row r="513">
      <c r="A513" t="inlineStr">
        <is>
          <t>G|ORIG_BAL x ASSET_CLASS|outcome_booked|band|2</t>
        </is>
      </c>
      <c r="B513" t="n">
        <v>1.017579450518085</v>
      </c>
      <c r="C513" t="n">
        <v>0.6145855137555094</v>
      </c>
      <c r="D513" t="n">
        <v>1.103209314998397</v>
      </c>
      <c r="E513" t="n">
        <v>1.282768045363396</v>
      </c>
    </row>
    <row r="514">
      <c r="A514" t="inlineStr">
        <is>
          <t>G|ORIG_BAL x ASSET_CLASS|outcome_booked|rate|3</t>
        </is>
      </c>
      <c r="B514" t="n">
        <v>0.06610481658734428</v>
      </c>
      <c r="C514" t="n">
        <v>0.05298171919623473</v>
      </c>
      <c r="D514" t="n">
        <v>0.05443458258166008</v>
      </c>
      <c r="E514" t="n">
        <v>0.09853094093699255</v>
      </c>
      <c r="F514" t="n">
        <v>0.06822026696935882</v>
      </c>
    </row>
    <row r="515">
      <c r="A515" t="inlineStr">
        <is>
          <t>G|ORIG_BAL x ASSET_CLASS|outcome_booked|book|3</t>
        </is>
      </c>
      <c r="B515" t="n">
        <v>0.8834132848398989</v>
      </c>
      <c r="C515" t="n">
        <v>0.7080384911100651</v>
      </c>
      <c r="D515" t="n">
        <v>0.7274543049947668</v>
      </c>
      <c r="E515" t="n">
        <v>1.316750377432846</v>
      </c>
      <c r="F515" t="n">
        <v>0.911683796239352</v>
      </c>
    </row>
    <row r="516">
      <c r="A516" t="inlineStr">
        <is>
          <t>G|ORIG_BAL x ASSET_CLASS|outcome_booked|band|3</t>
        </is>
      </c>
      <c r="B516" t="n">
        <v>0.9594698355545536</v>
      </c>
      <c r="C516" t="n">
        <v>0.71695430053061</v>
      </c>
      <c r="D516" t="n">
        <v>0.7528171359346884</v>
      </c>
      <c r="E516" t="n">
        <v>1.707245307730205</v>
      </c>
    </row>
    <row r="517">
      <c r="A517" t="inlineStr">
        <is>
          <t>G|ORIG_BAL x ASSET_CLASS|outcome_booked|rate|4</t>
        </is>
      </c>
      <c r="B517" t="n">
        <v>0.05153897170066326</v>
      </c>
      <c r="C517" t="n">
        <v>0.06184553381985863</v>
      </c>
      <c r="D517" t="n">
        <v>0.09542846063213327</v>
      </c>
      <c r="E517" t="n">
        <v>0.122436458703013</v>
      </c>
      <c r="F517" t="n">
        <v>0.08308928618120671</v>
      </c>
    </row>
    <row r="518">
      <c r="A518" t="inlineStr">
        <is>
          <t>G|ORIG_BAL x ASSET_CLASS|outcome_booked|book|4</t>
        </is>
      </c>
      <c r="B518" t="n">
        <v>0.6887578642199915</v>
      </c>
      <c r="C518" t="n">
        <v>0.8264929698774511</v>
      </c>
      <c r="D518" t="n">
        <v>1.275289369615882</v>
      </c>
      <c r="E518" t="n">
        <v>1.636219563881233</v>
      </c>
      <c r="F518" t="n">
        <v>1.110390785871949</v>
      </c>
    </row>
    <row r="519">
      <c r="A519" t="inlineStr">
        <is>
          <t>G|ORIG_BAL x ASSET_CLASS|outcome_booked|band|4</t>
        </is>
      </c>
      <c r="B519" t="n">
        <v>0.5539507937480281</v>
      </c>
      <c r="C519" t="n">
        <v>0.6822277092854625</v>
      </c>
      <c r="D519" t="n">
        <v>1.204533091203828</v>
      </c>
      <c r="E519" t="n">
        <v>1.766188562147983</v>
      </c>
    </row>
    <row r="520">
      <c r="A520" t="inlineStr">
        <is>
          <t>G|ORIG_BAL x ASSET_CLASS|outcome_booked|rate|5</t>
        </is>
      </c>
      <c r="B520" t="n">
        <v>0.06324026464407033</v>
      </c>
      <c r="C520" t="n">
        <v>0.0609452094879577</v>
      </c>
      <c r="D520" t="n">
        <v>0.04890502502359838</v>
      </c>
      <c r="E520" t="n">
        <v>0.0868866799235171</v>
      </c>
      <c r="F520" t="n">
        <v>0.06473600628619965</v>
      </c>
    </row>
    <row r="521">
      <c r="A521" t="inlineStr">
        <is>
          <t>G|ORIG_BAL x ASSET_CLASS|outcome_booked|book|5</t>
        </is>
      </c>
      <c r="B521" t="n">
        <v>0.8451319103131502</v>
      </c>
      <c r="C521" t="n">
        <v>0.8144611919144191</v>
      </c>
      <c r="D521" t="n">
        <v>0.6535582584090514</v>
      </c>
      <c r="E521" t="n">
        <v>1.161138496143444</v>
      </c>
      <c r="F521" t="n">
        <v>0.8651207417714354</v>
      </c>
    </row>
    <row r="522">
      <c r="A522" t="inlineStr">
        <is>
          <t>G|ORIG_BAL x ASSET_CLASS|outcome_booked|band|5</t>
        </is>
      </c>
      <c r="B522" t="n">
        <v>0.9691172409974351</v>
      </c>
      <c r="C522" t="n">
        <v>0.923558470540621</v>
      </c>
      <c r="D522" t="n">
        <v>0.6976779333954026</v>
      </c>
      <c r="E522" t="n">
        <v>1.505495894710763</v>
      </c>
    </row>
    <row r="523">
      <c r="A523" t="inlineStr">
        <is>
          <t>G|ORIG_BAL x ASSET_CLASS|outcome_booked|rate|6</t>
        </is>
      </c>
    </row>
    <row r="524">
      <c r="A524" t="inlineStr">
        <is>
          <t>G|ORIG_BAL x ASSET_CLASS|outcome_booked|book|6</t>
        </is>
      </c>
    </row>
    <row r="525">
      <c r="A525" t="inlineStr">
        <is>
          <t>G|ORIG_BAL x ASSET_CLASS|outcome_booked|band|6</t>
        </is>
      </c>
    </row>
    <row r="526">
      <c r="A526" t="inlineStr">
        <is>
          <t>G|ORIG_BAL x ASSET_CLASS|outcome_booked|rate|7</t>
        </is>
      </c>
      <c r="B526" t="n">
        <v>0.06479266841209205</v>
      </c>
      <c r="C526" t="n">
        <v>0.05990447229803187</v>
      </c>
      <c r="D526" t="n">
        <v>0.07111558928800162</v>
      </c>
      <c r="E526" t="n">
        <v>0.1032953749844734</v>
      </c>
      <c r="F526" t="n">
        <v>0.07482886857347225</v>
      </c>
    </row>
    <row r="527">
      <c r="A527" t="inlineStr">
        <is>
          <t>G|ORIG_BAL x ASSET_CLASS|outcome_booked|book|7</t>
        </is>
      </c>
      <c r="B527" t="n">
        <v>0.8658779645782558</v>
      </c>
      <c r="C527" t="n">
        <v>0.8005529609099109</v>
      </c>
      <c r="D527" t="n">
        <v>0.9503763807169586</v>
      </c>
      <c r="E527" t="n">
        <v>1.380421446343942</v>
      </c>
      <c r="F527" t="n">
        <v>0.9999999999999987</v>
      </c>
    </row>
    <row r="528">
      <c r="A528" t="inlineStr">
        <is>
          <t>G|ORIG_BAL x ASSET_CLASS|outcome_booked|band|7</t>
        </is>
      </c>
    </row>
    <row r="529">
      <c r="A529" t="inlineStr">
        <is>
          <t>G|ORIG_BAL x ASSET_CLASS|outcome_booked|meta</t>
        </is>
      </c>
      <c r="B529" t="inlineStr">
        <is>
          <t>x</t>
        </is>
      </c>
      <c r="C529" t="n">
        <v>1.766188562147983</v>
      </c>
      <c r="D529" t="n">
        <v>10</v>
      </c>
    </row>
    <row r="530">
      <c r="A530" t="inlineStr">
        <is>
          <t>G|ORIG_BAL x ASSET_CLASS|gco_rate|rate|1</t>
        </is>
      </c>
      <c r="B530" t="n">
        <v>0.03283146319913356</v>
      </c>
      <c r="C530" t="n">
        <v>0.03528342542722491</v>
      </c>
      <c r="D530" t="n">
        <v>0.04589589159754918</v>
      </c>
      <c r="E530" t="n">
        <v>0.05215126423873779</v>
      </c>
      <c r="F530" t="n">
        <v>0.04139745179629655</v>
      </c>
    </row>
    <row r="531">
      <c r="A531" t="inlineStr">
        <is>
          <t>G|ORIG_BAL x ASSET_CLASS|gco_rate|book|1</t>
        </is>
      </c>
      <c r="B531" t="n">
        <v>0.7891179862955422</v>
      </c>
      <c r="C531" t="n">
        <v>0.8480519267102126</v>
      </c>
      <c r="D531" t="n">
        <v>1.103127001590727</v>
      </c>
      <c r="E531" t="n">
        <v>1.253477506294193</v>
      </c>
      <c r="F531" t="n">
        <v>0.995005114487935</v>
      </c>
    </row>
    <row r="532">
      <c r="A532" t="inlineStr">
        <is>
          <t>G|ORIG_BAL x ASSET_CLASS|gco_rate|band|1</t>
        </is>
      </c>
      <c r="B532" t="n">
        <v>0.7388470693004106</v>
      </c>
      <c r="C532" t="n">
        <v>0.8109609142062252</v>
      </c>
      <c r="D532" t="n">
        <v>1.143382981592577</v>
      </c>
      <c r="E532" t="n">
        <v>1.388568780382755</v>
      </c>
    </row>
    <row r="533">
      <c r="A533" t="inlineStr">
        <is>
          <t>G|ORIG_BAL x ASSET_CLASS|gco_rate|rate|2</t>
        </is>
      </c>
      <c r="B533" t="n">
        <v>0.05479327214857932</v>
      </c>
      <c r="C533" t="n">
        <v>0.03430330474833616</v>
      </c>
      <c r="D533" t="n">
        <v>0.05821876574501091</v>
      </c>
      <c r="E533" t="n">
        <v>0.06273803182793203</v>
      </c>
      <c r="F533" t="n">
        <v>0.05316017920478749</v>
      </c>
    </row>
    <row r="534">
      <c r="A534" t="inlineStr">
        <is>
          <t>G|ORIG_BAL x ASSET_CLASS|gco_rate|book|2</t>
        </is>
      </c>
      <c r="B534" t="n">
        <v>1.316979274367876</v>
      </c>
      <c r="C534" t="n">
        <v>0.8244943151666697</v>
      </c>
      <c r="D534" t="n">
        <v>1.399312449483742</v>
      </c>
      <c r="E534" t="n">
        <v>1.50793490500021</v>
      </c>
      <c r="F534" t="n">
        <v>1.277727200604911</v>
      </c>
    </row>
    <row r="535">
      <c r="A535" t="inlineStr">
        <is>
          <t>G|ORIG_BAL x ASSET_CLASS|gco_rate|band|2</t>
        </is>
      </c>
      <c r="B535" t="n">
        <v>1.041460341846746</v>
      </c>
      <c r="C535" t="n">
        <v>0.5851305808967144</v>
      </c>
      <c r="D535" t="n">
        <v>1.133815158672301</v>
      </c>
      <c r="E535" t="n">
        <v>1.260013977986451</v>
      </c>
    </row>
    <row r="536">
      <c r="A536" t="inlineStr">
        <is>
          <t>G|ORIG_BAL x ASSET_CLASS|gco_rate|rate|3</t>
        </is>
      </c>
      <c r="B536" t="n">
        <v>0.03610668619158509</v>
      </c>
      <c r="C536" t="n">
        <v>0.02813352095832473</v>
      </c>
      <c r="D536" t="n">
        <v>0.03147978163360925</v>
      </c>
      <c r="E536" t="n">
        <v>0.05387336475321401</v>
      </c>
      <c r="F536" t="n">
        <v>0.03745072983796681</v>
      </c>
    </row>
    <row r="537">
      <c r="A537" t="inlineStr">
        <is>
          <t>G|ORIG_BAL x ASSET_CLASS|gco_rate|book|3</t>
        </is>
      </c>
      <c r="B537" t="n">
        <v>0.8678393444268004</v>
      </c>
      <c r="C537" t="n">
        <v>0.6762009743940541</v>
      </c>
      <c r="D537" t="n">
        <v>0.7566297530227863</v>
      </c>
      <c r="E537" t="n">
        <v>1.294868914345048</v>
      </c>
      <c r="F537" t="n">
        <v>0.9001439971099026</v>
      </c>
    </row>
    <row r="538">
      <c r="A538" t="inlineStr">
        <is>
          <t>G|ORIG_BAL x ASSET_CLASS|gco_rate|band|3</t>
        </is>
      </c>
      <c r="B538" t="n">
        <v>0.9531752233587916</v>
      </c>
      <c r="C538" t="n">
        <v>0.6873293826115112</v>
      </c>
      <c r="D538" t="n">
        <v>0.8026560627618921</v>
      </c>
      <c r="E538" t="n">
        <v>1.696076466137317</v>
      </c>
    </row>
    <row r="539">
      <c r="A539" t="inlineStr">
        <is>
          <t>G|ORIG_BAL x ASSET_CLASS|gco_rate|rate|4</t>
        </is>
      </c>
      <c r="B539" t="n">
        <v>0.0298348592435414</v>
      </c>
      <c r="C539" t="n">
        <v>0.03478787457424267</v>
      </c>
      <c r="D539" t="n">
        <v>0.05335130250834706</v>
      </c>
      <c r="E539" t="n">
        <v>0.06846243951895585</v>
      </c>
      <c r="F539" t="n">
        <v>0.04676588351390013</v>
      </c>
    </row>
    <row r="540">
      <c r="A540" t="inlineStr">
        <is>
          <t>G|ORIG_BAL x ASSET_CLASS|gco_rate|book|4</t>
        </is>
      </c>
      <c r="B540" t="n">
        <v>0.7170933535577437</v>
      </c>
      <c r="C540" t="n">
        <v>0.8361411541430398</v>
      </c>
      <c r="D540" t="n">
        <v>1.282320929356027</v>
      </c>
      <c r="E540" t="n">
        <v>1.645523444459355</v>
      </c>
      <c r="F540" t="n">
        <v>1.124037622142734</v>
      </c>
    </row>
    <row r="541">
      <c r="A541" t="inlineStr">
        <is>
          <t>G|ORIG_BAL x ASSET_CLASS|gco_rate|band|4</t>
        </is>
      </c>
      <c r="B541" t="n">
        <v>0.5727282750834974</v>
      </c>
      <c r="C541" t="n">
        <v>0.681667389442232</v>
      </c>
      <c r="D541" t="n">
        <v>1.193496810785595</v>
      </c>
      <c r="E541" t="n">
        <v>1.747881588717982</v>
      </c>
    </row>
    <row r="542">
      <c r="A542" t="inlineStr">
        <is>
          <t>G|ORIG_BAL x ASSET_CLASS|gco_rate|rate|5</t>
        </is>
      </c>
      <c r="B542" t="n">
        <v>0.03577416403630683</v>
      </c>
      <c r="C542" t="n">
        <v>0.03274575516062664</v>
      </c>
      <c r="D542" t="n">
        <v>0.02585489295906459</v>
      </c>
      <c r="E542" t="n">
        <v>0.04840469196655259</v>
      </c>
      <c r="F542" t="n">
        <v>0.03555289463498783</v>
      </c>
    </row>
    <row r="543">
      <c r="A543" t="inlineStr">
        <is>
          <t>G|ORIG_BAL x ASSET_CLASS|gco_rate|book|5</t>
        </is>
      </c>
      <c r="B543" t="n">
        <v>0.8598470349771636</v>
      </c>
      <c r="C543" t="n">
        <v>0.7870579576472393</v>
      </c>
      <c r="D543" t="n">
        <v>0.6214331948593225</v>
      </c>
      <c r="E543" t="n">
        <v>1.163427070558038</v>
      </c>
      <c r="F543" t="n">
        <v>0.8545287321242382</v>
      </c>
    </row>
    <row r="544">
      <c r="A544" t="inlineStr">
        <is>
          <t>G|ORIG_BAL x ASSET_CLASS|gco_rate|band|5</t>
        </is>
      </c>
      <c r="B544" t="n">
        <v>1.008403556060723</v>
      </c>
      <c r="C544" t="n">
        <v>0.8976072147098674</v>
      </c>
      <c r="D544" t="n">
        <v>0.6657296163645642</v>
      </c>
      <c r="E544" t="n">
        <v>1.537723430764651</v>
      </c>
    </row>
    <row r="545">
      <c r="A545" t="inlineStr">
        <is>
          <t>G|ORIG_BAL x ASSET_CLASS|gco_rate|rate|6</t>
        </is>
      </c>
    </row>
    <row r="546">
      <c r="A546" t="inlineStr">
        <is>
          <t>G|ORIG_BAL x ASSET_CLASS|gco_rate|book|6</t>
        </is>
      </c>
    </row>
    <row r="547">
      <c r="A547" t="inlineStr">
        <is>
          <t>G|ORIG_BAL x ASSET_CLASS|gco_rate|band|6</t>
        </is>
      </c>
    </row>
    <row r="548">
      <c r="A548" t="inlineStr">
        <is>
          <t>G|ORIG_BAL x ASSET_CLASS|gco_rate|rate|7</t>
        </is>
      </c>
      <c r="B548" t="n">
        <v>0.03658802020131283</v>
      </c>
      <c r="C548" t="n">
        <v>0.03267264405351186</v>
      </c>
      <c r="D548" t="n">
        <v>0.03985339591963971</v>
      </c>
      <c r="E548" t="n">
        <v>0.05721698514012345</v>
      </c>
      <c r="F548" t="n">
        <v>0.04160526533333563</v>
      </c>
    </row>
    <row r="549">
      <c r="A549" t="inlineStr">
        <is>
          <t>G|ORIG_BAL x ASSET_CLASS|gco_rate|book|7</t>
        </is>
      </c>
      <c r="B549" t="n">
        <v>0.8794084092043316</v>
      </c>
      <c r="C549" t="n">
        <v>0.7853007015276346</v>
      </c>
      <c r="D549" t="n">
        <v>0.9578930839724203</v>
      </c>
      <c r="E549" t="n">
        <v>1.375234232535446</v>
      </c>
      <c r="F549" t="n">
        <v>0.9999999999999994</v>
      </c>
    </row>
    <row r="550">
      <c r="A550" t="inlineStr">
        <is>
          <t>G|ORIG_BAL x ASSET_CLASS|gco_rate|band|7</t>
        </is>
      </c>
    </row>
    <row r="551">
      <c r="A551" t="inlineStr">
        <is>
          <t>G|ORIG_BAL x ASSET_CLASS|gco_rate|meta</t>
        </is>
      </c>
      <c r="B551" t="inlineStr">
        <is>
          <t>x</t>
        </is>
      </c>
      <c r="C551" t="n">
        <v>1.747881588717982</v>
      </c>
      <c r="D551" t="n">
        <v>10</v>
      </c>
    </row>
    <row r="552">
      <c r="A552" t="inlineStr">
        <is>
          <t>G|ORIG_BAL x ASSET_CLASS|ranr_rate|rate|1</t>
        </is>
      </c>
      <c r="B552" t="n">
        <v>0.1628492627009603</v>
      </c>
      <c r="C552" t="n">
        <v>0.140606734996523</v>
      </c>
      <c r="D552" t="n">
        <v>0.1432613490537175</v>
      </c>
      <c r="E552" t="n">
        <v>0.1393497515662889</v>
      </c>
      <c r="F552" t="n">
        <v>0.1466798967561384</v>
      </c>
    </row>
    <row r="553">
      <c r="A553" t="inlineStr">
        <is>
          <t>G|ORIG_BAL x ASSET_CLASS|ranr_rate|book|1</t>
        </is>
      </c>
      <c r="B553" t="n">
        <v>3.485921305</v>
      </c>
      <c r="C553" t="n">
        <v>1.261668535</v>
      </c>
      <c r="D553" t="n">
        <v>1.527129941</v>
      </c>
      <c r="E553" t="n">
        <v>1.135970192</v>
      </c>
      <c r="F553" t="n">
        <v>1.868984711</v>
      </c>
    </row>
    <row r="554">
      <c r="A554" t="inlineStr">
        <is>
          <t>G|ORIG_BAL x ASSET_CLASS|ranr_rate|band|1</t>
        </is>
      </c>
      <c r="B554" t="n">
        <v>2.190514264</v>
      </c>
      <c r="C554" t="n">
        <v>-0.816977259</v>
      </c>
      <c r="D554" t="n">
        <v>-0.437380509</v>
      </c>
      <c r="E554" t="n">
        <v>-0.9947534810000001</v>
      </c>
    </row>
    <row r="555">
      <c r="A555" t="inlineStr">
        <is>
          <t>G|ORIG_BAL x ASSET_CLASS|ranr_rate|rate|2</t>
        </is>
      </c>
      <c r="B555" t="n">
        <v>0.127064421179836</v>
      </c>
      <c r="C555" t="n">
        <v>0.1280604573540226</v>
      </c>
      <c r="D555" t="n">
        <v>0.1118381240527463</v>
      </c>
      <c r="E555" t="n">
        <v>0.1108767580785904</v>
      </c>
      <c r="F555" t="n">
        <v>0.1190597270318928</v>
      </c>
    </row>
    <row r="556">
      <c r="A556" t="inlineStr">
        <is>
          <t>G|ORIG_BAL x ASSET_CLASS|ranr_rate|book|2</t>
        </is>
      </c>
      <c r="B556" t="n">
        <v>-0.092562847</v>
      </c>
      <c r="C556" t="n">
        <v>0.007040771</v>
      </c>
      <c r="D556" t="n">
        <v>-1.61519256</v>
      </c>
      <c r="E556" t="n">
        <v>-1.711329157</v>
      </c>
      <c r="F556" t="n">
        <v>-0.893032262</v>
      </c>
    </row>
    <row r="557">
      <c r="A557" t="inlineStr">
        <is>
          <t>G|ORIG_BAL x ASSET_CLASS|ranr_rate|band|2</t>
        </is>
      </c>
      <c r="B557" t="n">
        <v>1.069180965</v>
      </c>
      <c r="C557" t="n">
        <v>1.160920896</v>
      </c>
      <c r="D557" t="n">
        <v>-0.980912961</v>
      </c>
      <c r="E557" t="n">
        <v>-1.106101487</v>
      </c>
    </row>
    <row r="558">
      <c r="A558" t="inlineStr">
        <is>
          <t>G|ORIG_BAL x ASSET_CLASS|ranr_rate|rate|3</t>
        </is>
      </c>
      <c r="B558" t="n">
        <v>0.1350298165393446</v>
      </c>
      <c r="C558" t="n">
        <v>0.132351642063907</v>
      </c>
      <c r="D558" t="n">
        <v>0.1351692687118144</v>
      </c>
      <c r="E558" t="n">
        <v>0.1232354186435214</v>
      </c>
      <c r="F558" t="n">
        <v>0.1312994440713134</v>
      </c>
    </row>
    <row r="559">
      <c r="A559" t="inlineStr">
        <is>
          <t>G|ORIG_BAL x ASSET_CLASS|ranr_rate|book|3</t>
        </is>
      </c>
      <c r="B559" t="n">
        <v>0.703976689</v>
      </c>
      <c r="C559" t="n">
        <v>0.436159242</v>
      </c>
      <c r="D559" t="n">
        <v>0.7179219060000001</v>
      </c>
      <c r="E559" t="n">
        <v>-0.4754631</v>
      </c>
      <c r="F559" t="n">
        <v>0.330939442</v>
      </c>
    </row>
    <row r="560">
      <c r="A560" t="inlineStr">
        <is>
          <t>G|ORIG_BAL x ASSET_CLASS|ranr_rate|band|3</t>
        </is>
      </c>
      <c r="B560" t="n">
        <v>0.492299535</v>
      </c>
      <c r="C560" t="n">
        <v>0.144529961</v>
      </c>
      <c r="D560" t="n">
        <v>0.5016190149999999</v>
      </c>
      <c r="E560" t="n">
        <v>-1.085662092</v>
      </c>
    </row>
    <row r="561">
      <c r="A561" t="inlineStr">
        <is>
          <t>G|ORIG_BAL x ASSET_CLASS|ranr_rate|rate|4</t>
        </is>
      </c>
      <c r="B561" t="n">
        <v>0.1349320389745104</v>
      </c>
      <c r="C561" t="n">
        <v>0.1364308528800312</v>
      </c>
      <c r="D561" t="n">
        <v>0.1153623079942106</v>
      </c>
      <c r="E561" t="n">
        <v>0.1031818979258365</v>
      </c>
      <c r="F561" t="n">
        <v>0.1224284738147316</v>
      </c>
    </row>
    <row r="562">
      <c r="A562" t="inlineStr">
        <is>
          <t>G|ORIG_BAL x ASSET_CLASS|ranr_rate|book|4</t>
        </is>
      </c>
      <c r="B562" t="n">
        <v>0.694198933</v>
      </c>
      <c r="C562" t="n">
        <v>0.844080323</v>
      </c>
      <c r="D562" t="n">
        <v>-1.262774165</v>
      </c>
      <c r="E562" t="n">
        <v>-2.480815172</v>
      </c>
      <c r="F562" t="n">
        <v>-0.556157583</v>
      </c>
    </row>
    <row r="563">
      <c r="A563" t="inlineStr">
        <is>
          <t>G|ORIG_BAL x ASSET_CLASS|ranr_rate|band|4</t>
        </is>
      </c>
      <c r="B563" t="n">
        <v>1.64466519</v>
      </c>
      <c r="C563" t="n">
        <v>1.898740495</v>
      </c>
      <c r="D563" t="n">
        <v>-0.927941259</v>
      </c>
      <c r="E563" t="n">
        <v>-2.598060758</v>
      </c>
    </row>
    <row r="564">
      <c r="A564" t="inlineStr">
        <is>
          <t>G|ORIG_BAL x ASSET_CLASS|ranr_rate|rate|5</t>
        </is>
      </c>
      <c r="B564" t="n">
        <v>0.1373835571748551</v>
      </c>
      <c r="C564" t="n">
        <v>0.1276827512674985</v>
      </c>
      <c r="D564" t="n">
        <v>0.1342645011542852</v>
      </c>
      <c r="E564" t="n">
        <v>0.1217640084646423</v>
      </c>
      <c r="F564" t="n">
        <v>0.1304237269597046</v>
      </c>
    </row>
    <row r="565">
      <c r="A565" t="inlineStr">
        <is>
          <t>G|ORIG_BAL x ASSET_CLASS|ranr_rate|book|5</t>
        </is>
      </c>
      <c r="B565" t="n">
        <v>0.939350753</v>
      </c>
      <c r="C565" t="n">
        <v>-0.030729838</v>
      </c>
      <c r="D565" t="n">
        <v>0.627445151</v>
      </c>
      <c r="E565" t="n">
        <v>-0.622604118</v>
      </c>
      <c r="F565" t="n">
        <v>0.243367731</v>
      </c>
    </row>
    <row r="566">
      <c r="A566" t="inlineStr">
        <is>
          <t>G|ORIG_BAL x ASSET_CLASS|ranr_rate|band|5</t>
        </is>
      </c>
      <c r="B566" t="n">
        <v>0.937725037</v>
      </c>
      <c r="C566" t="n">
        <v>-0.364736499</v>
      </c>
      <c r="D566" t="n">
        <v>0.514137506</v>
      </c>
      <c r="E566" t="n">
        <v>-1.140533631</v>
      </c>
    </row>
    <row r="567">
      <c r="A567" t="inlineStr">
        <is>
          <t>G|ORIG_BAL x ASSET_CLASS|ranr_rate|rate|6</t>
        </is>
      </c>
    </row>
    <row r="568">
      <c r="A568" t="inlineStr">
        <is>
          <t>G|ORIG_BAL x ASSET_CLASS|ranr_rate|book|6</t>
        </is>
      </c>
    </row>
    <row r="569">
      <c r="A569" t="inlineStr">
        <is>
          <t>G|ORIG_BAL x ASSET_CLASS|ranr_rate|band|6</t>
        </is>
      </c>
    </row>
    <row r="570">
      <c r="A570" t="inlineStr">
        <is>
          <t>G|ORIG_BAL x ASSET_CLASS|ranr_rate|rate|7</t>
        </is>
      </c>
      <c r="B570" t="n">
        <v>0.1366271301464631</v>
      </c>
      <c r="C570" t="n">
        <v>0.1319777891966655</v>
      </c>
      <c r="D570" t="n">
        <v>0.1267931865560143</v>
      </c>
      <c r="E570" t="n">
        <v>0.1166197094471362</v>
      </c>
      <c r="F570" t="n">
        <v>0.1279900496481476</v>
      </c>
    </row>
    <row r="571">
      <c r="A571" t="inlineStr">
        <is>
          <t>G|ORIG_BAL x ASSET_CLASS|ranr_rate|book|7</t>
        </is>
      </c>
      <c r="B571" t="n">
        <v>0.8637080499999999</v>
      </c>
      <c r="C571" t="n">
        <v>0.398773955</v>
      </c>
      <c r="D571" t="n">
        <v>-0.119686309</v>
      </c>
      <c r="E571" t="n">
        <v>-1.13703402</v>
      </c>
      <c r="F571" t="n">
        <v>0</v>
      </c>
    </row>
    <row r="572">
      <c r="A572" t="inlineStr">
        <is>
          <t>G|ORIG_BAL x ASSET_CLASS|ranr_rate|band|7</t>
        </is>
      </c>
    </row>
    <row r="573">
      <c r="A573" t="inlineStr">
        <is>
          <t>G|ORIG_BAL x ASSET_CLASS|ranr_rate|meta</t>
        </is>
      </c>
      <c r="B573" t="inlineStr">
        <is>
          <t>pts</t>
        </is>
      </c>
      <c r="C573" t="n">
        <v>3.485921305</v>
      </c>
      <c r="D573" t="n">
        <v>10</v>
      </c>
    </row>
    <row r="574">
      <c r="A574" t="inlineStr">
        <is>
          <t>G|ORIG_BAL x ASSET_CLASS|contribution_rate|rate|1</t>
        </is>
      </c>
      <c r="B574" t="n">
        <v>0.1956807259000939</v>
      </c>
      <c r="C574" t="n">
        <v>0.1758901604237478</v>
      </c>
      <c r="D574" t="n">
        <v>0.1891572406512666</v>
      </c>
      <c r="E574" t="n">
        <v>0.1915010158050267</v>
      </c>
      <c r="F574" t="n">
        <v>0.1880773485524349</v>
      </c>
    </row>
    <row r="575">
      <c r="A575" t="inlineStr">
        <is>
          <t>G|ORIG_BAL x ASSET_CLASS|contribution_rate|book|1</t>
        </is>
      </c>
      <c r="B575" t="n">
        <v>2.608827017</v>
      </c>
      <c r="C575" t="n">
        <v>0.629770469</v>
      </c>
      <c r="D575" t="n">
        <v>1.956478492</v>
      </c>
      <c r="E575" t="n">
        <v>2.190856007</v>
      </c>
      <c r="F575" t="n">
        <v>1.848489282</v>
      </c>
    </row>
    <row r="576">
      <c r="A576" t="inlineStr">
        <is>
          <t>G|ORIG_BAL x ASSET_CLASS|contribution_rate|band|1</t>
        </is>
      </c>
      <c r="B576" t="n">
        <v>1.030053163</v>
      </c>
      <c r="C576" t="n">
        <v>-1.63945173</v>
      </c>
      <c r="D576" t="n">
        <v>0.138165033</v>
      </c>
      <c r="E576" t="n">
        <v>0.464616298</v>
      </c>
    </row>
    <row r="577">
      <c r="A577" t="inlineStr">
        <is>
          <t>G|ORIG_BAL x ASSET_CLASS|contribution_rate|rate|2</t>
        </is>
      </c>
      <c r="B577" t="n">
        <v>0.1818576933284154</v>
      </c>
      <c r="C577" t="n">
        <v>0.1623637621023586</v>
      </c>
      <c r="D577" t="n">
        <v>0.1700568897977575</v>
      </c>
      <c r="E577" t="n">
        <v>0.1736147899065223</v>
      </c>
      <c r="F577" t="n">
        <v>0.1722199062366803</v>
      </c>
    </row>
    <row r="578">
      <c r="A578" t="inlineStr">
        <is>
          <t>G|ORIG_BAL x ASSET_CLASS|contribution_rate|book|2</t>
        </is>
      </c>
      <c r="B578" t="n">
        <v>1.226523759</v>
      </c>
      <c r="C578" t="n">
        <v>-0.722869363</v>
      </c>
      <c r="D578" t="n">
        <v>0.046443406</v>
      </c>
      <c r="E578" t="n">
        <v>0.402233417</v>
      </c>
      <c r="F578" t="n">
        <v>0.26274505</v>
      </c>
    </row>
    <row r="579">
      <c r="A579" t="inlineStr">
        <is>
          <t>G|ORIG_BAL x ASSET_CLASS|contribution_rate|band|2</t>
        </is>
      </c>
      <c r="B579" t="n">
        <v>1.287311959</v>
      </c>
      <c r="C579" t="n">
        <v>-1.271252806</v>
      </c>
      <c r="D579" t="n">
        <v>-0.29380331</v>
      </c>
      <c r="E579" t="n">
        <v>0.188548058</v>
      </c>
    </row>
    <row r="580">
      <c r="A580" t="inlineStr">
        <is>
          <t>G|ORIG_BAL x ASSET_CLASS|contribution_rate|rate|3</t>
        </is>
      </c>
      <c r="B580" t="n">
        <v>0.1711365027309296</v>
      </c>
      <c r="C580" t="n">
        <v>0.1604851630222316</v>
      </c>
      <c r="D580" t="n">
        <v>0.1666490503454237</v>
      </c>
      <c r="E580" t="n">
        <v>0.1771087833967352</v>
      </c>
      <c r="F580" t="n">
        <v>0.1687501739092802</v>
      </c>
    </row>
    <row r="581">
      <c r="A581" t="inlineStr">
        <is>
          <t>G|ORIG_BAL x ASSET_CLASS|contribution_rate|book|3</t>
        </is>
      </c>
      <c r="B581" t="n">
        <v>0.1544047</v>
      </c>
      <c r="C581" t="n">
        <v>-0.910729271</v>
      </c>
      <c r="D581" t="n">
        <v>-0.294340539</v>
      </c>
      <c r="E581" t="n">
        <v>0.751632766</v>
      </c>
      <c r="F581" t="n">
        <v>-0.084228183</v>
      </c>
    </row>
    <row r="582">
      <c r="A582" t="inlineStr">
        <is>
          <t>G|ORIG_BAL x ASSET_CLASS|contribution_rate|band|3</t>
        </is>
      </c>
      <c r="B582" t="n">
        <v>0.314925274</v>
      </c>
      <c r="C582" t="n">
        <v>-1.13528225</v>
      </c>
      <c r="D582" t="n">
        <v>-0.272354339</v>
      </c>
      <c r="E582" t="n">
        <v>1.12532203</v>
      </c>
    </row>
    <row r="583">
      <c r="A583" t="inlineStr">
        <is>
          <t>G|ORIG_BAL x ASSET_CLASS|contribution_rate|rate|4</t>
        </is>
      </c>
      <c r="B583" t="n">
        <v>0.1647391676691785</v>
      </c>
      <c r="C583" t="n">
        <v>0.171218727454274</v>
      </c>
      <c r="D583" t="n">
        <v>0.1687136105025577</v>
      </c>
      <c r="E583" t="n">
        <v>0.1716443374447924</v>
      </c>
      <c r="F583" t="n">
        <v>0.1691805976256635</v>
      </c>
    </row>
    <row r="584">
      <c r="A584" t="inlineStr">
        <is>
          <t>G|ORIG_BAL x ASSET_CLASS|contribution_rate|book|4</t>
        </is>
      </c>
      <c r="B584" t="n">
        <v>-0.485328807</v>
      </c>
      <c r="C584" t="n">
        <v>0.162627172</v>
      </c>
      <c r="D584" t="n">
        <v>-0.08788452300000001</v>
      </c>
      <c r="E584" t="n">
        <v>0.205188171</v>
      </c>
      <c r="F584" t="n">
        <v>-0.041185811</v>
      </c>
    </row>
    <row r="585">
      <c r="A585" t="inlineStr">
        <is>
          <t>G|ORIG_BAL x ASSET_CLASS|contribution_rate|band|4</t>
        </is>
      </c>
      <c r="B585" t="n">
        <v>-0.583873962</v>
      </c>
      <c r="C585" t="n">
        <v>0.276429075</v>
      </c>
      <c r="D585" t="n">
        <v>-0.061336511</v>
      </c>
      <c r="E585" t="n">
        <v>0.332642124</v>
      </c>
    </row>
    <row r="586">
      <c r="A586" t="inlineStr">
        <is>
          <t>G|ORIG_BAL x ASSET_CLASS|contribution_rate|rate|5</t>
        </is>
      </c>
      <c r="B586" t="n">
        <v>0.173157721211162</v>
      </c>
      <c r="C586" t="n">
        <v>0.160428506428125</v>
      </c>
      <c r="D586" t="n">
        <v>0.1601193941133497</v>
      </c>
      <c r="E586" t="n">
        <v>0.1701687004311949</v>
      </c>
      <c r="F586" t="n">
        <v>0.1659766215946923</v>
      </c>
    </row>
    <row r="587">
      <c r="A587" t="inlineStr">
        <is>
          <t>G|ORIG_BAL x ASSET_CLASS|contribution_rate|book|5</t>
        </is>
      </c>
      <c r="B587" t="n">
        <v>0.356526548</v>
      </c>
      <c r="C587" t="n">
        <v>-0.916394931</v>
      </c>
      <c r="D587" t="n">
        <v>-0.947306162</v>
      </c>
      <c r="E587" t="n">
        <v>0.05762447</v>
      </c>
      <c r="F587" t="n">
        <v>-0.361583414</v>
      </c>
    </row>
    <row r="588">
      <c r="A588" t="inlineStr">
        <is>
          <t>G|ORIG_BAL x ASSET_CLASS|contribution_rate|band|5</t>
        </is>
      </c>
      <c r="B588" t="n">
        <v>0.967537525</v>
      </c>
      <c r="C588" t="n">
        <v>-0.738277289</v>
      </c>
      <c r="D588" t="n">
        <v>-0.784065966</v>
      </c>
      <c r="E588" t="n">
        <v>0.55212036</v>
      </c>
    </row>
    <row r="589">
      <c r="A589" t="inlineStr">
        <is>
          <t>G|ORIG_BAL x ASSET_CLASS|contribution_rate|rate|6</t>
        </is>
      </c>
    </row>
    <row r="590">
      <c r="A590" t="inlineStr">
        <is>
          <t>G|ORIG_BAL x ASSET_CLASS|contribution_rate|book|6</t>
        </is>
      </c>
    </row>
    <row r="591">
      <c r="A591" t="inlineStr">
        <is>
          <t>G|ORIG_BAL x ASSET_CLASS|contribution_rate|band|6</t>
        </is>
      </c>
    </row>
    <row r="592">
      <c r="A592" t="inlineStr">
        <is>
          <t>G|ORIG_BAL x ASSET_CLASS|contribution_rate|rate|7</t>
        </is>
      </c>
      <c r="B592" t="n">
        <v>0.1732090054791083</v>
      </c>
      <c r="C592" t="n">
        <v>0.1646504332501773</v>
      </c>
      <c r="D592" t="n">
        <v>0.166646582475654</v>
      </c>
      <c r="E592" t="n">
        <v>0.1738366945872596</v>
      </c>
      <c r="F592" t="n">
        <v>0.1695924557349811</v>
      </c>
    </row>
    <row r="593">
      <c r="A593" t="inlineStr">
        <is>
          <t>G|ORIG_BAL x ASSET_CLASS|contribution_rate|book|7</t>
        </is>
      </c>
      <c r="B593" t="n">
        <v>0.361654974</v>
      </c>
      <c r="C593" t="n">
        <v>-0.494202248</v>
      </c>
      <c r="D593" t="n">
        <v>-0.294587326</v>
      </c>
      <c r="E593" t="n">
        <v>0.424423885</v>
      </c>
      <c r="F593" t="n">
        <v>0</v>
      </c>
    </row>
    <row r="594">
      <c r="A594" t="inlineStr">
        <is>
          <t>G|ORIG_BAL x ASSET_CLASS|contribution_rate|band|7</t>
        </is>
      </c>
    </row>
    <row r="595">
      <c r="A595" t="inlineStr">
        <is>
          <t>G|ORIG_BAL x ASSET_CLASS|contribution_rate|meta</t>
        </is>
      </c>
      <c r="B595" t="inlineStr">
        <is>
          <t>pts</t>
        </is>
      </c>
      <c r="C595" t="n">
        <v>2.608827017</v>
      </c>
      <c r="D595" t="n">
        <v>10</v>
      </c>
    </row>
    <row r="596">
      <c r="A596" t="inlineStr">
        <is>
          <t>G|FICO x CHANNEL / REV_DEBT|cols</t>
        </is>
      </c>
      <c r="B596" t="inlineStr">
        <is>
          <t>Branch · high</t>
        </is>
      </c>
      <c r="C596" t="inlineStr">
        <is>
          <t>Branch · low</t>
        </is>
      </c>
      <c r="D596" t="inlineStr">
        <is>
          <t>Broker · high</t>
        </is>
      </c>
      <c r="E596" t="inlineStr">
        <is>
          <t>Broker · low</t>
        </is>
      </c>
      <c r="F596" t="inlineStr">
        <is>
          <t>Online · high</t>
        </is>
      </c>
      <c r="G596" t="inlineStr">
        <is>
          <t>Online · low</t>
        </is>
      </c>
      <c r="H596" t="inlineStr">
        <is>
          <t>All</t>
        </is>
      </c>
    </row>
    <row r="597">
      <c r="A597" t="inlineStr">
        <is>
          <t>G|FICO x CHANNEL / REV_DEBT|rows</t>
        </is>
      </c>
      <c r="B597" t="inlineStr">
        <is>
          <t>496 - 653</t>
        </is>
      </c>
      <c r="C597" t="inlineStr">
        <is>
          <t>654 - 685</t>
        </is>
      </c>
      <c r="D597" t="inlineStr">
        <is>
          <t>686 - 711</t>
        </is>
      </c>
      <c r="E597" t="inlineStr">
        <is>
          <t>712 - 745</t>
        </is>
      </c>
      <c r="F597" t="inlineStr">
        <is>
          <t>746 - 921</t>
        </is>
      </c>
      <c r="G597" t="inlineStr">
        <is>
          <t>(blank)</t>
        </is>
      </c>
      <c r="H597" t="inlineStr">
        <is>
          <t>(marked missing)</t>
        </is>
      </c>
      <c r="I597" t="inlineStr">
        <is>
          <t>All</t>
        </is>
      </c>
    </row>
    <row r="598">
      <c r="A598" t="inlineStr">
        <is>
          <t>G|FICO x CHANNEL / REV_DEBT|names</t>
        </is>
      </c>
      <c r="B598" t="inlineStr">
        <is>
          <t>FICO</t>
        </is>
      </c>
      <c r="C598" t="inlineStr">
        <is>
          <t>CHANNEL / REV_DEBT</t>
        </is>
      </c>
    </row>
    <row r="599">
      <c r="A599" t="inlineStr">
        <is>
          <t>G|FICO x CHANNEL / REV_DEBT|total</t>
        </is>
      </c>
      <c r="B599" t="n">
        <v>8000</v>
      </c>
    </row>
    <row r="600">
      <c r="A600" t="inlineStr">
        <is>
          <t>G|FICO x CHANNEL / REV_DEBT|loans|1</t>
        </is>
      </c>
      <c r="B600" t="n">
        <v>251</v>
      </c>
      <c r="C600" t="n">
        <v>251</v>
      </c>
      <c r="D600" t="n">
        <v>261</v>
      </c>
      <c r="E600" t="n">
        <v>262</v>
      </c>
      <c r="F600" t="n">
        <v>265</v>
      </c>
      <c r="G600" t="n">
        <v>266</v>
      </c>
      <c r="H600" t="n">
        <v>1556</v>
      </c>
    </row>
    <row r="601">
      <c r="A601" t="inlineStr">
        <is>
          <t>G|FICO x CHANNEL / REV_DEBT|loans|2</t>
        </is>
      </c>
      <c r="B601" t="n">
        <v>251</v>
      </c>
      <c r="C601" t="n">
        <v>252</v>
      </c>
      <c r="D601" t="n">
        <v>265</v>
      </c>
      <c r="E601" t="n">
        <v>266</v>
      </c>
      <c r="F601" t="n">
        <v>252</v>
      </c>
      <c r="G601" t="n">
        <v>253</v>
      </c>
      <c r="H601" t="n">
        <v>1539</v>
      </c>
    </row>
    <row r="602">
      <c r="A602" t="inlineStr">
        <is>
          <t>G|FICO x CHANNEL / REV_DEBT|loans|3</t>
        </is>
      </c>
      <c r="B602" t="n">
        <v>257</v>
      </c>
      <c r="C602" t="n">
        <v>258</v>
      </c>
      <c r="D602" t="n">
        <v>250</v>
      </c>
      <c r="E602" t="n">
        <v>251</v>
      </c>
      <c r="F602" t="n">
        <v>273</v>
      </c>
      <c r="G602" t="n">
        <v>273</v>
      </c>
      <c r="H602" t="n">
        <v>1562</v>
      </c>
    </row>
    <row r="603">
      <c r="A603" t="inlineStr">
        <is>
          <t>G|FICO x CHANNEL / REV_DEBT|loans|4</t>
        </is>
      </c>
      <c r="B603" t="n">
        <v>269</v>
      </c>
      <c r="C603" t="n">
        <v>269</v>
      </c>
      <c r="D603" t="n">
        <v>254</v>
      </c>
      <c r="E603" t="n">
        <v>255</v>
      </c>
      <c r="F603" t="n">
        <v>282</v>
      </c>
      <c r="G603" t="n">
        <v>282</v>
      </c>
      <c r="H603" t="n">
        <v>1611</v>
      </c>
    </row>
    <row r="604">
      <c r="A604" t="inlineStr">
        <is>
          <t>G|FICO x CHANNEL / REV_DEBT|loans|5</t>
        </is>
      </c>
      <c r="B604" t="n">
        <v>259</v>
      </c>
      <c r="C604" t="n">
        <v>259</v>
      </c>
      <c r="D604" t="n">
        <v>268</v>
      </c>
      <c r="E604" t="n">
        <v>268</v>
      </c>
      <c r="F604" t="n">
        <v>258</v>
      </c>
      <c r="G604" t="n">
        <v>259</v>
      </c>
      <c r="H604" t="n">
        <v>1571</v>
      </c>
    </row>
    <row r="605">
      <c r="A605" t="inlineStr">
        <is>
          <t>G|FICO x CHANNEL / REV_DEBT|loans|6</t>
        </is>
      </c>
      <c r="E605" t="n">
        <v>1</v>
      </c>
      <c r="H605" t="n">
        <v>1</v>
      </c>
    </row>
    <row r="606">
      <c r="A606" t="inlineStr">
        <is>
          <t>G|FICO x CHANNEL / REV_DEBT|loans|7</t>
        </is>
      </c>
      <c r="B606" t="n">
        <v>25</v>
      </c>
      <c r="C606" t="n">
        <v>26</v>
      </c>
      <c r="D606" t="n">
        <v>27</v>
      </c>
      <c r="E606" t="n">
        <v>27</v>
      </c>
      <c r="F606" t="n">
        <v>27</v>
      </c>
      <c r="G606" t="n">
        <v>28</v>
      </c>
      <c r="H606" t="n">
        <v>160</v>
      </c>
    </row>
    <row r="607">
      <c r="A607" t="inlineStr">
        <is>
          <t>G|FICO x CHANNEL / REV_DEBT|loans|8</t>
        </is>
      </c>
      <c r="B607" t="n">
        <v>1312</v>
      </c>
      <c r="C607" t="n">
        <v>1315</v>
      </c>
      <c r="D607" t="n">
        <v>1325</v>
      </c>
      <c r="E607" t="n">
        <v>1330</v>
      </c>
      <c r="F607" t="n">
        <v>1357</v>
      </c>
      <c r="G607" t="n">
        <v>1361</v>
      </c>
      <c r="H607" t="n">
        <v>8000</v>
      </c>
    </row>
    <row r="608">
      <c r="A608" t="inlineStr">
        <is>
          <t>G|FICO x CHANNEL / REV_DEBT|outcome_loans|rate|1</t>
        </is>
      </c>
      <c r="B608" t="n">
        <v>0.1434262948207171</v>
      </c>
      <c r="C608" t="n">
        <v>0.06</v>
      </c>
      <c r="D608" t="n">
        <v>0.3563218390804598</v>
      </c>
      <c r="E608" t="n">
        <v>0.133587786259542</v>
      </c>
      <c r="F608" t="n">
        <v>0.1283018867924528</v>
      </c>
      <c r="G608" t="n">
        <v>0.07894736842105263</v>
      </c>
      <c r="H608" t="n">
        <v>0.1504823151125402</v>
      </c>
    </row>
    <row r="609">
      <c r="A609" t="inlineStr">
        <is>
          <t>G|FICO x CHANNEL / REV_DEBT|outcome_loans|book|1</t>
        </is>
      </c>
      <c r="B609" t="n">
        <v>1.853419922893241</v>
      </c>
      <c r="C609" t="n">
        <v>0.7753473344103392</v>
      </c>
      <c r="D609" t="n">
        <v>4.604553135387072</v>
      </c>
      <c r="E609" t="n">
        <v>1.7262822331019</v>
      </c>
      <c r="F609" t="n">
        <v>1.657975432072424</v>
      </c>
      <c r="G609" t="n">
        <v>1.020193861066236</v>
      </c>
      <c r="H609" t="n">
        <v>1.944601031640079</v>
      </c>
    </row>
    <row r="610">
      <c r="A610" t="inlineStr">
        <is>
          <t>G|FICO x CHANNEL / REV_DEBT|outcome_loans|band|1</t>
        </is>
      </c>
      <c r="B610" t="n">
        <v>0.9445852951829048</v>
      </c>
      <c r="C610" t="n">
        <v>0.3575342465753424</v>
      </c>
      <c r="D610" t="n">
        <v>3.270074182766773</v>
      </c>
      <c r="E610" t="n">
        <v>0.8679849629828532</v>
      </c>
      <c r="F610" t="n">
        <v>0.8275471698113208</v>
      </c>
      <c r="G610" t="n">
        <v>0.477761304670126</v>
      </c>
    </row>
    <row r="611">
      <c r="A611" t="inlineStr">
        <is>
          <t>G|FICO x CHANNEL / REV_DEBT|outcome_loans|rate|2</t>
        </is>
      </c>
      <c r="B611" t="n">
        <v>0.1035856573705179</v>
      </c>
      <c r="C611" t="n">
        <v>0.07539682539682539</v>
      </c>
      <c r="D611" t="n">
        <v>0.1207547169811321</v>
      </c>
      <c r="E611" t="n">
        <v>0.04135338345864661</v>
      </c>
      <c r="F611" t="n">
        <v>0.1150793650793651</v>
      </c>
      <c r="G611" t="n">
        <v>0.05138339920948617</v>
      </c>
      <c r="H611" t="n">
        <v>0.08447043534762833</v>
      </c>
    </row>
    <row r="612">
      <c r="A612" t="inlineStr">
        <is>
          <t>G|FICO x CHANNEL / REV_DEBT|outcome_loans|book|2</t>
        </is>
      </c>
      <c r="B612" t="n">
        <v>1.338581055422897</v>
      </c>
      <c r="C612" t="n">
        <v>0.9743121265738389</v>
      </c>
      <c r="D612" t="n">
        <v>1.560447465479928</v>
      </c>
      <c r="E612" t="n">
        <v>0.5343872605585045</v>
      </c>
      <c r="F612" t="n">
        <v>1.487107982665333</v>
      </c>
      <c r="G612" t="n">
        <v>0.6639996935002905</v>
      </c>
      <c r="H612" t="n">
        <v>1.091565448054409</v>
      </c>
    </row>
    <row r="613">
      <c r="A613" t="inlineStr">
        <is>
          <t>G|FICO x CHANNEL / REV_DEBT|outcome_loans|band|2</t>
        </is>
      </c>
      <c r="B613" t="n">
        <v>1.282868525896414</v>
      </c>
      <c r="C613" t="n">
        <v>0.8741956241956242</v>
      </c>
      <c r="D613" t="n">
        <v>1.569811320754717</v>
      </c>
      <c r="E613" t="n">
        <v>0.4423769507803121</v>
      </c>
      <c r="F613" t="n">
        <v>1.466407355021216</v>
      </c>
      <c r="G613" t="n">
        <v>0.56477821695213</v>
      </c>
    </row>
    <row r="614">
      <c r="A614" t="inlineStr">
        <is>
          <t>G|FICO x CHANNEL / REV_DEBT|outcome_loans|rate|3</t>
        </is>
      </c>
      <c r="B614" t="n">
        <v>0.07392996108949416</v>
      </c>
      <c r="C614" t="n">
        <v>0.03488372093023256</v>
      </c>
      <c r="D614" t="n">
        <v>0.068</v>
      </c>
      <c r="E614" t="n">
        <v>0.03585657370517929</v>
      </c>
      <c r="F614" t="n">
        <v>0.1172161172161172</v>
      </c>
      <c r="G614" t="n">
        <v>0.03663003663003663</v>
      </c>
      <c r="H614" t="n">
        <v>0.06145966709346991</v>
      </c>
    </row>
    <row r="615">
      <c r="A615" t="inlineStr">
        <is>
          <t>G|FICO x CHANNEL / REV_DEBT|outcome_loans|book|3</t>
        </is>
      </c>
      <c r="B615" t="n">
        <v>0.95535663772999</v>
      </c>
      <c r="D615" t="n">
        <v>0.8787269789983845</v>
      </c>
      <c r="F615" t="n">
        <v>1.514720067224106</v>
      </c>
      <c r="G615" t="n">
        <v>0.4733500210075332</v>
      </c>
      <c r="H615" t="n">
        <v>0.7942098175778123</v>
      </c>
    </row>
    <row r="616">
      <c r="A616" t="inlineStr">
        <is>
          <t>G|FICO x CHANNEL / REV_DEBT|outcome_loans|band|3</t>
        </is>
      </c>
      <c r="B616" t="n">
        <v>1.252968821062206</v>
      </c>
      <c r="D616" t="n">
        <v>1.129316455696203</v>
      </c>
      <c r="F616" t="n">
        <v>2.360805860805861</v>
      </c>
      <c r="G616" t="n">
        <v>0.5490246187920607</v>
      </c>
    </row>
    <row r="617">
      <c r="A617" t="inlineStr">
        <is>
          <t>G|FICO x CHANNEL / REV_DEBT|outcome_loans|rate|4</t>
        </is>
      </c>
      <c r="B617" t="n">
        <v>0.05576208178438662</v>
      </c>
      <c r="C617" t="n">
        <v>0.02602230483271376</v>
      </c>
      <c r="D617" t="n">
        <v>0.02755905511811024</v>
      </c>
      <c r="E617" t="n">
        <v>0.03529411764705882</v>
      </c>
      <c r="F617" t="n">
        <v>0.1063829787234043</v>
      </c>
      <c r="G617" t="n">
        <v>0.0673758865248227</v>
      </c>
      <c r="H617" t="n">
        <v>0.05400372439478585</v>
      </c>
    </row>
    <row r="618">
      <c r="A618" t="inlineStr">
        <is>
          <t>G|FICO x CHANNEL / REV_DEBT|outcome_loans|book|4</t>
        </is>
      </c>
      <c r="B618" t="n">
        <v>0.720583024544925</v>
      </c>
      <c r="F618" t="n">
        <v>1.374729316330389</v>
      </c>
      <c r="G618" t="n">
        <v>0.8706619003425795</v>
      </c>
      <c r="H618" t="n">
        <v>0.6978607292954636</v>
      </c>
    </row>
    <row r="619">
      <c r="A619" t="inlineStr">
        <is>
          <t>G|FICO x CHANNEL / REV_DEBT|outcome_loans|band|4</t>
        </is>
      </c>
      <c r="B619" t="n">
        <v>1.039343246592317</v>
      </c>
      <c r="F619" t="n">
        <v>2.48040313549832</v>
      </c>
      <c r="G619" t="n">
        <v>1.31680225281602</v>
      </c>
    </row>
    <row r="620">
      <c r="A620" t="inlineStr">
        <is>
          <t>G|FICO x CHANNEL / REV_DEBT|outcome_loans|rate|5</t>
        </is>
      </c>
      <c r="B620" t="n">
        <v>0.05019305019305019</v>
      </c>
      <c r="C620" t="n">
        <v>0.03861003861003861</v>
      </c>
      <c r="D620" t="n">
        <v>0.05223880597014925</v>
      </c>
      <c r="E620" t="n">
        <v>0.02238805970149254</v>
      </c>
      <c r="F620" t="n">
        <v>0.03875968992248062</v>
      </c>
      <c r="G620" t="n">
        <v>0.03474903474903475</v>
      </c>
      <c r="H620" t="n">
        <v>0.03946530872056015</v>
      </c>
    </row>
    <row r="621">
      <c r="A621" t="inlineStr">
        <is>
          <t>G|FICO x CHANNEL / REV_DEBT|outcome_loans|book|5</t>
        </is>
      </c>
      <c r="B621" t="n">
        <v>0.6486174612184304</v>
      </c>
      <c r="C621" t="n">
        <v>0.4989365086295619</v>
      </c>
      <c r="D621" t="n">
        <v>0.6750536493622357</v>
      </c>
      <c r="F621" t="n">
        <v>0.5008703710661107</v>
      </c>
      <c r="H621" t="n">
        <v>0.5099886986361238</v>
      </c>
    </row>
    <row r="622">
      <c r="A622" t="inlineStr">
        <is>
          <t>G|FICO x CHANNEL / REV_DEBT|outcome_loans|band|5</t>
        </is>
      </c>
      <c r="B622" t="n">
        <v>1.343944527617997</v>
      </c>
      <c r="C622" t="n">
        <v>0.9741609741609741</v>
      </c>
      <c r="D622" t="n">
        <v>1.41806592039801</v>
      </c>
      <c r="F622" t="n">
        <v>0.9786821705426356</v>
      </c>
    </row>
    <row r="623">
      <c r="A623" t="inlineStr">
        <is>
          <t>G|FICO x CHANNEL / REV_DEBT|outcome_loans|rate|6</t>
        </is>
      </c>
      <c r="E623" t="n">
        <v>0</v>
      </c>
      <c r="H623" t="n">
        <v>0</v>
      </c>
    </row>
    <row r="624">
      <c r="A624" t="inlineStr">
        <is>
          <t>G|FICO x CHANNEL / REV_DEBT|outcome_loans|book|6</t>
        </is>
      </c>
    </row>
    <row r="625">
      <c r="A625" t="inlineStr">
        <is>
          <t>G|FICO x CHANNEL / REV_DEBT|outcome_loans|band|6</t>
        </is>
      </c>
    </row>
    <row r="626">
      <c r="A626" t="inlineStr">
        <is>
          <t>G|FICO x CHANNEL / REV_DEBT|outcome_loans|rate|7</t>
        </is>
      </c>
      <c r="B626" t="n">
        <v>0.04</v>
      </c>
      <c r="C626" t="n">
        <v>0</v>
      </c>
      <c r="D626" t="n">
        <v>0.2222222222222222</v>
      </c>
      <c r="E626" t="n">
        <v>0.03703703703703703</v>
      </c>
      <c r="F626" t="n">
        <v>0.03703703703703703</v>
      </c>
      <c r="G626" t="n">
        <v>0.03571428571428571</v>
      </c>
      <c r="H626" t="n">
        <v>0.0625</v>
      </c>
    </row>
    <row r="627">
      <c r="A627" t="inlineStr">
        <is>
          <t>G|FICO x CHANNEL / REV_DEBT|outcome_loans|book|7</t>
        </is>
      </c>
      <c r="H627" t="n">
        <v>0.8076534733441034</v>
      </c>
    </row>
    <row r="628">
      <c r="A628" t="inlineStr">
        <is>
          <t>G|FICO x CHANNEL / REV_DEBT|outcome_loans|band|7</t>
        </is>
      </c>
    </row>
    <row r="629">
      <c r="A629" t="inlineStr">
        <is>
          <t>G|FICO x CHANNEL / REV_DEBT|outcome_loans|rate|8</t>
        </is>
      </c>
      <c r="B629" t="n">
        <v>0.08384146341463415</v>
      </c>
      <c r="C629" t="n">
        <v>0.045662100456621</v>
      </c>
      <c r="D629" t="n">
        <v>0.1275471698113207</v>
      </c>
      <c r="E629" t="n">
        <v>0.05338345864661654</v>
      </c>
      <c r="F629" t="n">
        <v>0.1002210759027266</v>
      </c>
      <c r="G629" t="n">
        <v>0.05363703159441587</v>
      </c>
      <c r="H629" t="n">
        <v>0.07738467308413552</v>
      </c>
    </row>
    <row r="630">
      <c r="A630" t="inlineStr">
        <is>
          <t>G|FICO x CHANNEL / REV_DEBT|outcome_loans|book|8</t>
        </is>
      </c>
      <c r="B630" t="n">
        <v>1.083437586193309</v>
      </c>
      <c r="C630" t="n">
        <v>0.5900664645436371</v>
      </c>
      <c r="D630" t="n">
        <v>1.648222635413174</v>
      </c>
      <c r="E630" t="n">
        <v>0.6898453727209785</v>
      </c>
      <c r="F630" t="n">
        <v>1.295102400881923</v>
      </c>
      <c r="G630" t="n">
        <v>0.6931221578735582</v>
      </c>
      <c r="H630" t="n">
        <v>1</v>
      </c>
    </row>
    <row r="631">
      <c r="A631" t="inlineStr">
        <is>
          <t>G|FICO x CHANNEL / REV_DEBT|outcome_loans|band|8</t>
        </is>
      </c>
    </row>
    <row r="632">
      <c r="A632" t="inlineStr">
        <is>
          <t>G|FICO x CHANNEL / REV_DEBT|outcome_loans|meta</t>
        </is>
      </c>
      <c r="B632" t="inlineStr">
        <is>
          <t>x</t>
        </is>
      </c>
      <c r="C632" t="n">
        <v>4.604553135387072</v>
      </c>
      <c r="D632" t="n">
        <v>10</v>
      </c>
    </row>
    <row r="633">
      <c r="A633" t="inlineStr">
        <is>
          <t>G|FICO x CHANNEL / REV_DEBT|outcome_booked|rate|1</t>
        </is>
      </c>
      <c r="B633" t="n">
        <v>0.1536189737879834</v>
      </c>
      <c r="C633" t="n">
        <v>0.05414735545862832</v>
      </c>
      <c r="D633" t="n">
        <v>0.336136758977735</v>
      </c>
      <c r="E633" t="n">
        <v>0.1591020513998018</v>
      </c>
      <c r="F633" t="n">
        <v>0.132862358963367</v>
      </c>
      <c r="G633" t="n">
        <v>0.06492405469187032</v>
      </c>
      <c r="H633" t="n">
        <v>0.1491655756309188</v>
      </c>
    </row>
    <row r="634">
      <c r="A634" t="inlineStr">
        <is>
          <t>G|FICO x CHANNEL / REV_DEBT|outcome_booked|book|1</t>
        </is>
      </c>
      <c r="B634" t="n">
        <v>2.052937278306558</v>
      </c>
      <c r="C634" t="n">
        <v>0.72361585162099</v>
      </c>
      <c r="D634" t="n">
        <v>4.492073251751654</v>
      </c>
      <c r="E634" t="n">
        <v>2.126212174965388</v>
      </c>
      <c r="F634" t="n">
        <v>1.775549483725164</v>
      </c>
      <c r="G634" t="n">
        <v>0.8676337879961826</v>
      </c>
      <c r="H634" t="n">
        <v>1.993422839000396</v>
      </c>
    </row>
    <row r="635">
      <c r="A635" t="inlineStr">
        <is>
          <t>G|FICO x CHANNEL / REV_DEBT|outcome_booked|band|1</t>
        </is>
      </c>
      <c r="B635" t="n">
        <v>1.035686103285891</v>
      </c>
      <c r="C635" t="n">
        <v>0.322984675885934</v>
      </c>
      <c r="D635" t="n">
        <v>2.984242372177677</v>
      </c>
      <c r="E635" t="n">
        <v>1.08164475512421</v>
      </c>
      <c r="F635" t="n">
        <v>0.8716116761498696</v>
      </c>
      <c r="G635" t="n">
        <v>0.388535677843638</v>
      </c>
    </row>
    <row r="636">
      <c r="A636" t="inlineStr">
        <is>
          <t>G|FICO x CHANNEL / REV_DEBT|outcome_booked|rate|2</t>
        </is>
      </c>
      <c r="B636" t="n">
        <v>0.1068964968323921</v>
      </c>
      <c r="C636" t="n">
        <v>0.06750312638298399</v>
      </c>
      <c r="D636" t="n">
        <v>0.1213724619138242</v>
      </c>
      <c r="E636" t="n">
        <v>0.03174469803109126</v>
      </c>
      <c r="F636" t="n">
        <v>0.1155211052682056</v>
      </c>
      <c r="G636" t="n">
        <v>0.0412233826955352</v>
      </c>
      <c r="H636" t="n">
        <v>0.07985779590889651</v>
      </c>
    </row>
    <row r="637">
      <c r="A637" t="inlineStr">
        <is>
          <t>G|FICO x CHANNEL / REV_DEBT|outcome_booked|book|2</t>
        </is>
      </c>
      <c r="B637" t="n">
        <v>1.428546213116044</v>
      </c>
      <c r="C637" t="n">
        <v>0.9021000540280063</v>
      </c>
      <c r="D637" t="n">
        <v>1.622000495632939</v>
      </c>
      <c r="E637" t="n">
        <v>0.4242306296522718</v>
      </c>
      <c r="F637" t="n">
        <v>1.543803981945534</v>
      </c>
      <c r="G637" t="n">
        <v>0.5509021248271198</v>
      </c>
      <c r="H637" t="n">
        <v>1.067205711262177</v>
      </c>
    </row>
    <row r="638">
      <c r="A638" t="inlineStr">
        <is>
          <t>G|FICO x CHANNEL / REV_DEBT|outcome_booked|band|2</t>
        </is>
      </c>
      <c r="B638" t="n">
        <v>1.428032806802565</v>
      </c>
      <c r="C638" t="n">
        <v>0.819030802748909</v>
      </c>
      <c r="D638" t="n">
        <v>1.708709647934587</v>
      </c>
      <c r="E638" t="n">
        <v>0.3522826856359711</v>
      </c>
      <c r="F638" t="n">
        <v>1.575184781023838</v>
      </c>
      <c r="G638" t="n">
        <v>0.4706727986938429</v>
      </c>
    </row>
    <row r="639">
      <c r="A639" t="inlineStr">
        <is>
          <t>G|FICO x CHANNEL / REV_DEBT|outcome_booked|rate|3</t>
        </is>
      </c>
      <c r="B639" t="n">
        <v>0.06394970368009818</v>
      </c>
      <c r="C639" t="n">
        <v>0.02673369397622367</v>
      </c>
      <c r="D639" t="n">
        <v>0.0672155948903109</v>
      </c>
      <c r="E639" t="n">
        <v>0.0249998603412748</v>
      </c>
      <c r="F639" t="n">
        <v>0.111918803604827</v>
      </c>
      <c r="G639" t="n">
        <v>0.04280670075250181</v>
      </c>
      <c r="H639" t="n">
        <v>0.05686223568965073</v>
      </c>
    </row>
    <row r="640">
      <c r="A640" t="inlineStr">
        <is>
          <t>G|FICO x CHANNEL / REV_DEBT|outcome_booked|book|3</t>
        </is>
      </c>
      <c r="B640" t="n">
        <v>0.8546127303436077</v>
      </c>
      <c r="D640" t="n">
        <v>0.8982575331112191</v>
      </c>
      <c r="F640" t="n">
        <v>1.495663448324587</v>
      </c>
      <c r="G640" t="n">
        <v>0.5720613122791123</v>
      </c>
      <c r="H640" t="n">
        <v>0.7598970393868686</v>
      </c>
    </row>
    <row r="641">
      <c r="A641" t="inlineStr">
        <is>
          <t>G|FICO x CHANNEL / REV_DEBT|outcome_booked|band|3</t>
        </is>
      </c>
      <c r="B641" t="n">
        <v>1.152457305785378</v>
      </c>
      <c r="D641" t="n">
        <v>1.225524719414166</v>
      </c>
      <c r="F641" t="n">
        <v>2.484332954534354</v>
      </c>
      <c r="G641" t="n">
        <v>0.7166554141740161</v>
      </c>
    </row>
    <row r="642">
      <c r="A642" t="inlineStr">
        <is>
          <t>G|FICO x CHANNEL / REV_DEBT|outcome_booked|rate|4</t>
        </is>
      </c>
      <c r="B642" t="n">
        <v>0.05929734182689707</v>
      </c>
      <c r="C642" t="n">
        <v>0.02216499367326764</v>
      </c>
      <c r="D642" t="n">
        <v>0.03740820656933998</v>
      </c>
      <c r="E642" t="n">
        <v>0.03353957594842302</v>
      </c>
      <c r="F642" t="n">
        <v>0.1056496356580236</v>
      </c>
      <c r="G642" t="n">
        <v>0.06146309741883505</v>
      </c>
      <c r="H642" t="n">
        <v>0.05451749193722221</v>
      </c>
    </row>
    <row r="643">
      <c r="A643" t="inlineStr">
        <is>
          <t>G|FICO x CHANNEL / REV_DEBT|outcome_booked|book|4</t>
        </is>
      </c>
      <c r="B643" t="n">
        <v>0.7924393747671687</v>
      </c>
      <c r="F643" t="n">
        <v>1.411883376992252</v>
      </c>
      <c r="G643" t="n">
        <v>0.821382156252786</v>
      </c>
      <c r="H643" t="n">
        <v>0.7285622912191039</v>
      </c>
    </row>
    <row r="644">
      <c r="A644" t="inlineStr">
        <is>
          <t>G|FICO x CHANNEL / REV_DEBT|outcome_booked|band|4</t>
        </is>
      </c>
      <c r="B644" t="n">
        <v>1.106956313035407</v>
      </c>
      <c r="F644" t="n">
        <v>2.430951560061628</v>
      </c>
      <c r="G644" t="n">
        <v>1.160196054946808</v>
      </c>
    </row>
    <row r="645">
      <c r="A645" t="inlineStr">
        <is>
          <t>G|FICO x CHANNEL / REV_DEBT|outcome_booked|rate|5</t>
        </is>
      </c>
      <c r="B645" t="n">
        <v>0.04412875764521366</v>
      </c>
      <c r="C645" t="n">
        <v>0.03769867338847042</v>
      </c>
      <c r="D645" t="n">
        <v>0.05113325141591655</v>
      </c>
      <c r="E645" t="n">
        <v>0.0181043704024653</v>
      </c>
      <c r="F645" t="n">
        <v>0.03612042941967695</v>
      </c>
      <c r="G645" t="n">
        <v>0.03585055588587322</v>
      </c>
      <c r="H645" t="n">
        <v>0.03682990751373654</v>
      </c>
    </row>
    <row r="646">
      <c r="A646" t="inlineStr">
        <is>
          <t>G|FICO x CHANNEL / REV_DEBT|outcome_booked|book|5</t>
        </is>
      </c>
      <c r="B646" t="n">
        <v>0.5897290509194976</v>
      </c>
      <c r="C646" t="n">
        <v>0.5037985219762499</v>
      </c>
      <c r="D646" t="n">
        <v>0.683335888818234</v>
      </c>
      <c r="F646" t="n">
        <v>0.4827071437571092</v>
      </c>
      <c r="H646" t="n">
        <v>0.4921884857523176</v>
      </c>
    </row>
    <row r="647">
      <c r="A647" t="inlineStr">
        <is>
          <t>G|FICO x CHANNEL / REV_DEBT|outcome_booked|band|5</t>
        </is>
      </c>
      <c r="B647" t="n">
        <v>1.246851560495764</v>
      </c>
      <c r="C647" t="n">
        <v>1.028243535215503</v>
      </c>
      <c r="D647" t="n">
        <v>1.499442581014647</v>
      </c>
      <c r="F647" t="n">
        <v>0.9767721074710733</v>
      </c>
    </row>
    <row r="648">
      <c r="A648" t="inlineStr">
        <is>
          <t>G|FICO x CHANNEL / REV_DEBT|outcome_booked|rate|6</t>
        </is>
      </c>
      <c r="E648" t="n">
        <v>0</v>
      </c>
      <c r="H648" t="n">
        <v>0</v>
      </c>
    </row>
    <row r="649">
      <c r="A649" t="inlineStr">
        <is>
          <t>G|FICO x CHANNEL / REV_DEBT|outcome_booked|book|6</t>
        </is>
      </c>
    </row>
    <row r="650">
      <c r="A650" t="inlineStr">
        <is>
          <t>G|FICO x CHANNEL / REV_DEBT|outcome_booked|band|6</t>
        </is>
      </c>
    </row>
    <row r="651">
      <c r="A651" t="inlineStr">
        <is>
          <t>G|FICO x CHANNEL / REV_DEBT|outcome_booked|rate|7</t>
        </is>
      </c>
      <c r="B651" t="n">
        <v>0.03550611715967648</v>
      </c>
      <c r="C651" t="n">
        <v>0</v>
      </c>
      <c r="D651" t="n">
        <v>0.1711055954328356</v>
      </c>
      <c r="E651" t="n">
        <v>0.03502773714479442</v>
      </c>
      <c r="F651" t="n">
        <v>0.008828812794374075</v>
      </c>
      <c r="G651" t="n">
        <v>0.04697586101325057</v>
      </c>
      <c r="H651" t="n">
        <v>0.04815037624246447</v>
      </c>
    </row>
    <row r="652">
      <c r="A652" t="inlineStr">
        <is>
          <t>G|FICO x CHANNEL / REV_DEBT|outcome_booked|book|7</t>
        </is>
      </c>
      <c r="H652" t="n">
        <v>0.6434732631990416</v>
      </c>
    </row>
    <row r="653">
      <c r="A653" t="inlineStr">
        <is>
          <t>G|FICO x CHANNEL / REV_DEBT|outcome_booked|band|7</t>
        </is>
      </c>
    </row>
    <row r="654">
      <c r="A654" t="inlineStr">
        <is>
          <t>G|FICO x CHANNEL / REV_DEBT|outcome_booked|rate|8</t>
        </is>
      </c>
      <c r="B654" t="n">
        <v>0.08378558379582209</v>
      </c>
      <c r="C654" t="n">
        <v>0.04082828163295662</v>
      </c>
      <c r="D654" t="n">
        <v>0.1244396724191699</v>
      </c>
      <c r="E654" t="n">
        <v>0.05352604545127974</v>
      </c>
      <c r="F654" t="n">
        <v>0.09807215250739602</v>
      </c>
      <c r="G654" t="n">
        <v>0.04969588979811654</v>
      </c>
      <c r="H654" t="n">
        <v>0.07482886857347225</v>
      </c>
    </row>
    <row r="655">
      <c r="A655" t="inlineStr">
        <is>
          <t>G|FICO x CHANNEL / REV_DEBT|outcome_booked|book|8</t>
        </is>
      </c>
      <c r="B655" t="n">
        <v>1.119695986229638</v>
      </c>
      <c r="C655" t="n">
        <v>0.5456220628655969</v>
      </c>
      <c r="D655" t="n">
        <v>1.662990163976435</v>
      </c>
      <c r="E655" t="n">
        <v>0.7153127726196212</v>
      </c>
      <c r="F655" t="n">
        <v>1.310619208562558</v>
      </c>
      <c r="G655" t="n">
        <v>0.6641272378630388</v>
      </c>
      <c r="H655" t="n">
        <v>0.9999999999999987</v>
      </c>
    </row>
    <row r="656">
      <c r="A656" t="inlineStr">
        <is>
          <t>G|FICO x CHANNEL / REV_DEBT|outcome_booked|band|8</t>
        </is>
      </c>
    </row>
    <row r="657">
      <c r="A657" t="inlineStr">
        <is>
          <t>G|FICO x CHANNEL / REV_DEBT|outcome_booked|meta</t>
        </is>
      </c>
      <c r="B657" t="inlineStr">
        <is>
          <t>x</t>
        </is>
      </c>
      <c r="C657" t="n">
        <v>4.492073251751654</v>
      </c>
      <c r="D657" t="n">
        <v>10</v>
      </c>
    </row>
    <row r="658">
      <c r="A658" t="inlineStr">
        <is>
          <t>G|FICO x CHANNEL / REV_DEBT|gco_rate|rate|1</t>
        </is>
      </c>
      <c r="B658" t="n">
        <v>0.08150011422684825</v>
      </c>
      <c r="C658" t="n">
        <v>0.0269755307841483</v>
      </c>
      <c r="D658" t="n">
        <v>0.1924677768239104</v>
      </c>
      <c r="E658" t="n">
        <v>0.09360605654786618</v>
      </c>
      <c r="F658" t="n">
        <v>0.0733555065457564</v>
      </c>
      <c r="G658" t="n">
        <v>0.03595430780342516</v>
      </c>
      <c r="H658" t="n">
        <v>0.08345255929305034</v>
      </c>
    </row>
    <row r="659">
      <c r="A659" t="inlineStr">
        <is>
          <t>G|FICO x CHANNEL / REV_DEBT|gco_rate|book|1</t>
        </is>
      </c>
      <c r="B659" t="n">
        <v>1.958889423583303</v>
      </c>
      <c r="C659" t="n">
        <v>0.6483681949393681</v>
      </c>
      <c r="D659" t="n">
        <v>4.626043729847294</v>
      </c>
      <c r="E659" t="n">
        <v>2.249860824054537</v>
      </c>
      <c r="F659" t="n">
        <v>1.76313036242029</v>
      </c>
      <c r="G659" t="n">
        <v>0.8641768659655025</v>
      </c>
      <c r="H659" t="n">
        <v>2.005817259532897</v>
      </c>
    </row>
    <row r="660">
      <c r="A660" t="inlineStr">
        <is>
          <t>G|FICO x CHANNEL / REV_DEBT|gco_rate|band|1</t>
        </is>
      </c>
      <c r="B660" t="n">
        <v>0.9723182419595726</v>
      </c>
      <c r="C660" t="n">
        <v>0.2854956251292415</v>
      </c>
      <c r="D660" t="n">
        <v>3.095684625974</v>
      </c>
      <c r="E660" t="n">
        <v>1.150852449792353</v>
      </c>
      <c r="F660" t="n">
        <v>0.8582162798326666</v>
      </c>
      <c r="G660" t="n">
        <v>0.3843107912920031</v>
      </c>
    </row>
    <row r="661">
      <c r="A661" t="inlineStr">
        <is>
          <t>G|FICO x CHANNEL / REV_DEBT|gco_rate|rate|2</t>
        </is>
      </c>
      <c r="B661" t="n">
        <v>0.05877590377407053</v>
      </c>
      <c r="C661" t="n">
        <v>0.04212569363671527</v>
      </c>
      <c r="D661" t="n">
        <v>0.0653009303630584</v>
      </c>
      <c r="E661" t="n">
        <v>0.01926256307406042</v>
      </c>
      <c r="F661" t="n">
        <v>0.06657029262275997</v>
      </c>
      <c r="G661" t="n">
        <v>0.02211209940385804</v>
      </c>
      <c r="H661" t="n">
        <v>0.04521453740915431</v>
      </c>
    </row>
    <row r="662">
      <c r="A662" t="inlineStr">
        <is>
          <t>G|FICO x CHANNEL / REV_DEBT|gco_rate|book|2</t>
        </is>
      </c>
      <c r="B662" t="n">
        <v>1.412703495655324</v>
      </c>
      <c r="C662" t="n">
        <v>1.012508712520159</v>
      </c>
      <c r="D662" t="n">
        <v>1.569535246077062</v>
      </c>
      <c r="E662" t="n">
        <v>0.4629837814933139</v>
      </c>
      <c r="F662" t="n">
        <v>1.600044900312688</v>
      </c>
      <c r="G662" t="n">
        <v>0.5314735821704045</v>
      </c>
      <c r="H662" t="n">
        <v>1.086750367937848</v>
      </c>
    </row>
    <row r="663">
      <c r="A663" t="inlineStr">
        <is>
          <t>G|FICO x CHANNEL / REV_DEBT|gco_rate|band|2</t>
        </is>
      </c>
      <c r="B663" t="n">
        <v>1.376299460471771</v>
      </c>
      <c r="C663" t="n">
        <v>0.9186777724967793</v>
      </c>
      <c r="D663" t="n">
        <v>1.594879816561104</v>
      </c>
      <c r="E663" t="n">
        <v>0.3795930421097626</v>
      </c>
      <c r="F663" t="n">
        <v>1.611463448498021</v>
      </c>
      <c r="G663" t="n">
        <v>0.4437098767580837</v>
      </c>
    </row>
    <row r="664">
      <c r="A664" t="inlineStr">
        <is>
          <t>G|FICO x CHANNEL / REV_DEBT|gco_rate|rate|3</t>
        </is>
      </c>
      <c r="B664" t="n">
        <v>0.03376308207333135</v>
      </c>
      <c r="C664" t="n">
        <v>0.01489746283203336</v>
      </c>
      <c r="D664" t="n">
        <v>0.03966845200544827</v>
      </c>
      <c r="E664" t="n">
        <v>0.01295971766148329</v>
      </c>
      <c r="F664" t="n">
        <v>0.06580955471535249</v>
      </c>
      <c r="G664" t="n">
        <v>0.01984117065004284</v>
      </c>
      <c r="H664" t="n">
        <v>0.03151500509362793</v>
      </c>
    </row>
    <row r="665">
      <c r="A665" t="inlineStr">
        <is>
          <t>G|FICO x CHANNEL / REV_DEBT|gco_rate|book|3</t>
        </is>
      </c>
      <c r="B665" t="n">
        <v>0.8115098366234705</v>
      </c>
      <c r="D665" t="n">
        <v>0.9534478794361748</v>
      </c>
      <c r="F665" t="n">
        <v>1.581760245682738</v>
      </c>
      <c r="G665" t="n">
        <v>0.4768908572287214</v>
      </c>
      <c r="H665" t="n">
        <v>0.757476363655755</v>
      </c>
    </row>
    <row r="666">
      <c r="A666" t="inlineStr">
        <is>
          <t>G|FICO x CHANNEL / REV_DEBT|gco_rate|band|3</t>
        </is>
      </c>
      <c r="B666" t="n">
        <v>1.086338626851793</v>
      </c>
      <c r="D666" t="n">
        <v>1.325485669164689</v>
      </c>
      <c r="F666" t="n">
        <v>2.724231933243186</v>
      </c>
      <c r="G666" t="n">
        <v>0.5853225588170431</v>
      </c>
    </row>
    <row r="667">
      <c r="A667" t="inlineStr">
        <is>
          <t>G|FICO x CHANNEL / REV_DEBT|gco_rate|rate|4</t>
        </is>
      </c>
      <c r="B667" t="n">
        <v>0.03329587438050934</v>
      </c>
      <c r="C667" t="n">
        <v>0.01209171211802789</v>
      </c>
      <c r="D667" t="n">
        <v>0.02097981175988825</v>
      </c>
      <c r="E667" t="n">
        <v>0.02054401205966685</v>
      </c>
      <c r="F667" t="n">
        <v>0.05625489135331869</v>
      </c>
      <c r="G667" t="n">
        <v>0.03433655799532023</v>
      </c>
      <c r="H667" t="n">
        <v>0.0302639717312273</v>
      </c>
    </row>
    <row r="668">
      <c r="A668" t="inlineStr">
        <is>
          <t>G|FICO x CHANNEL / REV_DEBT|gco_rate|book|4</t>
        </is>
      </c>
      <c r="B668" t="n">
        <v>0.8002803037968244</v>
      </c>
      <c r="F668" t="n">
        <v>1.352109904902955</v>
      </c>
      <c r="G668" t="n">
        <v>0.8252935709031167</v>
      </c>
      <c r="H668" t="n">
        <v>0.7274072521532199</v>
      </c>
    </row>
    <row r="669">
      <c r="A669" t="inlineStr">
        <is>
          <t>G|FICO x CHANNEL / REV_DEBT|gco_rate|band|4</t>
        </is>
      </c>
      <c r="B669" t="n">
        <v>1.122544032687435</v>
      </c>
      <c r="F669" t="n">
        <v>2.283244331918283</v>
      </c>
      <c r="G669" t="n">
        <v>1.16951994729172</v>
      </c>
    </row>
    <row r="670">
      <c r="A670" t="inlineStr">
        <is>
          <t>G|FICO x CHANNEL / REV_DEBT|gco_rate|rate|5</t>
        </is>
      </c>
      <c r="B670" t="n">
        <v>0.02551572116406029</v>
      </c>
      <c r="C670" t="n">
        <v>0.01961019355954686</v>
      </c>
      <c r="D670" t="n">
        <v>0.0280312621465384</v>
      </c>
      <c r="E670" t="n">
        <v>0.009063216873440612</v>
      </c>
      <c r="F670" t="n">
        <v>0.01670671480048458</v>
      </c>
      <c r="G670" t="n">
        <v>0.01880370111328881</v>
      </c>
      <c r="H670" t="n">
        <v>0.01940834703954903</v>
      </c>
    </row>
    <row r="671">
      <c r="A671" t="inlineStr">
        <is>
          <t>G|FICO x CHANNEL / REV_DEBT|gco_rate|book|5</t>
        </is>
      </c>
      <c r="B671" t="n">
        <v>0.6132810585302571</v>
      </c>
      <c r="C671" t="n">
        <v>0.4713392259953805</v>
      </c>
      <c r="D671" t="n">
        <v>0.6737431409691969</v>
      </c>
      <c r="F671" t="n">
        <v>0.4015528964094492</v>
      </c>
      <c r="H671" t="n">
        <v>0.4664877602402493</v>
      </c>
    </row>
    <row r="672">
      <c r="A672" t="inlineStr">
        <is>
          <t>G|FICO x CHANNEL / REV_DEBT|gco_rate|band|5</t>
        </is>
      </c>
      <c r="B672" t="n">
        <v>1.401555211020743</v>
      </c>
      <c r="C672" t="n">
        <v>1.012420720626409</v>
      </c>
      <c r="D672" t="n">
        <v>1.578025565847082</v>
      </c>
      <c r="F672" t="n">
        <v>0.8362750760357822</v>
      </c>
    </row>
    <row r="673">
      <c r="A673" t="inlineStr">
        <is>
          <t>G|FICO x CHANNEL / REV_DEBT|gco_rate|rate|6</t>
        </is>
      </c>
      <c r="E673" t="n">
        <v>0</v>
      </c>
      <c r="H673" t="n">
        <v>0</v>
      </c>
    </row>
    <row r="674">
      <c r="A674" t="inlineStr">
        <is>
          <t>G|FICO x CHANNEL / REV_DEBT|gco_rate|book|6</t>
        </is>
      </c>
    </row>
    <row r="675">
      <c r="A675" t="inlineStr">
        <is>
          <t>G|FICO x CHANNEL / REV_DEBT|gco_rate|band|6</t>
        </is>
      </c>
    </row>
    <row r="676">
      <c r="A676" t="inlineStr">
        <is>
          <t>G|FICO x CHANNEL / REV_DEBT|gco_rate|rate|7</t>
        </is>
      </c>
      <c r="B676" t="n">
        <v>0.01725542400701672</v>
      </c>
      <c r="C676" t="n">
        <v>0</v>
      </c>
      <c r="D676" t="n">
        <v>0.09131567352969819</v>
      </c>
      <c r="E676" t="n">
        <v>0.01274370603453961</v>
      </c>
      <c r="F676" t="n">
        <v>0.003764249521602246</v>
      </c>
      <c r="G676" t="n">
        <v>0.03127568282019258</v>
      </c>
      <c r="H676" t="n">
        <v>0.02551311188947889</v>
      </c>
    </row>
    <row r="677">
      <c r="A677" t="inlineStr">
        <is>
          <t>G|FICO x CHANNEL / REV_DEBT|gco_rate|book|7</t>
        </is>
      </c>
      <c r="H677" t="n">
        <v>0.6132183435214595</v>
      </c>
    </row>
    <row r="678">
      <c r="A678" t="inlineStr">
        <is>
          <t>G|FICO x CHANNEL / REV_DEBT|gco_rate|band|7</t>
        </is>
      </c>
    </row>
    <row r="679">
      <c r="A679" t="inlineStr">
        <is>
          <t>G|FICO x CHANNEL / REV_DEBT|gco_rate|rate|8</t>
        </is>
      </c>
      <c r="B679" t="n">
        <v>0.04556448944853227</v>
      </c>
      <c r="C679" t="n">
        <v>0.02272611598181003</v>
      </c>
      <c r="D679" t="n">
        <v>0.0701707518023539</v>
      </c>
      <c r="E679" t="n">
        <v>0.03095395698538307</v>
      </c>
      <c r="F679" t="n">
        <v>0.0543572497406653</v>
      </c>
      <c r="G679" t="n">
        <v>0.02661848619431711</v>
      </c>
      <c r="H679" t="n">
        <v>0.04160526533333562</v>
      </c>
    </row>
    <row r="680">
      <c r="A680" t="inlineStr">
        <is>
          <t>G|FICO x CHANNEL / REV_DEBT|gco_rate|book|8</t>
        </is>
      </c>
      <c r="B680" t="n">
        <v>1.095161611961271</v>
      </c>
      <c r="C680" t="n">
        <v>0.5462317281173794</v>
      </c>
      <c r="D680" t="n">
        <v>1.686583446593971</v>
      </c>
      <c r="E680" t="n">
        <v>0.7439913370912129</v>
      </c>
      <c r="F680" t="n">
        <v>1.306499292941951</v>
      </c>
      <c r="G680" t="n">
        <v>0.6397864784914474</v>
      </c>
      <c r="H680" t="n">
        <v>0.9999999999999993</v>
      </c>
    </row>
    <row r="681">
      <c r="A681" t="inlineStr">
        <is>
          <t>G|FICO x CHANNEL / REV_DEBT|gco_rate|band|8</t>
        </is>
      </c>
    </row>
    <row r="682">
      <c r="A682" t="inlineStr">
        <is>
          <t>G|FICO x CHANNEL / REV_DEBT|gco_rate|meta</t>
        </is>
      </c>
      <c r="B682" t="inlineStr">
        <is>
          <t>x</t>
        </is>
      </c>
      <c r="C682" t="n">
        <v>4.626043729847294</v>
      </c>
      <c r="D682" t="n">
        <v>10</v>
      </c>
    </row>
    <row r="683">
      <c r="A683" t="inlineStr">
        <is>
          <t>G|FICO x CHANNEL / REV_DEBT|ranr_rate|rate|1</t>
        </is>
      </c>
      <c r="B683" t="n">
        <v>0.2011315244474042</v>
      </c>
      <c r="C683" t="n">
        <v>0.2325369984027331</v>
      </c>
      <c r="D683" t="n">
        <v>0.08835866727492452</v>
      </c>
      <c r="E683" t="n">
        <v>0.1849053745225698</v>
      </c>
      <c r="F683" t="n">
        <v>0.1928686922017278</v>
      </c>
      <c r="G683" t="n">
        <v>0.2382051441386441</v>
      </c>
      <c r="H683" t="n">
        <v>0.1901717430158449</v>
      </c>
    </row>
    <row r="684">
      <c r="A684" t="inlineStr">
        <is>
          <t>G|FICO x CHANNEL / REV_DEBT|ranr_rate|book|1</t>
        </is>
      </c>
      <c r="B684" t="n">
        <v>7.31414748</v>
      </c>
      <c r="C684" t="n">
        <v>10.454694875</v>
      </c>
      <c r="D684" t="n">
        <v>-3.963138237</v>
      </c>
      <c r="E684" t="n">
        <v>5.691532487</v>
      </c>
      <c r="F684" t="n">
        <v>6.487864255</v>
      </c>
      <c r="G684" t="n">
        <v>11.021509449</v>
      </c>
      <c r="H684" t="n">
        <v>6.218169337</v>
      </c>
    </row>
    <row r="685">
      <c r="A685" t="inlineStr">
        <is>
          <t>G|FICO x CHANNEL / REV_DEBT|ranr_rate|band|1</t>
        </is>
      </c>
      <c r="B685" t="n">
        <v>1.302466379</v>
      </c>
      <c r="C685" t="n">
        <v>5.064230024</v>
      </c>
      <c r="D685" t="n">
        <v>-12.168685831</v>
      </c>
      <c r="E685" t="n">
        <v>-0.636403059</v>
      </c>
      <c r="F685" t="n">
        <v>0.323698344</v>
      </c>
      <c r="G685" t="n">
        <v>5.824995722</v>
      </c>
    </row>
    <row r="686">
      <c r="A686" t="inlineStr">
        <is>
          <t>G|FICO x CHANNEL / REV_DEBT|ranr_rate|rate|2</t>
        </is>
      </c>
      <c r="B686" t="n">
        <v>0.1424456742903309</v>
      </c>
      <c r="C686" t="n">
        <v>0.1575057851966389</v>
      </c>
      <c r="D686" t="n">
        <v>0.1351536663082026</v>
      </c>
      <c r="E686" t="n">
        <v>0.1806487831133013</v>
      </c>
      <c r="F686" t="n">
        <v>0.1582616721313757</v>
      </c>
      <c r="G686" t="n">
        <v>0.2034526578879852</v>
      </c>
      <c r="H686" t="n">
        <v>0.1630754408239561</v>
      </c>
    </row>
    <row r="687">
      <c r="A687" t="inlineStr">
        <is>
          <t>G|FICO x CHANNEL / REV_DEBT|ranr_rate|book|2</t>
        </is>
      </c>
      <c r="B687" t="n">
        <v>1.445562464</v>
      </c>
      <c r="C687" t="n">
        <v>2.951573555</v>
      </c>
      <c r="D687" t="n">
        <v>0.716361666</v>
      </c>
      <c r="E687" t="n">
        <v>5.265873347</v>
      </c>
      <c r="F687" t="n">
        <v>3.027162248</v>
      </c>
      <c r="G687" t="n">
        <v>7.546260824</v>
      </c>
      <c r="H687" t="n">
        <v>3.508539118</v>
      </c>
    </row>
    <row r="688">
      <c r="A688" t="inlineStr">
        <is>
          <t>G|FICO x CHANNEL / REV_DEBT|ranr_rate|band|2</t>
        </is>
      </c>
      <c r="B688" t="n">
        <v>-2.444617049</v>
      </c>
      <c r="C688" t="n">
        <v>-0.672396621</v>
      </c>
      <c r="D688" t="n">
        <v>-3.385803129</v>
      </c>
      <c r="E688" t="n">
        <v>2.131849075</v>
      </c>
      <c r="F688" t="n">
        <v>-0.569378143</v>
      </c>
      <c r="G688" t="n">
        <v>4.845189868</v>
      </c>
    </row>
    <row r="689">
      <c r="A689" t="inlineStr">
        <is>
          <t>G|FICO x CHANNEL / REV_DEBT|ranr_rate|rate|3</t>
        </is>
      </c>
      <c r="B689" t="n">
        <v>0.126172464243062</v>
      </c>
      <c r="C689" t="n">
        <v>0.1333122251004606</v>
      </c>
      <c r="D689" t="n">
        <v>0.1160083101291299</v>
      </c>
      <c r="E689" t="n">
        <v>0.1378880817575027</v>
      </c>
      <c r="F689" t="n">
        <v>0.1404065997045983</v>
      </c>
      <c r="G689" t="n">
        <v>0.1958164806546211</v>
      </c>
      <c r="H689" t="n">
        <v>0.1419183148673722</v>
      </c>
    </row>
    <row r="690">
      <c r="A690" t="inlineStr">
        <is>
          <t>G|FICO x CHANNEL / REV_DEBT|ranr_rate|book|3</t>
        </is>
      </c>
      <c r="B690" t="n">
        <v>-0.181758541</v>
      </c>
      <c r="C690" t="n">
        <v>0.532217545</v>
      </c>
      <c r="D690" t="n">
        <v>-1.198173952</v>
      </c>
      <c r="E690" t="n">
        <v>0.989803211</v>
      </c>
      <c r="F690" t="n">
        <v>1.241655006</v>
      </c>
      <c r="G690" t="n">
        <v>6.782643101</v>
      </c>
      <c r="H690" t="n">
        <v>1.392826522</v>
      </c>
    </row>
    <row r="691">
      <c r="A691" t="inlineStr">
        <is>
          <t>G|FICO x CHANNEL / REV_DEBT|ranr_rate|band|3</t>
        </is>
      </c>
      <c r="B691" t="n">
        <v>-1.87947671</v>
      </c>
      <c r="C691" t="n">
        <v>-1.034216958</v>
      </c>
      <c r="D691" t="n">
        <v>-3.095482356</v>
      </c>
      <c r="E691" t="n">
        <v>-0.480232401</v>
      </c>
      <c r="F691" t="n">
        <v>-0.183605388</v>
      </c>
      <c r="G691" t="n">
        <v>6.489973088</v>
      </c>
    </row>
    <row r="692">
      <c r="A692" t="inlineStr">
        <is>
          <t>G|FICO x CHANNEL / REV_DEBT|ranr_rate|rate|4</t>
        </is>
      </c>
      <c r="B692" t="n">
        <v>0.07171734981396456</v>
      </c>
      <c r="C692" t="n">
        <v>0.1004781198936935</v>
      </c>
      <c r="D692" t="n">
        <v>0.09612704622259931</v>
      </c>
      <c r="E692" t="n">
        <v>0.08630045888007105</v>
      </c>
      <c r="F692" t="n">
        <v>0.09774697116590221</v>
      </c>
      <c r="G692" t="n">
        <v>0.1208754445911143</v>
      </c>
      <c r="H692" t="n">
        <v>0.09596924359374785</v>
      </c>
    </row>
    <row r="693">
      <c r="A693" t="inlineStr">
        <is>
          <t>G|FICO x CHANNEL / REV_DEBT|ranr_rate|book|4</t>
        </is>
      </c>
      <c r="B693" t="n">
        <v>-5.627269983</v>
      </c>
      <c r="C693" t="n">
        <v>-2.751192975</v>
      </c>
      <c r="D693" t="n">
        <v>-3.186300343</v>
      </c>
      <c r="E693" t="n">
        <v>-4.168959077</v>
      </c>
      <c r="F693" t="n">
        <v>-3.024307848</v>
      </c>
      <c r="G693" t="n">
        <v>-0.711460506</v>
      </c>
      <c r="H693" t="n">
        <v>-3.202080605</v>
      </c>
    </row>
    <row r="694">
      <c r="A694" t="inlineStr">
        <is>
          <t>G|FICO x CHANNEL / REV_DEBT|ranr_rate|band|4</t>
        </is>
      </c>
      <c r="B694" t="n">
        <v>-2.906983502</v>
      </c>
      <c r="C694" t="n">
        <v>0.535074177</v>
      </c>
      <c r="D694" t="n">
        <v>0.018716746</v>
      </c>
      <c r="E694" t="n">
        <v>-1.151943003</v>
      </c>
      <c r="F694" t="n">
        <v>0.216216005</v>
      </c>
      <c r="G694" t="n">
        <v>3.043212313</v>
      </c>
    </row>
    <row r="695">
      <c r="A695" t="inlineStr">
        <is>
          <t>G|FICO x CHANNEL / REV_DEBT|ranr_rate|rate|5</t>
        </is>
      </c>
      <c r="B695" t="n">
        <v>0.0424806706643388</v>
      </c>
      <c r="C695" t="n">
        <v>0.04671850964056586</v>
      </c>
      <c r="D695" t="n">
        <v>0.04368114076708252</v>
      </c>
      <c r="E695" t="n">
        <v>0.05372737359735346</v>
      </c>
      <c r="F695" t="n">
        <v>0.0488350511630867</v>
      </c>
      <c r="G695" t="n">
        <v>0.04415301812649041</v>
      </c>
      <c r="H695" t="n">
        <v>0.04674341748455087</v>
      </c>
    </row>
    <row r="696">
      <c r="A696" t="inlineStr">
        <is>
          <t>G|FICO x CHANNEL / REV_DEBT|ranr_rate|book|5</t>
        </is>
      </c>
      <c r="B696" t="n">
        <v>-8.550937898000001</v>
      </c>
      <c r="C696" t="n">
        <v>-8.127154000999999</v>
      </c>
      <c r="D696" t="n">
        <v>-8.430890888</v>
      </c>
      <c r="E696" t="n">
        <v>-7.426267605</v>
      </c>
      <c r="F696" t="n">
        <v>-7.915499849</v>
      </c>
      <c r="G696" t="n">
        <v>-8.383703152000001</v>
      </c>
      <c r="H696" t="n">
        <v>-8.124663216</v>
      </c>
    </row>
    <row r="697">
      <c r="A697" t="inlineStr">
        <is>
          <t>G|FICO x CHANNEL / REV_DEBT|ranr_rate|band|5</t>
        </is>
      </c>
      <c r="B697" t="n">
        <v>-0.510244013</v>
      </c>
      <c r="C697" t="n">
        <v>-0.002968811</v>
      </c>
      <c r="D697" t="n">
        <v>-0.36464141</v>
      </c>
      <c r="E697" t="n">
        <v>0.850615055</v>
      </c>
      <c r="F697" t="n">
        <v>0.25323055</v>
      </c>
      <c r="G697" t="n">
        <v>-0.308840325</v>
      </c>
    </row>
    <row r="698">
      <c r="A698" t="inlineStr">
        <is>
          <t>G|FICO x CHANNEL / REV_DEBT|ranr_rate|rate|6</t>
        </is>
      </c>
      <c r="E698" t="n">
        <v>0.140296941334961</v>
      </c>
      <c r="H698" t="n">
        <v>0.140296941334961</v>
      </c>
    </row>
    <row r="699">
      <c r="A699" t="inlineStr">
        <is>
          <t>G|FICO x CHANNEL / REV_DEBT|ranr_rate|book|6</t>
        </is>
      </c>
      <c r="E699" t="n">
        <v>1.230689169</v>
      </c>
      <c r="H699" t="n">
        <v>1.230689169</v>
      </c>
    </row>
    <row r="700">
      <c r="A700" t="inlineStr">
        <is>
          <t>G|FICO x CHANNEL / REV_DEBT|ranr_rate|band|6</t>
        </is>
      </c>
    </row>
    <row r="701">
      <c r="A701" t="inlineStr">
        <is>
          <t>G|FICO x CHANNEL / REV_DEBT|ranr_rate|rate|7</t>
        </is>
      </c>
      <c r="B701" t="n">
        <v>0.1736583186280072</v>
      </c>
      <c r="C701" t="n">
        <v>0.1250233094689125</v>
      </c>
      <c r="D701" t="n">
        <v>0.103272930869145</v>
      </c>
      <c r="E701" t="n">
        <v>0.1481858443700458</v>
      </c>
      <c r="F701" t="n">
        <v>0.2662747012704696</v>
      </c>
      <c r="G701" t="n">
        <v>0.1233105954563344</v>
      </c>
      <c r="H701" t="n">
        <v>0.1551731988462655</v>
      </c>
    </row>
    <row r="702">
      <c r="A702" t="inlineStr">
        <is>
          <t>G|FICO x CHANNEL / REV_DEBT|ranr_rate|book|7</t>
        </is>
      </c>
      <c r="B702" t="n">
        <v>4.566826898</v>
      </c>
      <c r="C702" t="n">
        <v>-0.296674018</v>
      </c>
      <c r="D702" t="n">
        <v>-2.471711878</v>
      </c>
      <c r="E702" t="n">
        <v>2.019579472</v>
      </c>
      <c r="F702" t="n">
        <v>13.828465162</v>
      </c>
      <c r="G702" t="n">
        <v>-0.467945419</v>
      </c>
      <c r="H702" t="n">
        <v>2.71831492</v>
      </c>
    </row>
    <row r="703">
      <c r="A703" t="inlineStr">
        <is>
          <t>G|FICO x CHANNEL / REV_DEBT|ranr_rate|band|7</t>
        </is>
      </c>
      <c r="B703" t="n">
        <v>2.177161158</v>
      </c>
      <c r="C703" t="n">
        <v>-3.694574258</v>
      </c>
      <c r="D703" t="n">
        <v>-6.164243962</v>
      </c>
      <c r="E703" t="n">
        <v>-0.829329926</v>
      </c>
      <c r="F703" t="n">
        <v>13.262026215</v>
      </c>
      <c r="G703" t="n">
        <v>-3.920749623</v>
      </c>
    </row>
    <row r="704">
      <c r="A704" t="inlineStr">
        <is>
          <t>G|FICO x CHANNEL / REV_DEBT|ranr_rate|rate|8</t>
        </is>
      </c>
      <c r="B704" t="n">
        <v>0.1167796626585477</v>
      </c>
      <c r="C704" t="n">
        <v>0.1345216727452018</v>
      </c>
      <c r="D704" t="n">
        <v>0.09660243674579157</v>
      </c>
      <c r="E704" t="n">
        <v>0.1288876631752017</v>
      </c>
      <c r="F704" t="n">
        <v>0.128900615051415</v>
      </c>
      <c r="G704" t="n">
        <v>0.160450234785294</v>
      </c>
      <c r="H704" t="n">
        <v>0.1279900496481476</v>
      </c>
    </row>
    <row r="705">
      <c r="A705" t="inlineStr">
        <is>
          <t>G|FICO x CHANNEL / REV_DEBT|ranr_rate|book|8</t>
        </is>
      </c>
      <c r="B705" t="n">
        <v>-1.121038699</v>
      </c>
      <c r="C705" t="n">
        <v>0.65316231</v>
      </c>
      <c r="D705" t="n">
        <v>-3.13876129</v>
      </c>
      <c r="E705" t="n">
        <v>0.089761353</v>
      </c>
      <c r="F705" t="n">
        <v>0.09105654000000001</v>
      </c>
      <c r="G705" t="n">
        <v>3.246018514</v>
      </c>
      <c r="H705" t="n">
        <v>0</v>
      </c>
    </row>
    <row r="706">
      <c r="A706" t="inlineStr">
        <is>
          <t>G|FICO x CHANNEL / REV_DEBT|ranr_rate|band|8</t>
        </is>
      </c>
    </row>
    <row r="707">
      <c r="A707" t="inlineStr">
        <is>
          <t>G|FICO x CHANNEL / REV_DEBT|ranr_rate|meta</t>
        </is>
      </c>
      <c r="B707" t="inlineStr">
        <is>
          <t>pts</t>
        </is>
      </c>
      <c r="C707" t="n">
        <v>13.828465162</v>
      </c>
      <c r="D707" t="n">
        <v>10</v>
      </c>
    </row>
    <row r="708">
      <c r="A708" t="inlineStr">
        <is>
          <t>G|FICO x CHANNEL / REV_DEBT|contribution_rate|rate|1</t>
        </is>
      </c>
      <c r="B708" t="n">
        <v>0.2826316386742523</v>
      </c>
      <c r="C708" t="n">
        <v>0.2595125291868816</v>
      </c>
      <c r="D708" t="n">
        <v>0.2808264440988348</v>
      </c>
      <c r="E708" t="n">
        <v>0.2785114310704362</v>
      </c>
      <c r="F708" t="n">
        <v>0.2662241987474842</v>
      </c>
      <c r="G708" t="n">
        <v>0.274159451942069</v>
      </c>
      <c r="H708" t="n">
        <v>0.2736243023088952</v>
      </c>
    </row>
    <row r="709">
      <c r="A709" t="inlineStr">
        <is>
          <t>G|FICO x CHANNEL / REV_DEBT|contribution_rate|book|1</t>
        </is>
      </c>
      <c r="B709" t="n">
        <v>11.303918294</v>
      </c>
      <c r="C709" t="n">
        <v>8.992007344999999</v>
      </c>
      <c r="D709" t="n">
        <v>11.123398836</v>
      </c>
      <c r="E709" t="n">
        <v>10.891897534</v>
      </c>
      <c r="F709" t="n">
        <v>9.663174301</v>
      </c>
      <c r="G709" t="n">
        <v>10.456699621</v>
      </c>
      <c r="H709" t="n">
        <v>10.403184657</v>
      </c>
    </row>
    <row r="710">
      <c r="A710" t="inlineStr">
        <is>
          <t>G|FICO x CHANNEL / REV_DEBT|contribution_rate|band|1</t>
        </is>
      </c>
      <c r="B710" t="n">
        <v>1.070436747</v>
      </c>
      <c r="C710" t="n">
        <v>-1.686883851</v>
      </c>
      <c r="D710" t="n">
        <v>0.8607990679999999</v>
      </c>
      <c r="E710" t="n">
        <v>0.590574643</v>
      </c>
      <c r="F710" t="n">
        <v>-0.888189248</v>
      </c>
      <c r="G710" t="n">
        <v>0.06489743100000001</v>
      </c>
    </row>
    <row r="711">
      <c r="A711" t="inlineStr">
        <is>
          <t>G|FICO x CHANNEL / REV_DEBT|contribution_rate|rate|2</t>
        </is>
      </c>
      <c r="B711" t="n">
        <v>0.2012215780644014</v>
      </c>
      <c r="C711" t="n">
        <v>0.1996314788333542</v>
      </c>
      <c r="D711" t="n">
        <v>0.2004545966712609</v>
      </c>
      <c r="E711" t="n">
        <v>0.1999113461873617</v>
      </c>
      <c r="F711" t="n">
        <v>0.2248319647541358</v>
      </c>
      <c r="G711" t="n">
        <v>0.2255647572918433</v>
      </c>
      <c r="H711" t="n">
        <v>0.2082899782331104</v>
      </c>
    </row>
    <row r="712">
      <c r="A712" t="inlineStr">
        <is>
          <t>G|FICO x CHANNEL / REV_DEBT|contribution_rate|book|2</t>
        </is>
      </c>
      <c r="B712" t="n">
        <v>3.162912233</v>
      </c>
      <c r="C712" t="n">
        <v>3.00390231</v>
      </c>
      <c r="D712" t="n">
        <v>3.086214094</v>
      </c>
      <c r="E712" t="n">
        <v>3.031889045</v>
      </c>
      <c r="F712" t="n">
        <v>5.523950902</v>
      </c>
      <c r="G712" t="n">
        <v>5.597230156</v>
      </c>
      <c r="H712" t="n">
        <v>3.86975225</v>
      </c>
    </row>
    <row r="713">
      <c r="A713" t="inlineStr">
        <is>
          <t>G|FICO x CHANNEL / REV_DEBT|contribution_rate|band|2</t>
        </is>
      </c>
      <c r="B713" t="n">
        <v>-0.837601896</v>
      </c>
      <c r="C713" t="n">
        <v>-1.045297256</v>
      </c>
      <c r="D713" t="n">
        <v>-0.950120824</v>
      </c>
      <c r="E713" t="n">
        <v>-1.016424689</v>
      </c>
      <c r="F713" t="n">
        <v>1.956605349</v>
      </c>
      <c r="G713" t="n">
        <v>2.072940895</v>
      </c>
    </row>
    <row r="714">
      <c r="A714" t="inlineStr">
        <is>
          <t>G|FICO x CHANNEL / REV_DEBT|contribution_rate|rate|3</t>
        </is>
      </c>
      <c r="B714" t="n">
        <v>0.1599355463163935</v>
      </c>
      <c r="C714" t="n">
        <v>0.1482096879324939</v>
      </c>
      <c r="D714" t="n">
        <v>0.1556767621345781</v>
      </c>
      <c r="E714" t="n">
        <v>0.150847799418986</v>
      </c>
      <c r="F714" t="n">
        <v>0.2062161544199508</v>
      </c>
      <c r="G714" t="n">
        <v>0.2156576513046638</v>
      </c>
      <c r="H714" t="n">
        <v>0.1734333199610001</v>
      </c>
    </row>
    <row r="715">
      <c r="A715" t="inlineStr">
        <is>
          <t>G|FICO x CHANNEL / REV_DEBT|contribution_rate|book|3</t>
        </is>
      </c>
      <c r="B715" t="n">
        <v>-0.9656909420000001</v>
      </c>
      <c r="C715" t="n">
        <v>-2.13827678</v>
      </c>
      <c r="D715" t="n">
        <v>-1.39156936</v>
      </c>
      <c r="E715" t="n">
        <v>-1.874465632</v>
      </c>
      <c r="F715" t="n">
        <v>3.662369868</v>
      </c>
      <c r="G715" t="n">
        <v>4.606519557</v>
      </c>
      <c r="H715" t="n">
        <v>0.384086423</v>
      </c>
    </row>
    <row r="716">
      <c r="A716" t="inlineStr">
        <is>
          <t>G|FICO x CHANNEL / REV_DEBT|contribution_rate|band|3</t>
        </is>
      </c>
      <c r="B716" t="n">
        <v>-1.61113882</v>
      </c>
      <c r="C716" t="n">
        <v>-3.031191713</v>
      </c>
      <c r="D716" t="n">
        <v>-2.12138562</v>
      </c>
      <c r="E716" t="n">
        <v>-2.691233601</v>
      </c>
      <c r="F716" t="n">
        <v>3.981639662</v>
      </c>
      <c r="G716" t="n">
        <v>5.084306118</v>
      </c>
    </row>
    <row r="717">
      <c r="A717" t="inlineStr">
        <is>
          <t>G|FICO x CHANNEL / REV_DEBT|contribution_rate|rate|4</t>
        </is>
      </c>
      <c r="B717" t="n">
        <v>0.1050132241944739</v>
      </c>
      <c r="C717" t="n">
        <v>0.112341198368954</v>
      </c>
      <c r="D717" t="n">
        <v>0.1171068579824875</v>
      </c>
      <c r="E717" t="n">
        <v>0.1068444709397379</v>
      </c>
      <c r="F717" t="n">
        <v>0.1540018625192209</v>
      </c>
      <c r="G717" t="n">
        <v>0.1552120025864345</v>
      </c>
      <c r="H717" t="n">
        <v>0.1261938892004919</v>
      </c>
    </row>
    <row r="718">
      <c r="A718" t="inlineStr">
        <is>
          <t>G|FICO x CHANNEL / REV_DEBT|contribution_rate|book|4</t>
        </is>
      </c>
      <c r="B718" t="n">
        <v>-6.457923154</v>
      </c>
      <c r="C718" t="n">
        <v>-5.725125737</v>
      </c>
      <c r="D718" t="n">
        <v>-5.248559775</v>
      </c>
      <c r="E718" t="n">
        <v>-6.27479848</v>
      </c>
      <c r="F718" t="n">
        <v>-1.559059322</v>
      </c>
      <c r="G718" t="n">
        <v>-1.438045315</v>
      </c>
      <c r="H718" t="n">
        <v>-4.339856653</v>
      </c>
    </row>
    <row r="719">
      <c r="A719" t="inlineStr">
        <is>
          <t>G|FICO x CHANNEL / REV_DEBT|contribution_rate|band|4</t>
        </is>
      </c>
      <c r="B719" t="n">
        <v>-2.539238801</v>
      </c>
      <c r="C719" t="n">
        <v>-1.642640361</v>
      </c>
      <c r="D719" t="n">
        <v>-1.077955731</v>
      </c>
      <c r="E719" t="n">
        <v>-2.305640586</v>
      </c>
      <c r="F719" t="n">
        <v>3.382711412</v>
      </c>
      <c r="G719" t="n">
        <v>3.546245635</v>
      </c>
    </row>
    <row r="720">
      <c r="A720" t="inlineStr">
        <is>
          <t>G|FICO x CHANNEL / REV_DEBT|contribution_rate|rate|5</t>
        </is>
      </c>
      <c r="B720" t="n">
        <v>0.06799639182839903</v>
      </c>
      <c r="C720" t="n">
        <v>0.06632870320011271</v>
      </c>
      <c r="D720" t="n">
        <v>0.07171240291362092</v>
      </c>
      <c r="E720" t="n">
        <v>0.06279059047079409</v>
      </c>
      <c r="F720" t="n">
        <v>0.06554176596357127</v>
      </c>
      <c r="G720" t="n">
        <v>0.06295671923977922</v>
      </c>
      <c r="H720" t="n">
        <v>0.06615176452409988</v>
      </c>
    </row>
    <row r="721">
      <c r="A721" t="inlineStr">
        <is>
          <t>G|FICO x CHANNEL / REV_DEBT|contribution_rate|book|5</t>
        </is>
      </c>
      <c r="B721" t="n">
        <v>-10.159606391</v>
      </c>
      <c r="C721" t="n">
        <v>-10.326375253</v>
      </c>
      <c r="D721" t="n">
        <v>-9.788005282</v>
      </c>
      <c r="E721" t="n">
        <v>-10.680186526</v>
      </c>
      <c r="F721" t="n">
        <v>-10.405068977</v>
      </c>
      <c r="G721" t="n">
        <v>-10.66357365</v>
      </c>
      <c r="H721" t="n">
        <v>-10.344069121</v>
      </c>
    </row>
    <row r="722">
      <c r="A722" t="inlineStr">
        <is>
          <t>G|FICO x CHANNEL / REV_DEBT|contribution_rate|band|5</t>
        </is>
      </c>
      <c r="B722" t="n">
        <v>0.220798954</v>
      </c>
      <c r="C722" t="n">
        <v>0.021089639</v>
      </c>
      <c r="D722" t="n">
        <v>0.662134487</v>
      </c>
      <c r="E722" t="n">
        <v>-0.409376177</v>
      </c>
      <c r="F722" t="n">
        <v>-0.073851494</v>
      </c>
      <c r="G722" t="n">
        <v>-0.380929227</v>
      </c>
    </row>
    <row r="723">
      <c r="A723" t="inlineStr">
        <is>
          <t>G|FICO x CHANNEL / REV_DEBT|contribution_rate|rate|6</t>
        </is>
      </c>
      <c r="E723" t="n">
        <v>0.140296941334961</v>
      </c>
      <c r="H723" t="n">
        <v>0.140296941334961</v>
      </c>
    </row>
    <row r="724">
      <c r="A724" t="inlineStr">
        <is>
          <t>G|FICO x CHANNEL / REV_DEBT|contribution_rate|book|6</t>
        </is>
      </c>
      <c r="E724" t="n">
        <v>-2.92955144</v>
      </c>
      <c r="H724" t="n">
        <v>-2.92955144</v>
      </c>
    </row>
    <row r="725">
      <c r="A725" t="inlineStr">
        <is>
          <t>G|FICO x CHANNEL / REV_DEBT|contribution_rate|band|6</t>
        </is>
      </c>
    </row>
    <row r="726">
      <c r="A726" t="inlineStr">
        <is>
          <t>G|FICO x CHANNEL / REV_DEBT|contribution_rate|rate|7</t>
        </is>
      </c>
      <c r="B726" t="n">
        <v>0.190913742635024</v>
      </c>
      <c r="C726" t="n">
        <v>0.1250233094689125</v>
      </c>
      <c r="D726" t="n">
        <v>0.1945886043988433</v>
      </c>
      <c r="E726" t="n">
        <v>0.1609295504045854</v>
      </c>
      <c r="F726" t="n">
        <v>0.2700389507920719</v>
      </c>
      <c r="G726" t="n">
        <v>0.154586278276527</v>
      </c>
      <c r="H726" t="n">
        <v>0.1806863107357444</v>
      </c>
    </row>
    <row r="727">
      <c r="A727" t="inlineStr">
        <is>
          <t>G|FICO x CHANNEL / REV_DEBT|contribution_rate|book|7</t>
        </is>
      </c>
      <c r="B727" t="n">
        <v>2.13212869</v>
      </c>
      <c r="C727" t="n">
        <v>-4.456914627</v>
      </c>
      <c r="D727" t="n">
        <v>2.499614866</v>
      </c>
      <c r="E727" t="n">
        <v>-0.866290533</v>
      </c>
      <c r="F727" t="n">
        <v>10.044649506</v>
      </c>
      <c r="G727" t="n">
        <v>-1.500617746</v>
      </c>
      <c r="H727" t="n">
        <v>1.1093855</v>
      </c>
    </row>
    <row r="728">
      <c r="A728" t="inlineStr">
        <is>
          <t>G|FICO x CHANNEL / REV_DEBT|contribution_rate|band|7</t>
        </is>
      </c>
      <c r="B728" t="n">
        <v>1.204577938</v>
      </c>
      <c r="C728" t="n">
        <v>-6.820956755</v>
      </c>
      <c r="D728" t="n">
        <v>1.65118858</v>
      </c>
      <c r="E728" t="n">
        <v>-2.34493221</v>
      </c>
      <c r="F728" t="n">
        <v>10.66589586</v>
      </c>
      <c r="G728" t="n">
        <v>-3.211655092</v>
      </c>
    </row>
    <row r="729">
      <c r="A729" t="inlineStr">
        <is>
          <t>G|FICO x CHANNEL / REV_DEBT|contribution_rate|rate|8</t>
        </is>
      </c>
      <c r="B729" t="n">
        <v>0.1623441521070799</v>
      </c>
      <c r="C729" t="n">
        <v>0.1572365125792882</v>
      </c>
      <c r="D729" t="n">
        <v>0.1667731885481454</v>
      </c>
      <c r="E729" t="n">
        <v>0.1598416201605849</v>
      </c>
      <c r="F729" t="n">
        <v>0.1832578647920803</v>
      </c>
      <c r="G729" t="n">
        <v>0.187068720979611</v>
      </c>
      <c r="H729" t="n">
        <v>0.1695924557349811</v>
      </c>
    </row>
    <row r="730">
      <c r="A730" t="inlineStr">
        <is>
          <t>G|FICO x CHANNEL / REV_DEBT|contribution_rate|book|8</t>
        </is>
      </c>
      <c r="B730" t="n">
        <v>-0.724830363</v>
      </c>
      <c r="C730" t="n">
        <v>-1.235594316</v>
      </c>
      <c r="D730" t="n">
        <v>-0.281926719</v>
      </c>
      <c r="E730" t="n">
        <v>-0.975083557</v>
      </c>
      <c r="F730" t="n">
        <v>1.366540906</v>
      </c>
      <c r="G730" t="n">
        <v>1.747626524</v>
      </c>
      <c r="H730" t="n">
        <v>0</v>
      </c>
    </row>
    <row r="731">
      <c r="A731" t="inlineStr">
        <is>
          <t>G|FICO x CHANNEL / REV_DEBT|contribution_rate|band|8</t>
        </is>
      </c>
    </row>
    <row r="732">
      <c r="A732" t="inlineStr">
        <is>
          <t>G|FICO x CHANNEL / REV_DEBT|contribution_rate|meta</t>
        </is>
      </c>
      <c r="B732" t="inlineStr">
        <is>
          <t>pts</t>
        </is>
      </c>
      <c r="C732" t="n">
        <v>11.303918294</v>
      </c>
      <c r="D732" t="n">
        <v>10</v>
      </c>
    </row>
    <row r="733">
      <c r="A733" t="inlineStr">
        <is>
          <t>G|FICO x ASSET_CLASS / REV_DEBT|cols</t>
        </is>
      </c>
      <c r="B733" t="inlineStr">
        <is>
          <t>1 · high</t>
        </is>
      </c>
      <c r="C733" t="inlineStr">
        <is>
          <t>1 · low</t>
        </is>
      </c>
      <c r="D733" t="inlineStr">
        <is>
          <t>2 · high</t>
        </is>
      </c>
      <c r="E733" t="inlineStr">
        <is>
          <t>2 · low</t>
        </is>
      </c>
      <c r="F733" t="inlineStr">
        <is>
          <t>3 · high</t>
        </is>
      </c>
      <c r="G733" t="inlineStr">
        <is>
          <t>3 · low</t>
        </is>
      </c>
      <c r="H733" t="inlineStr">
        <is>
          <t>4 · high</t>
        </is>
      </c>
      <c r="I733" t="inlineStr">
        <is>
          <t>4 · low</t>
        </is>
      </c>
      <c r="J733" t="inlineStr">
        <is>
          <t>All</t>
        </is>
      </c>
    </row>
    <row r="734">
      <c r="A734" t="inlineStr">
        <is>
          <t>G|FICO x ASSET_CLASS / REV_DEBT|rows</t>
        </is>
      </c>
      <c r="B734" t="inlineStr">
        <is>
          <t>496 - 653</t>
        </is>
      </c>
      <c r="C734" t="inlineStr">
        <is>
          <t>654 - 685</t>
        </is>
      </c>
      <c r="D734" t="inlineStr">
        <is>
          <t>686 - 711</t>
        </is>
      </c>
      <c r="E734" t="inlineStr">
        <is>
          <t>712 - 745</t>
        </is>
      </c>
      <c r="F734" t="inlineStr">
        <is>
          <t>746 - 921</t>
        </is>
      </c>
      <c r="G734" t="inlineStr">
        <is>
          <t>(blank)</t>
        </is>
      </c>
      <c r="H734" t="inlineStr">
        <is>
          <t>(marked missing)</t>
        </is>
      </c>
      <c r="I734" t="inlineStr">
        <is>
          <t>All</t>
        </is>
      </c>
    </row>
    <row r="735">
      <c r="A735" t="inlineStr">
        <is>
          <t>G|FICO x ASSET_CLASS / REV_DEBT|names</t>
        </is>
      </c>
      <c r="B735" t="inlineStr">
        <is>
          <t>FICO</t>
        </is>
      </c>
      <c r="C735" t="inlineStr">
        <is>
          <t>ASSET_CLASS / REV_DEBT</t>
        </is>
      </c>
    </row>
    <row r="736">
      <c r="A736" t="inlineStr">
        <is>
          <t>G|FICO x ASSET_CLASS / REV_DEBT|total</t>
        </is>
      </c>
      <c r="B736" t="n">
        <v>8000</v>
      </c>
    </row>
    <row r="737">
      <c r="A737" t="inlineStr">
        <is>
          <t>G|FICO x ASSET_CLASS / REV_DEBT|loans|1</t>
        </is>
      </c>
      <c r="B737" t="n">
        <v>210</v>
      </c>
      <c r="C737" t="n">
        <v>210</v>
      </c>
      <c r="D737" t="n">
        <v>197</v>
      </c>
      <c r="E737" t="n">
        <v>197</v>
      </c>
      <c r="F737" t="n">
        <v>175</v>
      </c>
      <c r="G737" t="n">
        <v>175</v>
      </c>
      <c r="H737" t="n">
        <v>196</v>
      </c>
      <c r="I737" t="n">
        <v>196</v>
      </c>
      <c r="J737" t="n">
        <v>1556</v>
      </c>
    </row>
    <row r="738">
      <c r="A738" t="inlineStr">
        <is>
          <t>G|FICO x ASSET_CLASS / REV_DEBT|loans|2</t>
        </is>
      </c>
      <c r="B738" t="n">
        <v>198</v>
      </c>
      <c r="C738" t="n">
        <v>199</v>
      </c>
      <c r="D738" t="n">
        <v>177</v>
      </c>
      <c r="E738" t="n">
        <v>178</v>
      </c>
      <c r="F738" t="n">
        <v>188</v>
      </c>
      <c r="G738" t="n">
        <v>189</v>
      </c>
      <c r="H738" t="n">
        <v>205</v>
      </c>
      <c r="I738" t="n">
        <v>205</v>
      </c>
      <c r="J738" t="n">
        <v>1539</v>
      </c>
    </row>
    <row r="739">
      <c r="A739" t="inlineStr">
        <is>
          <t>G|FICO x ASSET_CLASS / REV_DEBT|loans|3</t>
        </is>
      </c>
      <c r="B739" t="n">
        <v>186</v>
      </c>
      <c r="C739" t="n">
        <v>186</v>
      </c>
      <c r="D739" t="n">
        <v>197</v>
      </c>
      <c r="E739" t="n">
        <v>198</v>
      </c>
      <c r="F739" t="n">
        <v>194</v>
      </c>
      <c r="G739" t="n">
        <v>194</v>
      </c>
      <c r="H739" t="n">
        <v>203</v>
      </c>
      <c r="I739" t="n">
        <v>204</v>
      </c>
      <c r="J739" t="n">
        <v>1562</v>
      </c>
    </row>
    <row r="740">
      <c r="A740" t="inlineStr">
        <is>
          <t>G|FICO x ASSET_CLASS / REV_DEBT|loans|4</t>
        </is>
      </c>
      <c r="B740" t="n">
        <v>180</v>
      </c>
      <c r="C740" t="n">
        <v>181</v>
      </c>
      <c r="D740" t="n">
        <v>215</v>
      </c>
      <c r="E740" t="n">
        <v>216</v>
      </c>
      <c r="F740" t="n">
        <v>196</v>
      </c>
      <c r="G740" t="n">
        <v>196</v>
      </c>
      <c r="H740" t="n">
        <v>213</v>
      </c>
      <c r="I740" t="n">
        <v>214</v>
      </c>
      <c r="J740" t="n">
        <v>1611</v>
      </c>
    </row>
    <row r="741">
      <c r="A741" t="inlineStr">
        <is>
          <t>G|FICO x ASSET_CLASS / REV_DEBT|loans|5</t>
        </is>
      </c>
      <c r="B741" t="n">
        <v>207</v>
      </c>
      <c r="C741" t="n">
        <v>207</v>
      </c>
      <c r="D741" t="n">
        <v>199</v>
      </c>
      <c r="E741" t="n">
        <v>200</v>
      </c>
      <c r="F741" t="n">
        <v>192</v>
      </c>
      <c r="G741" t="n">
        <v>193</v>
      </c>
      <c r="H741" t="n">
        <v>186</v>
      </c>
      <c r="I741" t="n">
        <v>187</v>
      </c>
      <c r="J741" t="n">
        <v>1571</v>
      </c>
    </row>
    <row r="742">
      <c r="A742" t="inlineStr">
        <is>
          <t>G|FICO x ASSET_CLASS / REV_DEBT|loans|6</t>
        </is>
      </c>
      <c r="E742" t="n">
        <v>1</v>
      </c>
      <c r="J742" t="n">
        <v>1</v>
      </c>
    </row>
    <row r="743">
      <c r="A743" t="inlineStr">
        <is>
          <t>G|FICO x ASSET_CLASS / REV_DEBT|loans|7</t>
        </is>
      </c>
      <c r="B743" t="n">
        <v>21</v>
      </c>
      <c r="C743" t="n">
        <v>21</v>
      </c>
      <c r="D743" t="n">
        <v>18</v>
      </c>
      <c r="E743" t="n">
        <v>18</v>
      </c>
      <c r="F743" t="n">
        <v>21</v>
      </c>
      <c r="G743" t="n">
        <v>22</v>
      </c>
      <c r="H743" t="n">
        <v>19</v>
      </c>
      <c r="I743" t="n">
        <v>20</v>
      </c>
      <c r="J743" t="n">
        <v>160</v>
      </c>
    </row>
    <row r="744">
      <c r="A744" t="inlineStr">
        <is>
          <t>G|FICO x ASSET_CLASS / REV_DEBT|loans|8</t>
        </is>
      </c>
      <c r="B744" t="n">
        <v>1002</v>
      </c>
      <c r="C744" t="n">
        <v>1004</v>
      </c>
      <c r="D744" t="n">
        <v>1003</v>
      </c>
      <c r="E744" t="n">
        <v>1008</v>
      </c>
      <c r="F744" t="n">
        <v>966</v>
      </c>
      <c r="G744" t="n">
        <v>969</v>
      </c>
      <c r="H744" t="n">
        <v>1022</v>
      </c>
      <c r="I744" t="n">
        <v>1026</v>
      </c>
      <c r="J744" t="n">
        <v>8000</v>
      </c>
    </row>
    <row r="745">
      <c r="A745" t="inlineStr">
        <is>
          <t>G|FICO x ASSET_CLASS / REV_DEBT|outcome_loans|rate|1</t>
        </is>
      </c>
      <c r="B745" t="n">
        <v>0.2047619047619048</v>
      </c>
      <c r="C745" t="n">
        <v>0.06666666666666667</v>
      </c>
      <c r="D745" t="n">
        <v>0.1472081218274112</v>
      </c>
      <c r="E745" t="n">
        <v>0.07653061224489796</v>
      </c>
      <c r="F745" t="n">
        <v>0.2</v>
      </c>
      <c r="G745" t="n">
        <v>0.1028571428571429</v>
      </c>
      <c r="H745" t="n">
        <v>0.2755102040816326</v>
      </c>
      <c r="I745" t="n">
        <v>0.1326530612244898</v>
      </c>
      <c r="J745" t="n">
        <v>0.1504823151125402</v>
      </c>
    </row>
    <row r="746">
      <c r="A746" t="inlineStr">
        <is>
          <t>G|FICO x ASSET_CLASS / REV_DEBT|outcome_loans|book|1</t>
        </is>
      </c>
      <c r="B746" t="n">
        <v>2.64602661743211</v>
      </c>
      <c r="C746" t="n">
        <v>0.8614970382337103</v>
      </c>
      <c r="D746" t="n">
        <v>1.902290414373929</v>
      </c>
      <c r="E746" t="n">
        <v>0.9889634367478817</v>
      </c>
      <c r="F746" t="n">
        <v>2.584491114701131</v>
      </c>
      <c r="G746" t="n">
        <v>1.329166858989153</v>
      </c>
      <c r="H746" t="n">
        <v>3.560268372292374</v>
      </c>
      <c r="I746" t="n">
        <v>1.714203290362995</v>
      </c>
      <c r="J746" t="n">
        <v>1.944601031640079</v>
      </c>
    </row>
    <row r="747">
      <c r="A747" t="inlineStr">
        <is>
          <t>G|FICO x ASSET_CLASS / REV_DEBT|outcome_loans|band|1</t>
        </is>
      </c>
      <c r="B747" t="n">
        <v>1.441909748192471</v>
      </c>
      <c r="C747" t="n">
        <v>0.4075757575757576</v>
      </c>
      <c r="D747" t="n">
        <v>0.9751640460567043</v>
      </c>
      <c r="E747" t="n">
        <v>0.4749091417388874</v>
      </c>
      <c r="F747" t="n">
        <v>1.386934673366834</v>
      </c>
      <c r="G747" t="n">
        <v>0.657142857142857</v>
      </c>
      <c r="H747" t="n">
        <v>2.080102040816326</v>
      </c>
      <c r="I747" t="n">
        <v>0.8667091836734694</v>
      </c>
    </row>
    <row r="748">
      <c r="A748" t="inlineStr">
        <is>
          <t>G|FICO x ASSET_CLASS / REV_DEBT|outcome_loans|rate|2</t>
        </is>
      </c>
      <c r="B748" t="n">
        <v>0.1111111111111111</v>
      </c>
      <c r="C748" t="n">
        <v>0.04020100502512563</v>
      </c>
      <c r="D748" t="n">
        <v>0.0903954802259887</v>
      </c>
      <c r="E748" t="n">
        <v>0.02808988764044944</v>
      </c>
      <c r="F748" t="n">
        <v>0.101063829787234</v>
      </c>
      <c r="G748" t="n">
        <v>0.06349206349206349</v>
      </c>
      <c r="H748" t="n">
        <v>0.1463414634146341</v>
      </c>
      <c r="I748" t="n">
        <v>0.08780487804878048</v>
      </c>
      <c r="J748" t="n">
        <v>0.08447043534762833</v>
      </c>
    </row>
    <row r="749">
      <c r="A749" t="inlineStr">
        <is>
          <t>G|FICO x ASSET_CLASS / REV_DEBT|outcome_loans|book|2</t>
        </is>
      </c>
      <c r="B749" t="n">
        <v>1.435828397056184</v>
      </c>
      <c r="D749" t="n">
        <v>1.168131577266048</v>
      </c>
      <c r="F749" t="n">
        <v>1.305992850513869</v>
      </c>
      <c r="G749" t="n">
        <v>0.8204733697463907</v>
      </c>
      <c r="H749" t="n">
        <v>1.891091059537413</v>
      </c>
      <c r="I749" t="n">
        <v>1.134654635722448</v>
      </c>
      <c r="J749" t="n">
        <v>1.091565448054409</v>
      </c>
    </row>
    <row r="750">
      <c r="A750" t="inlineStr">
        <is>
          <t>G|FICO x ASSET_CLASS / REV_DEBT|outcome_loans|band|2</t>
        </is>
      </c>
      <c r="B750" t="n">
        <v>1.37962962962963</v>
      </c>
      <c r="D750" t="n">
        <v>1.079988105857865</v>
      </c>
      <c r="F750" t="n">
        <v>1.230065171554533</v>
      </c>
      <c r="G750" t="n">
        <v>0.7263922518159805</v>
      </c>
      <c r="H750" t="n">
        <v>1.952195121951219</v>
      </c>
      <c r="I750" t="n">
        <v>1.04581881533101</v>
      </c>
    </row>
    <row r="751">
      <c r="A751" t="inlineStr">
        <is>
          <t>G|FICO x ASSET_CLASS / REV_DEBT|outcome_loans|rate|3</t>
        </is>
      </c>
      <c r="B751" t="n">
        <v>0.08602150537634409</v>
      </c>
      <c r="C751" t="n">
        <v>0.02150537634408602</v>
      </c>
      <c r="D751" t="n">
        <v>0.04060913705583756</v>
      </c>
      <c r="E751" t="n">
        <v>0.04040404040404041</v>
      </c>
      <c r="F751" t="n">
        <v>0.1082474226804124</v>
      </c>
      <c r="G751" t="n">
        <v>0.03092783505154639</v>
      </c>
      <c r="H751" t="n">
        <v>0.1133004926108374</v>
      </c>
      <c r="I751" t="n">
        <v>0.04901960784313725</v>
      </c>
      <c r="J751" t="n">
        <v>0.06145966709346991</v>
      </c>
    </row>
    <row r="752">
      <c r="A752" t="inlineStr">
        <is>
          <t>G|FICO x ASSET_CLASS / REV_DEBT|outcome_loans|book|3</t>
        </is>
      </c>
      <c r="B752" t="n">
        <v>1.111609081591884</v>
      </c>
      <c r="F752" t="n">
        <v>1.398822510534117</v>
      </c>
      <c r="H752" t="n">
        <v>1.464120582219852</v>
      </c>
      <c r="I752" t="n">
        <v>0.6334537045836105</v>
      </c>
      <c r="J752" t="n">
        <v>0.7942098175778123</v>
      </c>
    </row>
    <row r="753">
      <c r="A753" t="inlineStr">
        <is>
          <t>G|FICO x ASSET_CLASS / REV_DEBT|outcome_loans|band|3</t>
        </is>
      </c>
      <c r="B753" t="n">
        <v>1.479569892473118</v>
      </c>
      <c r="F753" t="n">
        <v>1.974432989690722</v>
      </c>
      <c r="H753" t="n">
        <v>2.109251636412714</v>
      </c>
      <c r="I753" t="n">
        <v>0.7740538075695395</v>
      </c>
    </row>
    <row r="754">
      <c r="A754" t="inlineStr">
        <is>
          <t>G|FICO x ASSET_CLASS / REV_DEBT|outcome_loans|rate|4</t>
        </is>
      </c>
      <c r="B754" t="n">
        <v>0.04444444444444445</v>
      </c>
      <c r="C754" t="n">
        <v>0.02762430939226519</v>
      </c>
      <c r="D754" t="n">
        <v>0.05116279069767442</v>
      </c>
      <c r="E754" t="n">
        <v>0.04166666666666666</v>
      </c>
      <c r="F754" t="n">
        <v>0.05612244897959184</v>
      </c>
      <c r="G754" t="n">
        <v>0.04081632653061224</v>
      </c>
      <c r="H754" t="n">
        <v>0.09859154929577464</v>
      </c>
      <c r="I754" t="n">
        <v>0.06542056074766354</v>
      </c>
      <c r="J754" t="n">
        <v>0.05400372439478585</v>
      </c>
    </row>
    <row r="755">
      <c r="A755" t="inlineStr">
        <is>
          <t>G|FICO x ASSET_CLASS / REV_DEBT|outcome_loans|book|4</t>
        </is>
      </c>
      <c r="D755" t="n">
        <v>0.661148889807266</v>
      </c>
      <c r="F755" t="n">
        <v>0.7252398536151132</v>
      </c>
      <c r="H755" t="n">
        <v>1.27404491569774</v>
      </c>
      <c r="I755" t="n">
        <v>0.84539428985551</v>
      </c>
      <c r="J755" t="n">
        <v>0.6978607292954636</v>
      </c>
    </row>
    <row r="756">
      <c r="A756" t="inlineStr">
        <is>
          <t>G|FICO x ASSET_CLASS / REV_DEBT|outcome_loans|band|4</t>
        </is>
      </c>
      <c r="D756" t="n">
        <v>0.9397796817625459</v>
      </c>
      <c r="F756" t="n">
        <v>1.044911385606874</v>
      </c>
      <c r="H756" t="n">
        <v>2.088348271446863</v>
      </c>
      <c r="I756" t="n">
        <v>1.251952374855972</v>
      </c>
    </row>
    <row r="757">
      <c r="A757" t="inlineStr">
        <is>
          <t>G|FICO x ASSET_CLASS / REV_DEBT|outcome_loans|rate|5</t>
        </is>
      </c>
      <c r="B757" t="n">
        <v>0.03381642512077294</v>
      </c>
      <c r="C757" t="n">
        <v>0.03864734299516908</v>
      </c>
      <c r="D757" t="n">
        <v>0.06030150753768844</v>
      </c>
      <c r="E757" t="n">
        <v>0.02</v>
      </c>
      <c r="F757" t="n">
        <v>0.05208333333333334</v>
      </c>
      <c r="G757" t="n">
        <v>0.0310880829015544</v>
      </c>
      <c r="H757" t="n">
        <v>0.04838709677419355</v>
      </c>
      <c r="I757" t="n">
        <v>0.03208556149732621</v>
      </c>
      <c r="J757" t="n">
        <v>0.03946530872056015</v>
      </c>
    </row>
    <row r="758">
      <c r="A758" t="inlineStr">
        <is>
          <t>G|FICO x ASSET_CLASS / REV_DEBT|outcome_loans|book|5</t>
        </is>
      </c>
      <c r="D758" t="n">
        <v>0.7792435521711952</v>
      </c>
      <c r="F758" t="n">
        <v>0.6730445611200861</v>
      </c>
      <c r="J758" t="n">
        <v>0.5099886986361238</v>
      </c>
    </row>
    <row r="759">
      <c r="A759" t="inlineStr">
        <is>
          <t>G|FICO x ASSET_CLASS / REV_DEBT|outcome_loans|band|5</t>
        </is>
      </c>
      <c r="D759" t="n">
        <v>1.654673366834171</v>
      </c>
      <c r="F759" t="n">
        <v>1.381209935897436</v>
      </c>
    </row>
    <row r="760">
      <c r="A760" t="inlineStr">
        <is>
          <t>G|FICO x ASSET_CLASS / REV_DEBT|outcome_loans|rate|6</t>
        </is>
      </c>
      <c r="E760" t="n">
        <v>0</v>
      </c>
      <c r="J760" t="n">
        <v>0</v>
      </c>
    </row>
    <row r="761">
      <c r="A761" t="inlineStr">
        <is>
          <t>G|FICO x ASSET_CLASS / REV_DEBT|outcome_loans|book|6</t>
        </is>
      </c>
    </row>
    <row r="762">
      <c r="A762" t="inlineStr">
        <is>
          <t>G|FICO x ASSET_CLASS / REV_DEBT|outcome_loans|band|6</t>
        </is>
      </c>
    </row>
    <row r="763">
      <c r="A763" t="inlineStr">
        <is>
          <t>G|FICO x ASSET_CLASS / REV_DEBT|outcome_loans|rate|7</t>
        </is>
      </c>
      <c r="B763" t="n">
        <v>0.04761904761904762</v>
      </c>
      <c r="C763" t="n">
        <v>0</v>
      </c>
      <c r="D763" t="n">
        <v>0.2222222222222222</v>
      </c>
      <c r="E763" t="n">
        <v>0.05555555555555555</v>
      </c>
      <c r="F763" t="n">
        <v>0.04761904761904762</v>
      </c>
      <c r="G763" t="n">
        <v>0.04545454545454546</v>
      </c>
      <c r="H763" t="n">
        <v>0.05263157894736842</v>
      </c>
      <c r="I763" t="n">
        <v>0.05</v>
      </c>
      <c r="J763" t="n">
        <v>0.0625</v>
      </c>
    </row>
    <row r="764">
      <c r="A764" t="inlineStr">
        <is>
          <t>G|FICO x ASSET_CLASS / REV_DEBT|outcome_loans|book|7</t>
        </is>
      </c>
      <c r="J764" t="n">
        <v>0.8076534733441034</v>
      </c>
    </row>
    <row r="765">
      <c r="A765" t="inlineStr">
        <is>
          <t>G|FICO x ASSET_CLASS / REV_DEBT|outcome_loans|band|7</t>
        </is>
      </c>
    </row>
    <row r="766">
      <c r="A766" t="inlineStr">
        <is>
          <t>G|FICO x ASSET_CLASS / REV_DEBT|outcome_loans|rate|8</t>
        </is>
      </c>
      <c r="B766" t="n">
        <v>0.09680638722554891</v>
      </c>
      <c r="C766" t="n">
        <v>0.03884462151394422</v>
      </c>
      <c r="D766" t="n">
        <v>0.07976071784646062</v>
      </c>
      <c r="E766" t="n">
        <v>0.04170804369414102</v>
      </c>
      <c r="F766" t="n">
        <v>0.1004140786749482</v>
      </c>
      <c r="G766" t="n">
        <v>0.05263157894736842</v>
      </c>
      <c r="H766" t="n">
        <v>0.1350293542074364</v>
      </c>
      <c r="I766" t="n">
        <v>0.07309941520467836</v>
      </c>
      <c r="J766" t="n">
        <v>0.07738467308413552</v>
      </c>
    </row>
    <row r="767">
      <c r="A767" t="inlineStr">
        <is>
          <t>G|FICO x ASSET_CLASS / REV_DEBT|outcome_loans|book|8</t>
        </is>
      </c>
      <c r="B767" t="n">
        <v>1.250976238153741</v>
      </c>
      <c r="C767" t="n">
        <v>0.5019678957835861</v>
      </c>
      <c r="D767" t="n">
        <v>1.030704332881807</v>
      </c>
      <c r="E767" t="n">
        <v>0.5389703416953699</v>
      </c>
      <c r="F767" t="n">
        <v>1.29759647063152</v>
      </c>
      <c r="G767" t="n">
        <v>0.6801292407108238</v>
      </c>
      <c r="H767" t="n">
        <v>1.744910830864756</v>
      </c>
      <c r="I767" t="n">
        <v>0.9446239454316998</v>
      </c>
      <c r="J767" t="n">
        <v>1</v>
      </c>
    </row>
    <row r="768">
      <c r="A768" t="inlineStr">
        <is>
          <t>G|FICO x ASSET_CLASS / REV_DEBT|outcome_loans|band|8</t>
        </is>
      </c>
    </row>
    <row r="769">
      <c r="A769" t="inlineStr">
        <is>
          <t>G|FICO x ASSET_CLASS / REV_DEBT|outcome_loans|meta</t>
        </is>
      </c>
      <c r="B769" t="inlineStr">
        <is>
          <t>x</t>
        </is>
      </c>
      <c r="C769" t="n">
        <v>3.560268372292374</v>
      </c>
      <c r="D769" t="n">
        <v>10</v>
      </c>
    </row>
    <row r="770">
      <c r="A770" t="inlineStr">
        <is>
          <t>G|FICO x ASSET_CLASS / REV_DEBT|outcome_booked|rate|1</t>
        </is>
      </c>
      <c r="B770" t="n">
        <v>0.1776535033489867</v>
      </c>
      <c r="C770" t="n">
        <v>0.08201682589278318</v>
      </c>
      <c r="D770" t="n">
        <v>0.1403339664803531</v>
      </c>
      <c r="E770" t="n">
        <v>0.07816292285129998</v>
      </c>
      <c r="F770" t="n">
        <v>0.19091082266495</v>
      </c>
      <c r="G770" t="n">
        <v>0.09225000057611124</v>
      </c>
      <c r="H770" t="n">
        <v>0.304769343636858</v>
      </c>
      <c r="I770" t="n">
        <v>0.1445162513754845</v>
      </c>
      <c r="J770" t="n">
        <v>0.1491655756309188</v>
      </c>
    </row>
    <row r="771">
      <c r="A771" t="inlineStr">
        <is>
          <t>G|FICO x ASSET_CLASS / REV_DEBT|outcome_booked|book|1</t>
        </is>
      </c>
      <c r="B771" t="n">
        <v>2.374130555970572</v>
      </c>
      <c r="C771" t="n">
        <v>1.0960586128902</v>
      </c>
      <c r="D771" t="n">
        <v>1.875398748580077</v>
      </c>
      <c r="E771" t="n">
        <v>1.044555722161615</v>
      </c>
      <c r="F771" t="n">
        <v>2.5512990681865</v>
      </c>
      <c r="G771" t="n">
        <v>1.232812981603932</v>
      </c>
      <c r="H771" t="n">
        <v>4.072884562428117</v>
      </c>
      <c r="I771" t="n">
        <v>1.931290077352807</v>
      </c>
      <c r="J771" t="n">
        <v>1.993422839000397</v>
      </c>
    </row>
    <row r="772">
      <c r="A772" t="inlineStr">
        <is>
          <t>G|FICO x ASSET_CLASS / REV_DEBT|outcome_booked|band|1</t>
        </is>
      </c>
      <c r="B772" t="n">
        <v>1.22491997717264</v>
      </c>
      <c r="C772" t="n">
        <v>0.5126109286297196</v>
      </c>
      <c r="D772" t="n">
        <v>0.9326756408402366</v>
      </c>
      <c r="E772" t="n">
        <v>0.488411631145218</v>
      </c>
      <c r="F772" t="n">
        <v>1.327648410526669</v>
      </c>
      <c r="G772" t="n">
        <v>0.5886139597872938</v>
      </c>
      <c r="H772" t="n">
        <v>2.384052443238249</v>
      </c>
      <c r="I772" t="n">
        <v>0.9646638926331998</v>
      </c>
    </row>
    <row r="773">
      <c r="A773" t="inlineStr">
        <is>
          <t>G|FICO x ASSET_CLASS / REV_DEBT|outcome_booked|rate|2</t>
        </is>
      </c>
      <c r="B773" t="n">
        <v>0.1002464517249287</v>
      </c>
      <c r="C773" t="n">
        <v>0.02873896147581314</v>
      </c>
      <c r="D773" t="n">
        <v>0.0959189068455603</v>
      </c>
      <c r="E773" t="n">
        <v>0.01783377011849997</v>
      </c>
      <c r="F773" t="n">
        <v>0.1019815279482863</v>
      </c>
      <c r="G773" t="n">
        <v>0.06612066591282724</v>
      </c>
      <c r="H773" t="n">
        <v>0.1580883464378709</v>
      </c>
      <c r="I773" t="n">
        <v>0.06872250146793302</v>
      </c>
      <c r="J773" t="n">
        <v>0.07985779590889651</v>
      </c>
    </row>
    <row r="774">
      <c r="A774" t="inlineStr">
        <is>
          <t>G|FICO x ASSET_CLASS / REV_DEBT|outcome_booked|book|2</t>
        </is>
      </c>
      <c r="B774" t="n">
        <v>1.339676165576385</v>
      </c>
      <c r="D774" t="n">
        <v>1.281843607609545</v>
      </c>
      <c r="F774" t="n">
        <v>1.362863422799898</v>
      </c>
      <c r="G774" t="n">
        <v>0.8836250924722352</v>
      </c>
      <c r="H774" t="n">
        <v>2.112665197959641</v>
      </c>
      <c r="I774" t="n">
        <v>0.9183955708278061</v>
      </c>
      <c r="J774" t="n">
        <v>1.067205711262177</v>
      </c>
    </row>
    <row r="775">
      <c r="A775" t="inlineStr">
        <is>
          <t>G|FICO x ASSET_CLASS / REV_DEBT|outcome_booked|band|2</t>
        </is>
      </c>
      <c r="B775" t="n">
        <v>1.302547017524476</v>
      </c>
      <c r="D775" t="n">
        <v>1.231553264146694</v>
      </c>
      <c r="F775" t="n">
        <v>1.325812520332648</v>
      </c>
      <c r="G775" t="n">
        <v>0.8079998947135721</v>
      </c>
      <c r="H775" t="n">
        <v>2.329363576216264</v>
      </c>
      <c r="I775" t="n">
        <v>0.8411593143563226</v>
      </c>
    </row>
    <row r="776">
      <c r="A776" t="inlineStr">
        <is>
          <t>G|FICO x ASSET_CLASS / REV_DEBT|outcome_booked|rate|3</t>
        </is>
      </c>
      <c r="B776" t="n">
        <v>0.09463195601465538</v>
      </c>
      <c r="C776" t="n">
        <v>0.02582652443193632</v>
      </c>
      <c r="D776" t="n">
        <v>0.03867344926402178</v>
      </c>
      <c r="E776" t="n">
        <v>0.03768778376393674</v>
      </c>
      <c r="F776" t="n">
        <v>0.09670046798985368</v>
      </c>
      <c r="G776" t="n">
        <v>0.03106953991943998</v>
      </c>
      <c r="H776" t="n">
        <v>0.100207432520574</v>
      </c>
      <c r="I776" t="n">
        <v>0.03099391236321126</v>
      </c>
      <c r="J776" t="n">
        <v>0.05686223568965073</v>
      </c>
    </row>
    <row r="777">
      <c r="A777" t="inlineStr">
        <is>
          <t>G|FICO x ASSET_CLASS / REV_DEBT|outcome_booked|book|3</t>
        </is>
      </c>
      <c r="B777" t="n">
        <v>1.264645020280361</v>
      </c>
      <c r="F777" t="n">
        <v>1.292288254965478</v>
      </c>
      <c r="H777" t="n">
        <v>1.339154719707985</v>
      </c>
      <c r="I777" t="n">
        <v>0.4141972604166695</v>
      </c>
      <c r="J777" t="n">
        <v>0.7598970393868686</v>
      </c>
    </row>
    <row r="778">
      <c r="A778" t="inlineStr">
        <is>
          <t>G|FICO x ASSET_CLASS / REV_DEBT|outcome_booked|band|3</t>
        </is>
      </c>
      <c r="B778" t="n">
        <v>1.823893768442028</v>
      </c>
      <c r="F778" t="n">
        <v>1.893325678640999</v>
      </c>
      <c r="H778" t="n">
        <v>1.985047913272732</v>
      </c>
      <c r="I778" t="n">
        <v>0.5086940998073995</v>
      </c>
    </row>
    <row r="779">
      <c r="A779" t="inlineStr">
        <is>
          <t>G|FICO x ASSET_CLASS / REV_DEBT|outcome_booked|rate|4</t>
        </is>
      </c>
      <c r="B779" t="n">
        <v>0.05178304677397362</v>
      </c>
      <c r="C779" t="n">
        <v>0.02915998355258734</v>
      </c>
      <c r="D779" t="n">
        <v>0.0493374737863789</v>
      </c>
      <c r="E779" t="n">
        <v>0.04149757340228395</v>
      </c>
      <c r="F779" t="n">
        <v>0.05781367763378699</v>
      </c>
      <c r="G779" t="n">
        <v>0.02661414975966821</v>
      </c>
      <c r="H779" t="n">
        <v>0.1134072867776015</v>
      </c>
      <c r="I779" t="n">
        <v>0.06344058437952375</v>
      </c>
      <c r="J779" t="n">
        <v>0.05451749193722222</v>
      </c>
    </row>
    <row r="780">
      <c r="A780" t="inlineStr">
        <is>
          <t>G|FICO x ASSET_CLASS / REV_DEBT|outcome_booked|book|4</t>
        </is>
      </c>
      <c r="D780" t="n">
        <v>0.6593374285478583</v>
      </c>
      <c r="F780" t="n">
        <v>0.7726119442394265</v>
      </c>
      <c r="H780" t="n">
        <v>1.51555527885939</v>
      </c>
      <c r="I780" t="n">
        <v>0.8478089484572822</v>
      </c>
      <c r="J780" t="n">
        <v>0.728562291219104</v>
      </c>
    </row>
    <row r="781">
      <c r="A781" t="inlineStr">
        <is>
          <t>G|FICO x ASSET_CLASS / REV_DEBT|outcome_booked|band|4</t>
        </is>
      </c>
      <c r="D781" t="n">
        <v>0.8912426857312931</v>
      </c>
      <c r="F781" t="n">
        <v>1.069369020247272</v>
      </c>
      <c r="H781" t="n">
        <v>2.464027842483047</v>
      </c>
      <c r="I781" t="n">
        <v>1.193189137051069</v>
      </c>
    </row>
    <row r="782">
      <c r="A782" t="inlineStr">
        <is>
          <t>G|FICO x ASSET_CLASS / REV_DEBT|outcome_booked|rate|5</t>
        </is>
      </c>
      <c r="B782" t="n">
        <v>0.02792507950026688</v>
      </c>
      <c r="C782" t="n">
        <v>0.0396491792563062</v>
      </c>
      <c r="D782" t="n">
        <v>0.07268338398632024</v>
      </c>
      <c r="E782" t="n">
        <v>0.01949440244174364</v>
      </c>
      <c r="F782" t="n">
        <v>0.03522225269739409</v>
      </c>
      <c r="G782" t="n">
        <v>0.03163275589961569</v>
      </c>
      <c r="H782" t="n">
        <v>0.0403399073987454</v>
      </c>
      <c r="I782" t="n">
        <v>0.02579827672839353</v>
      </c>
      <c r="J782" t="n">
        <v>0.03682990751373653</v>
      </c>
    </row>
    <row r="783">
      <c r="A783" t="inlineStr">
        <is>
          <t>G|FICO x ASSET_CLASS / REV_DEBT|outcome_booked|book|5</t>
        </is>
      </c>
      <c r="D783" t="n">
        <v>0.9713281167007688</v>
      </c>
      <c r="F783" t="n">
        <v>0.4707040660759204</v>
      </c>
      <c r="J783" t="n">
        <v>0.4921884857523174</v>
      </c>
    </row>
    <row r="784">
      <c r="A784" t="inlineStr">
        <is>
          <t>G|FICO x ASSET_CLASS / REV_DEBT|outcome_booked|band|5</t>
        </is>
      </c>
      <c r="D784" t="n">
        <v>2.31787692368213</v>
      </c>
      <c r="F784" t="n">
        <v>0.9506589565934175</v>
      </c>
    </row>
    <row r="785">
      <c r="A785" t="inlineStr">
        <is>
          <t>G|FICO x ASSET_CLASS / REV_DEBT|outcome_booked|rate|6</t>
        </is>
      </c>
      <c r="E785" t="n">
        <v>0</v>
      </c>
      <c r="J785" t="n">
        <v>0</v>
      </c>
    </row>
    <row r="786">
      <c r="A786" t="inlineStr">
        <is>
          <t>G|FICO x ASSET_CLASS / REV_DEBT|outcome_booked|book|6</t>
        </is>
      </c>
    </row>
    <row r="787">
      <c r="A787" t="inlineStr">
        <is>
          <t>G|FICO x ASSET_CLASS / REV_DEBT|outcome_booked|band|6</t>
        </is>
      </c>
    </row>
    <row r="788">
      <c r="A788" t="inlineStr">
        <is>
          <t>G|FICO x ASSET_CLASS / REV_DEBT|outcome_booked|rate|7</t>
        </is>
      </c>
      <c r="B788" t="n">
        <v>0.0203152463842837</v>
      </c>
      <c r="C788" t="n">
        <v>0</v>
      </c>
      <c r="D788" t="n">
        <v>0.1572578954933748</v>
      </c>
      <c r="E788" t="n">
        <v>0.08254514457469543</v>
      </c>
      <c r="F788" t="n">
        <v>0.01155966009754798</v>
      </c>
      <c r="G788" t="n">
        <v>0.05883024650331718</v>
      </c>
      <c r="H788" t="n">
        <v>0.05197187931494322</v>
      </c>
      <c r="I788" t="n">
        <v>0.0467261966073297</v>
      </c>
      <c r="J788" t="n">
        <v>0.04815037624246447</v>
      </c>
    </row>
    <row r="789">
      <c r="A789" t="inlineStr">
        <is>
          <t>G|FICO x ASSET_CLASS / REV_DEBT|outcome_booked|book|7</t>
        </is>
      </c>
      <c r="J789" t="n">
        <v>0.6434732631990416</v>
      </c>
    </row>
    <row r="790">
      <c r="A790" t="inlineStr">
        <is>
          <t>G|FICO x ASSET_CLASS / REV_DEBT|outcome_booked|band|7</t>
        </is>
      </c>
    </row>
    <row r="791">
      <c r="A791" t="inlineStr">
        <is>
          <t>G|FICO x ASSET_CLASS / REV_DEBT|outcome_booked|rate|8</t>
        </is>
      </c>
      <c r="B791" t="n">
        <v>0.08877287012249088</v>
      </c>
      <c r="C791" t="n">
        <v>0.04132950517156352</v>
      </c>
      <c r="D791" t="n">
        <v>0.0793195337085091</v>
      </c>
      <c r="E791" t="n">
        <v>0.04056334820326499</v>
      </c>
      <c r="F791" t="n">
        <v>0.09352879111320181</v>
      </c>
      <c r="G791" t="n">
        <v>0.04928054427084168</v>
      </c>
      <c r="H791" t="n">
        <v>0.1422097831484798</v>
      </c>
      <c r="I791" t="n">
        <v>0.06590640123008341</v>
      </c>
      <c r="J791" t="n">
        <v>0.07482886857347222</v>
      </c>
    </row>
    <row r="792">
      <c r="A792" t="inlineStr">
        <is>
          <t>G|FICO x ASSET_CLASS / REV_DEBT|outcome_booked|book|8</t>
        </is>
      </c>
      <c r="B792" t="n">
        <v>1.186345214284876</v>
      </c>
      <c r="C792" t="n">
        <v>0.5523203271606766</v>
      </c>
      <c r="D792" t="n">
        <v>1.060012468725589</v>
      </c>
      <c r="E792" t="n">
        <v>0.5420815385366544</v>
      </c>
      <c r="F792" t="n">
        <v>1.249902516184226</v>
      </c>
      <c r="G792" t="n">
        <v>0.6585766323922767</v>
      </c>
      <c r="H792" t="n">
        <v>1.900466836657407</v>
      </c>
      <c r="I792" t="n">
        <v>0.8807616964750948</v>
      </c>
      <c r="J792" t="n">
        <v>0.9999999999999983</v>
      </c>
    </row>
    <row r="793">
      <c r="A793" t="inlineStr">
        <is>
          <t>G|FICO x ASSET_CLASS / REV_DEBT|outcome_booked|band|8</t>
        </is>
      </c>
    </row>
    <row r="794">
      <c r="A794" t="inlineStr">
        <is>
          <t>G|FICO x ASSET_CLASS / REV_DEBT|outcome_booked|meta</t>
        </is>
      </c>
      <c r="B794" t="inlineStr">
        <is>
          <t>x</t>
        </is>
      </c>
      <c r="C794" t="n">
        <v>4.072884562428117</v>
      </c>
      <c r="D794" t="n">
        <v>10</v>
      </c>
    </row>
    <row r="795">
      <c r="A795" t="inlineStr">
        <is>
          <t>G|FICO x ASSET_CLASS / REV_DEBT|gco_rate|rate|1</t>
        </is>
      </c>
      <c r="B795" t="n">
        <v>0.1008308232778384</v>
      </c>
      <c r="C795" t="n">
        <v>0.04867322792044745</v>
      </c>
      <c r="D795" t="n">
        <v>0.07946871687528502</v>
      </c>
      <c r="E795" t="n">
        <v>0.04014623761004307</v>
      </c>
      <c r="F795" t="n">
        <v>0.1070651708037772</v>
      </c>
      <c r="G795" t="n">
        <v>0.05452460673597305</v>
      </c>
      <c r="H795" t="n">
        <v>0.1658199313705223</v>
      </c>
      <c r="I795" t="n">
        <v>0.08092422356532687</v>
      </c>
      <c r="J795" t="n">
        <v>0.08345255929305037</v>
      </c>
    </row>
    <row r="796">
      <c r="A796" t="inlineStr">
        <is>
          <t>G|FICO x ASSET_CLASS / REV_DEBT|gco_rate|book|1</t>
        </is>
      </c>
      <c r="B796" t="n">
        <v>2.423511122210032</v>
      </c>
      <c r="C796" t="n">
        <v>1.169881444823973</v>
      </c>
      <c r="D796" t="n">
        <v>1.910063936345379</v>
      </c>
      <c r="E796" t="n">
        <v>0.9649316568082656</v>
      </c>
      <c r="F796" t="n">
        <v>2.573356279451311</v>
      </c>
      <c r="G796" t="n">
        <v>1.310521788507522</v>
      </c>
      <c r="H796" t="n">
        <v>3.985551589251887</v>
      </c>
      <c r="I796" t="n">
        <v>1.945047650026341</v>
      </c>
      <c r="J796" t="n">
        <v>2.005817259532897</v>
      </c>
    </row>
    <row r="797">
      <c r="A797" t="inlineStr">
        <is>
          <t>G|FICO x ASSET_CLASS / REV_DEBT|gco_rate|band|1</t>
        </is>
      </c>
      <c r="B797" t="n">
        <v>1.245847131468912</v>
      </c>
      <c r="C797" t="n">
        <v>0.5465309039911073</v>
      </c>
      <c r="D797" t="n">
        <v>0.9456316711722665</v>
      </c>
      <c r="E797" t="n">
        <v>0.445482856633468</v>
      </c>
      <c r="F797" t="n">
        <v>1.331359002688526</v>
      </c>
      <c r="G797" t="n">
        <v>0.6246296544128618</v>
      </c>
      <c r="H797" t="n">
        <v>2.297576594112566</v>
      </c>
      <c r="I797" t="n">
        <v>0.965651919324663</v>
      </c>
    </row>
    <row r="798">
      <c r="A798" t="inlineStr">
        <is>
          <t>G|FICO x ASSET_CLASS / REV_DEBT|gco_rate|rate|2</t>
        </is>
      </c>
      <c r="B798" t="n">
        <v>0.04973004835981126</v>
      </c>
      <c r="C798" t="n">
        <v>0.01646412716947108</v>
      </c>
      <c r="D798" t="n">
        <v>0.05550286134457802</v>
      </c>
      <c r="E798" t="n">
        <v>0.01040454735248314</v>
      </c>
      <c r="F798" t="n">
        <v>0.06194200675706962</v>
      </c>
      <c r="G798" t="n">
        <v>0.03701836981544279</v>
      </c>
      <c r="H798" t="n">
        <v>0.08559393173934525</v>
      </c>
      <c r="I798" t="n">
        <v>0.04428118369068784</v>
      </c>
      <c r="J798" t="n">
        <v>0.04521453740915432</v>
      </c>
    </row>
    <row r="799">
      <c r="A799" t="inlineStr">
        <is>
          <t>G|FICO x ASSET_CLASS / REV_DEBT|gco_rate|book|2</t>
        </is>
      </c>
      <c r="B799" t="n">
        <v>1.195282567275583</v>
      </c>
      <c r="D799" t="n">
        <v>1.334034548269234</v>
      </c>
      <c r="F799" t="n">
        <v>1.488802108598487</v>
      </c>
      <c r="G799" t="n">
        <v>0.889752042652696</v>
      </c>
      <c r="H799" t="n">
        <v>2.057286044292194</v>
      </c>
      <c r="I799" t="n">
        <v>1.064316819900393</v>
      </c>
      <c r="J799" t="n">
        <v>1.086750367937848</v>
      </c>
    </row>
    <row r="800">
      <c r="A800" t="inlineStr">
        <is>
          <t>G|FICO x ASSET_CLASS / REV_DEBT|gco_rate|band|2</t>
        </is>
      </c>
      <c r="B800" t="n">
        <v>1.115694642398098</v>
      </c>
      <c r="D800" t="n">
        <v>1.262849534388298</v>
      </c>
      <c r="F800" t="n">
        <v>1.440735462037166</v>
      </c>
      <c r="G800" t="n">
        <v>0.7979345048484309</v>
      </c>
      <c r="H800" t="n">
        <v>2.193270999651162</v>
      </c>
      <c r="I800" t="n">
        <v>0.97602445497579</v>
      </c>
    </row>
    <row r="801">
      <c r="A801" t="inlineStr">
        <is>
          <t>G|FICO x ASSET_CLASS / REV_DEBT|gco_rate|rate|3</t>
        </is>
      </c>
      <c r="B801" t="n">
        <v>0.05731163188495881</v>
      </c>
      <c r="C801" t="n">
        <v>0.01235011711227176</v>
      </c>
      <c r="D801" t="n">
        <v>0.01802623979488066</v>
      </c>
      <c r="E801" t="n">
        <v>0.01940084895051813</v>
      </c>
      <c r="F801" t="n">
        <v>0.05429354775612905</v>
      </c>
      <c r="G801" t="n">
        <v>0.01398685945368052</v>
      </c>
      <c r="H801" t="n">
        <v>0.05998365365267481</v>
      </c>
      <c r="I801" t="n">
        <v>0.01735536347515332</v>
      </c>
      <c r="J801" t="n">
        <v>0.03151500509362794</v>
      </c>
    </row>
    <row r="802">
      <c r="A802" t="inlineStr">
        <is>
          <t>G|FICO x ASSET_CLASS / REV_DEBT|gco_rate|book|3</t>
        </is>
      </c>
      <c r="B802" t="n">
        <v>1.377509106738917</v>
      </c>
      <c r="F802" t="n">
        <v>1.304968189029361</v>
      </c>
      <c r="H802" t="n">
        <v>1.441732270473318</v>
      </c>
      <c r="I802" t="n">
        <v>0.417143439324435</v>
      </c>
      <c r="J802" t="n">
        <v>0.7574763636557552</v>
      </c>
    </row>
    <row r="803">
      <c r="A803" t="inlineStr">
        <is>
          <t>G|FICO x ASSET_CLASS / REV_DEBT|gco_rate|band|3</t>
        </is>
      </c>
      <c r="B803" t="n">
        <v>2.038451682052987</v>
      </c>
      <c r="F803" t="n">
        <v>1.924916873615748</v>
      </c>
      <c r="H803" t="n">
        <v>2.195277104516749</v>
      </c>
      <c r="I803" t="n">
        <v>0.5143745606949561</v>
      </c>
    </row>
    <row r="804">
      <c r="A804" t="inlineStr">
        <is>
          <t>G|FICO x ASSET_CLASS / REV_DEBT|gco_rate|rate|4</t>
        </is>
      </c>
      <c r="B804" t="n">
        <v>0.03358926790128303</v>
      </c>
      <c r="C804" t="n">
        <v>0.01545980608348578</v>
      </c>
      <c r="D804" t="n">
        <v>0.02598278565254327</v>
      </c>
      <c r="E804" t="n">
        <v>0.02669475662838779</v>
      </c>
      <c r="F804" t="n">
        <v>0.02868294838858653</v>
      </c>
      <c r="G804" t="n">
        <v>0.01770166037043502</v>
      </c>
      <c r="H804" t="n">
        <v>0.06055151782313644</v>
      </c>
      <c r="I804" t="n">
        <v>0.03203987507712396</v>
      </c>
      <c r="J804" t="n">
        <v>0.03026397173122729</v>
      </c>
    </row>
    <row r="805">
      <c r="A805" t="inlineStr">
        <is>
          <t>G|FICO x ASSET_CLASS / REV_DEBT|gco_rate|book|4</t>
        </is>
      </c>
      <c r="D805" t="n">
        <v>0.6245071493805598</v>
      </c>
      <c r="F805" t="n">
        <v>0.68940669308999</v>
      </c>
      <c r="H805" t="n">
        <v>1.455381123951645</v>
      </c>
      <c r="I805" t="n">
        <v>0.7700918338201883</v>
      </c>
      <c r="J805" t="n">
        <v>0.7274072521532198</v>
      </c>
    </row>
    <row r="806">
      <c r="A806" t="inlineStr">
        <is>
          <t>G|FICO x ASSET_CLASS / REV_DEBT|gco_rate|band|4</t>
        </is>
      </c>
      <c r="D806" t="n">
        <v>0.8392557007544494</v>
      </c>
      <c r="F806" t="n">
        <v>0.9409801199181701</v>
      </c>
      <c r="H806" t="n">
        <v>2.338581900475411</v>
      </c>
      <c r="I806" t="n">
        <v>1.068161917465681</v>
      </c>
    </row>
    <row r="807">
      <c r="A807" t="inlineStr">
        <is>
          <t>G|FICO x ASSET_CLASS / REV_DEBT|gco_rate|rate|5</t>
        </is>
      </c>
      <c r="B807" t="n">
        <v>0.01629595594885676</v>
      </c>
      <c r="C807" t="n">
        <v>0.02069662879440021</v>
      </c>
      <c r="D807" t="n">
        <v>0.03621704483166226</v>
      </c>
      <c r="E807" t="n">
        <v>0.01177335037908184</v>
      </c>
      <c r="F807" t="n">
        <v>0.01849106985552772</v>
      </c>
      <c r="G807" t="n">
        <v>0.01525773609470073</v>
      </c>
      <c r="H807" t="n">
        <v>0.02355061452316496</v>
      </c>
      <c r="I807" t="n">
        <v>0.01212095743289128</v>
      </c>
      <c r="J807" t="n">
        <v>0.01940834703954903</v>
      </c>
    </row>
    <row r="808">
      <c r="A808" t="inlineStr">
        <is>
          <t>G|FICO x ASSET_CLASS / REV_DEBT|gco_rate|book|5</t>
        </is>
      </c>
      <c r="D808" t="n">
        <v>0.8704918606213971</v>
      </c>
      <c r="F808" t="n">
        <v>0.4444406184500885</v>
      </c>
      <c r="J808" t="n">
        <v>0.4664877602402493</v>
      </c>
    </row>
    <row r="809">
      <c r="A809" t="inlineStr">
        <is>
          <t>G|FICO x ASSET_CLASS / REV_DEBT|gco_rate|band|5</t>
        </is>
      </c>
      <c r="D809" t="n">
        <v>2.150284858057198</v>
      </c>
      <c r="F809" t="n">
        <v>0.9466032935025499</v>
      </c>
    </row>
    <row r="810">
      <c r="A810" t="inlineStr">
        <is>
          <t>G|FICO x ASSET_CLASS / REV_DEBT|gco_rate|rate|6</t>
        </is>
      </c>
      <c r="E810" t="n">
        <v>0</v>
      </c>
      <c r="J810" t="n">
        <v>0</v>
      </c>
    </row>
    <row r="811">
      <c r="A811" t="inlineStr">
        <is>
          <t>G|FICO x ASSET_CLASS / REV_DEBT|gco_rate|book|6</t>
        </is>
      </c>
    </row>
    <row r="812">
      <c r="A812" t="inlineStr">
        <is>
          <t>G|FICO x ASSET_CLASS / REV_DEBT|gco_rate|band|6</t>
        </is>
      </c>
    </row>
    <row r="813">
      <c r="A813" t="inlineStr">
        <is>
          <t>G|FICO x ASSET_CLASS / REV_DEBT|gco_rate|rate|7</t>
        </is>
      </c>
      <c r="B813" t="n">
        <v>0.008746718872282186</v>
      </c>
      <c r="C813" t="n">
        <v>0</v>
      </c>
      <c r="D813" t="n">
        <v>0.0931813320931872</v>
      </c>
      <c r="E813" t="n">
        <v>0.0353193514499607</v>
      </c>
      <c r="F813" t="n">
        <v>0.007682845949922312</v>
      </c>
      <c r="G813" t="n">
        <v>0.03916811933159653</v>
      </c>
      <c r="H813" t="n">
        <v>0.02615711706437057</v>
      </c>
      <c r="I813" t="n">
        <v>0.01699981107013662</v>
      </c>
      <c r="J813" t="n">
        <v>0.02551311188947889</v>
      </c>
    </row>
    <row r="814">
      <c r="A814" t="inlineStr">
        <is>
          <t>G|FICO x ASSET_CLASS / REV_DEBT|gco_rate|book|7</t>
        </is>
      </c>
      <c r="J814" t="n">
        <v>0.6132183435214595</v>
      </c>
    </row>
    <row r="815">
      <c r="A815" t="inlineStr">
        <is>
          <t>G|FICO x ASSET_CLASS / REV_DEBT|gco_rate|band|7</t>
        </is>
      </c>
    </row>
    <row r="816">
      <c r="A816" t="inlineStr">
        <is>
          <t>G|FICO x ASSET_CLASS / REV_DEBT|gco_rate|rate|8</t>
        </is>
      </c>
      <c r="B816" t="n">
        <v>0.05047565947053708</v>
      </c>
      <c r="C816" t="n">
        <v>0.02298320684632591</v>
      </c>
      <c r="D816" t="n">
        <v>0.04296473700399416</v>
      </c>
      <c r="E816" t="n">
        <v>0.02243127029654082</v>
      </c>
      <c r="F816" t="n">
        <v>0.0523832199426172</v>
      </c>
      <c r="G816" t="n">
        <v>0.02764678332887651</v>
      </c>
      <c r="H816" t="n">
        <v>0.07842245897455748</v>
      </c>
      <c r="I816" t="n">
        <v>0.03684276021799297</v>
      </c>
      <c r="J816" t="n">
        <v>0.04160526533333562</v>
      </c>
    </row>
    <row r="817">
      <c r="A817" t="inlineStr">
        <is>
          <t>G|FICO x ASSET_CLASS / REV_DEBT|gco_rate|book|8</t>
        </is>
      </c>
      <c r="B817" t="n">
        <v>1.213203643003669</v>
      </c>
      <c r="C817" t="n">
        <v>0.552411014860442</v>
      </c>
      <c r="D817" t="n">
        <v>1.032675471716539</v>
      </c>
      <c r="E817" t="n">
        <v>0.5391449884245316</v>
      </c>
      <c r="F817" t="n">
        <v>1.259052658910599</v>
      </c>
      <c r="G817" t="n">
        <v>0.6645020313504624</v>
      </c>
      <c r="H817" t="n">
        <v>1.88491668893943</v>
      </c>
      <c r="I817" t="n">
        <v>0.8855311923338033</v>
      </c>
      <c r="J817" t="n">
        <v>0.9999999999999993</v>
      </c>
    </row>
    <row r="818">
      <c r="A818" t="inlineStr">
        <is>
          <t>G|FICO x ASSET_CLASS / REV_DEBT|gco_rate|band|8</t>
        </is>
      </c>
    </row>
    <row r="819">
      <c r="A819" t="inlineStr">
        <is>
          <t>G|FICO x ASSET_CLASS / REV_DEBT|gco_rate|meta</t>
        </is>
      </c>
      <c r="B819" t="inlineStr">
        <is>
          <t>x</t>
        </is>
      </c>
      <c r="C819" t="n">
        <v>3.985551589251887</v>
      </c>
      <c r="D819" t="n">
        <v>10</v>
      </c>
    </row>
    <row r="820">
      <c r="A820" t="inlineStr">
        <is>
          <t>G|FICO x ASSET_CLASS / REV_DEBT|ranr_rate|rate|1</t>
        </is>
      </c>
      <c r="B820" t="n">
        <v>0.1886820213435038</v>
      </c>
      <c r="C820" t="n">
        <v>0.2251296703560336</v>
      </c>
      <c r="D820" t="n">
        <v>0.1838899434928226</v>
      </c>
      <c r="E820" t="n">
        <v>0.2263645637999502</v>
      </c>
      <c r="F820" t="n">
        <v>0.1559419637692386</v>
      </c>
      <c r="G820" t="n">
        <v>0.226551451937346</v>
      </c>
      <c r="H820" t="n">
        <v>0.126856371151841</v>
      </c>
      <c r="I820" t="n">
        <v>0.1784644182278831</v>
      </c>
      <c r="J820" t="n">
        <v>0.1901717430158449</v>
      </c>
    </row>
    <row r="821">
      <c r="A821" t="inlineStr">
        <is>
          <t>G|FICO x ASSET_CLASS / REV_DEBT|ranr_rate|book|1</t>
        </is>
      </c>
      <c r="B821" t="n">
        <v>6.06919717</v>
      </c>
      <c r="C821" t="n">
        <v>9.713962070999999</v>
      </c>
      <c r="D821" t="n">
        <v>5.589989384</v>
      </c>
      <c r="E821" t="n">
        <v>9.837451415</v>
      </c>
      <c r="F821" t="n">
        <v>2.795191412</v>
      </c>
      <c r="G821" t="n">
        <v>9.856140228999999</v>
      </c>
      <c r="H821" t="n">
        <v>-0.11336785</v>
      </c>
      <c r="I821" t="n">
        <v>5.047436858</v>
      </c>
      <c r="J821" t="n">
        <v>6.218169337</v>
      </c>
    </row>
    <row r="822">
      <c r="A822" t="inlineStr">
        <is>
          <t>G|FICO x ASSET_CLASS / REV_DEBT|ranr_rate|band|1</t>
        </is>
      </c>
      <c r="B822" t="n">
        <v>-0.170565993</v>
      </c>
      <c r="C822" t="n">
        <v>4.059266516</v>
      </c>
      <c r="D822" t="n">
        <v>-0.720447098</v>
      </c>
      <c r="E822" t="n">
        <v>4.176379611</v>
      </c>
      <c r="F822" t="n">
        <v>-3.862885947</v>
      </c>
      <c r="G822" t="n">
        <v>4.120704072</v>
      </c>
      <c r="H822" t="n">
        <v>-7.198693578</v>
      </c>
      <c r="I822" t="n">
        <v>-1.332856311</v>
      </c>
    </row>
    <row r="823">
      <c r="A823" t="inlineStr">
        <is>
          <t>G|FICO x ASSET_CLASS / REV_DEBT|ranr_rate|rate|2</t>
        </is>
      </c>
      <c r="B823" t="n">
        <v>0.1549370922105574</v>
      </c>
      <c r="C823" t="n">
        <v>0.1995591155707371</v>
      </c>
      <c r="D823" t="n">
        <v>0.1567654294139183</v>
      </c>
      <c r="E823" t="n">
        <v>0.197920662113626</v>
      </c>
      <c r="F823" t="n">
        <v>0.1504068162887819</v>
      </c>
      <c r="G823" t="n">
        <v>0.1684264369179184</v>
      </c>
      <c r="H823" t="n">
        <v>0.1222461949771341</v>
      </c>
      <c r="I823" t="n">
        <v>0.1565071759878942</v>
      </c>
      <c r="J823" t="n">
        <v>0.1630754408239561</v>
      </c>
    </row>
    <row r="824">
      <c r="A824" t="inlineStr">
        <is>
          <t>G|FICO x ASSET_CLASS / REV_DEBT|ranr_rate|book|2</t>
        </is>
      </c>
      <c r="B824" t="n">
        <v>2.694704256</v>
      </c>
      <c r="C824" t="n">
        <v>7.156906592</v>
      </c>
      <c r="D824" t="n">
        <v>2.877537977</v>
      </c>
      <c r="E824" t="n">
        <v>6.993061247</v>
      </c>
      <c r="F824" t="n">
        <v>2.241676664</v>
      </c>
      <c r="G824" t="n">
        <v>4.043638727</v>
      </c>
      <c r="H824" t="n">
        <v>-0.574385467</v>
      </c>
      <c r="I824" t="n">
        <v>2.851712634</v>
      </c>
      <c r="J824" t="n">
        <v>3.508539118</v>
      </c>
    </row>
    <row r="825">
      <c r="A825" t="inlineStr">
        <is>
          <t>G|FICO x ASSET_CLASS / REV_DEBT|ranr_rate|band|2</t>
        </is>
      </c>
      <c r="B825" t="n">
        <v>-0.9294288979999999</v>
      </c>
      <c r="C825" t="n">
        <v>4.201128907</v>
      </c>
      <c r="D825" t="n">
        <v>-0.708527141</v>
      </c>
      <c r="E825" t="n">
        <v>3.945760229</v>
      </c>
      <c r="F825" t="n">
        <v>-1.435087043</v>
      </c>
      <c r="G825" t="n">
        <v>0.612020554</v>
      </c>
      <c r="H825" t="n">
        <v>-4.708703273</v>
      </c>
      <c r="I825" t="n">
        <v>-0.765475692</v>
      </c>
    </row>
    <row r="826">
      <c r="A826" t="inlineStr">
        <is>
          <t>G|FICO x ASSET_CLASS / REV_DEBT|ranr_rate|rate|3</t>
        </is>
      </c>
      <c r="B826" t="n">
        <v>0.1217329511952542</v>
      </c>
      <c r="C826" t="n">
        <v>0.1574619098039047</v>
      </c>
      <c r="D826" t="n">
        <v>0.1548191263885656</v>
      </c>
      <c r="E826" t="n">
        <v>0.1511219299654526</v>
      </c>
      <c r="F826" t="n">
        <v>0.1133961918855517</v>
      </c>
      <c r="G826" t="n">
        <v>0.151732812141801</v>
      </c>
      <c r="H826" t="n">
        <v>0.1197751944733056</v>
      </c>
      <c r="I826" t="n">
        <v>0.1640003629240932</v>
      </c>
      <c r="J826" t="n">
        <v>0.1419183148673722</v>
      </c>
    </row>
    <row r="827">
      <c r="A827" t="inlineStr">
        <is>
          <t>G|FICO x ASSET_CLASS / REV_DEBT|ranr_rate|book|3</t>
        </is>
      </c>
      <c r="B827" t="n">
        <v>-0.625709845</v>
      </c>
      <c r="C827" t="n">
        <v>2.947186016</v>
      </c>
      <c r="D827" t="n">
        <v>2.682907674</v>
      </c>
      <c r="E827" t="n">
        <v>2.313188032</v>
      </c>
      <c r="F827" t="n">
        <v>-1.459385776</v>
      </c>
      <c r="G827" t="n">
        <v>2.374276249</v>
      </c>
      <c r="H827" t="n">
        <v>-0.8214855170000001</v>
      </c>
      <c r="I827" t="n">
        <v>3.601031328</v>
      </c>
      <c r="J827" t="n">
        <v>1.392826522</v>
      </c>
    </row>
    <row r="828">
      <c r="A828" t="inlineStr">
        <is>
          <t>G|FICO x ASSET_CLASS / REV_DEBT|ranr_rate|band|3</t>
        </is>
      </c>
      <c r="B828" t="n">
        <v>-2.284558613</v>
      </c>
      <c r="C828" t="n">
        <v>1.756050068</v>
      </c>
      <c r="D828" t="n">
        <v>1.479601222</v>
      </c>
      <c r="E828" t="n">
        <v>1.052718843</v>
      </c>
      <c r="F828" t="n">
        <v>-3.266591722</v>
      </c>
      <c r="G828" t="n">
        <v>1.120210594</v>
      </c>
      <c r="H828" t="n">
        <v>-2.540294912</v>
      </c>
      <c r="I828" t="n">
        <v>2.555305032</v>
      </c>
    </row>
    <row r="829">
      <c r="A829" t="inlineStr">
        <is>
          <t>G|FICO x ASSET_CLASS / REV_DEBT|ranr_rate|rate|4</t>
        </is>
      </c>
      <c r="B829" t="n">
        <v>0.09458535913085228</v>
      </c>
      <c r="C829" t="n">
        <v>0.108216154192779</v>
      </c>
      <c r="D829" t="n">
        <v>0.09660909174429867</v>
      </c>
      <c r="E829" t="n">
        <v>0.09179478861826301</v>
      </c>
      <c r="F829" t="n">
        <v>0.09898237301877513</v>
      </c>
      <c r="G829" t="n">
        <v>0.1027596715685189</v>
      </c>
      <c r="H829" t="n">
        <v>0.07473491412481559</v>
      </c>
      <c r="I829" t="n">
        <v>0.1017534013214242</v>
      </c>
      <c r="J829" t="n">
        <v>0.09596924359374787</v>
      </c>
    </row>
    <row r="830">
      <c r="A830" t="inlineStr">
        <is>
          <t>G|FICO x ASSET_CLASS / REV_DEBT|ranr_rate|book|4</t>
        </is>
      </c>
      <c r="B830" t="n">
        <v>-3.340469052</v>
      </c>
      <c r="C830" t="n">
        <v>-1.977389546</v>
      </c>
      <c r="D830" t="n">
        <v>-3.13809579</v>
      </c>
      <c r="E830" t="n">
        <v>-3.619526103</v>
      </c>
      <c r="F830" t="n">
        <v>-2.900767663</v>
      </c>
      <c r="G830" t="n">
        <v>-2.523037808</v>
      </c>
      <c r="H830" t="n">
        <v>-5.325513552</v>
      </c>
      <c r="I830" t="n">
        <v>-2.623664833</v>
      </c>
      <c r="J830" t="n">
        <v>-3.202080605</v>
      </c>
    </row>
    <row r="831">
      <c r="A831" t="inlineStr">
        <is>
          <t>G|FICO x ASSET_CLASS / REV_DEBT|ranr_rate|band|4</t>
        </is>
      </c>
      <c r="B831" t="n">
        <v>-0.156182914</v>
      </c>
      <c r="C831" t="n">
        <v>1.379768697</v>
      </c>
      <c r="D831" t="n">
        <v>0.074367818</v>
      </c>
      <c r="E831" t="n">
        <v>-0.483199609</v>
      </c>
      <c r="F831" t="n">
        <v>0.342826729</v>
      </c>
      <c r="G831" t="n">
        <v>0.771253937</v>
      </c>
      <c r="H831" t="n">
        <v>-2.429647087</v>
      </c>
      <c r="I831" t="n">
        <v>0.665833009</v>
      </c>
    </row>
    <row r="832">
      <c r="A832" t="inlineStr">
        <is>
          <t>G|FICO x ASSET_CLASS / REV_DEBT|ranr_rate|rate|5</t>
        </is>
      </c>
      <c r="B832" t="n">
        <v>0.05355872577594062</v>
      </c>
      <c r="C832" t="n">
        <v>0.044179900564805</v>
      </c>
      <c r="D832" t="n">
        <v>0.02681600267712342</v>
      </c>
      <c r="E832" t="n">
        <v>0.05257728818329967</v>
      </c>
      <c r="F832" t="n">
        <v>0.05368166074009264</v>
      </c>
      <c r="G832" t="n">
        <v>0.0488445981202534</v>
      </c>
      <c r="H832" t="n">
        <v>0.04454328104072967</v>
      </c>
      <c r="I832" t="n">
        <v>0.05078966528231849</v>
      </c>
      <c r="J832" t="n">
        <v>0.04674341748455087</v>
      </c>
    </row>
    <row r="833">
      <c r="A833" t="inlineStr">
        <is>
          <t>G|FICO x ASSET_CLASS / REV_DEBT|ranr_rate|book|5</t>
        </is>
      </c>
      <c r="B833" t="n">
        <v>-7.443132387</v>
      </c>
      <c r="C833" t="n">
        <v>-8.381014907999999</v>
      </c>
      <c r="D833" t="n">
        <v>-10.117404697</v>
      </c>
      <c r="E833" t="n">
        <v>-7.541276146</v>
      </c>
      <c r="F833" t="n">
        <v>-7.430838891</v>
      </c>
      <c r="G833" t="n">
        <v>-7.914545153</v>
      </c>
      <c r="H833" t="n">
        <v>-8.344676861</v>
      </c>
      <c r="I833" t="n">
        <v>-7.720038437</v>
      </c>
      <c r="J833" t="n">
        <v>-8.124663216</v>
      </c>
    </row>
    <row r="834">
      <c r="A834" t="inlineStr">
        <is>
          <t>G|FICO x ASSET_CLASS / REV_DEBT|ranr_rate|band|5</t>
        </is>
      </c>
      <c r="B834" t="n">
        <v>0.786966273</v>
      </c>
      <c r="C834" t="n">
        <v>-0.294666337</v>
      </c>
      <c r="D834" t="n">
        <v>-2.296885304</v>
      </c>
      <c r="E834" t="n">
        <v>0.667540656</v>
      </c>
      <c r="F834" t="n">
        <v>0.788964441</v>
      </c>
      <c r="G834" t="n">
        <v>0.240876753</v>
      </c>
      <c r="H834" t="n">
        <v>-0.248184912</v>
      </c>
      <c r="I834" t="n">
        <v>0.457576607</v>
      </c>
    </row>
    <row r="835">
      <c r="A835" t="inlineStr">
        <is>
          <t>G|FICO x ASSET_CLASS / REV_DEBT|ranr_rate|rate|6</t>
        </is>
      </c>
      <c r="E835" t="n">
        <v>0.140296941334961</v>
      </c>
      <c r="J835" t="n">
        <v>0.140296941334961</v>
      </c>
    </row>
    <row r="836">
      <c r="A836" t="inlineStr">
        <is>
          <t>G|FICO x ASSET_CLASS / REV_DEBT|ranr_rate|book|6</t>
        </is>
      </c>
      <c r="E836" t="n">
        <v>1.230689169</v>
      </c>
      <c r="J836" t="n">
        <v>1.230689169</v>
      </c>
    </row>
    <row r="837">
      <c r="A837" t="inlineStr">
        <is>
          <t>G|FICO x ASSET_CLASS / REV_DEBT|ranr_rate|band|6</t>
        </is>
      </c>
    </row>
    <row r="838">
      <c r="A838" t="inlineStr">
        <is>
          <t>G|FICO x ASSET_CLASS / REV_DEBT|ranr_rate|rate|7</t>
        </is>
      </c>
      <c r="B838" t="n">
        <v>0.2004818097899483</v>
      </c>
      <c r="C838" t="n">
        <v>0.1610487542813872</v>
      </c>
      <c r="D838" t="n">
        <v>0.08166208735669818</v>
      </c>
      <c r="E838" t="n">
        <v>0.1365061191703253</v>
      </c>
      <c r="F838" t="n">
        <v>0.2282480963426888</v>
      </c>
      <c r="G838" t="n">
        <v>0.09002167572650475</v>
      </c>
      <c r="H838" t="n">
        <v>0.1798611636330496</v>
      </c>
      <c r="I838" t="n">
        <v>0.1502441430701106</v>
      </c>
      <c r="J838" t="n">
        <v>0.1551731988462655</v>
      </c>
    </row>
    <row r="839">
      <c r="A839" t="inlineStr">
        <is>
          <t>G|FICO x ASSET_CLASS / REV_DEBT|ranr_rate|book|7</t>
        </is>
      </c>
      <c r="B839" t="n">
        <v>7.249176014</v>
      </c>
      <c r="C839" t="n">
        <v>3.305870463</v>
      </c>
      <c r="D839" t="n">
        <v>-4.632796229</v>
      </c>
      <c r="E839" t="n">
        <v>0.851606952</v>
      </c>
      <c r="F839" t="n">
        <v>10.025804669</v>
      </c>
      <c r="G839" t="n">
        <v>-3.796837392</v>
      </c>
      <c r="H839" t="n">
        <v>5.187111398</v>
      </c>
      <c r="I839" t="n">
        <v>2.225409342</v>
      </c>
      <c r="J839" t="n">
        <v>2.71831492</v>
      </c>
    </row>
    <row r="840">
      <c r="A840" t="inlineStr">
        <is>
          <t>G|FICO x ASSET_CLASS / REV_DEBT|ranr_rate|band|7</t>
        </is>
      </c>
      <c r="B840" t="n">
        <v>5.239420434</v>
      </c>
      <c r="C840" t="n">
        <v>0.692332226</v>
      </c>
      <c r="D840" t="n">
        <v>-8.092973969000001</v>
      </c>
      <c r="E840" t="n">
        <v>-2.106435338</v>
      </c>
      <c r="F840" t="n">
        <v>8.389601919</v>
      </c>
      <c r="G840" t="n">
        <v>-7.661152046</v>
      </c>
      <c r="H840" t="n">
        <v>2.778100867</v>
      </c>
      <c r="I840" t="n">
        <v>-0.558878639</v>
      </c>
    </row>
    <row r="841">
      <c r="A841" t="inlineStr">
        <is>
          <t>G|FICO x ASSET_CLASS / REV_DEBT|ranr_rate|rate|8</t>
        </is>
      </c>
      <c r="B841" t="n">
        <v>0.1239542469636147</v>
      </c>
      <c r="C841" t="n">
        <v>0.1490267725864337</v>
      </c>
      <c r="D841" t="n">
        <v>0.1209878336922424</v>
      </c>
      <c r="E841" t="n">
        <v>0.1429135864572221</v>
      </c>
      <c r="F841" t="n">
        <v>0.1161471667841837</v>
      </c>
      <c r="G841" t="n">
        <v>0.1371645883211172</v>
      </c>
      <c r="H841" t="n">
        <v>0.1001799030771007</v>
      </c>
      <c r="I841" t="n">
        <v>0.1324150797970068</v>
      </c>
      <c r="J841" t="n">
        <v>0.1279900496481477</v>
      </c>
    </row>
    <row r="842">
      <c r="A842" t="inlineStr">
        <is>
          <t>G|FICO x ASSET_CLASS / REV_DEBT|ranr_rate|book|8</t>
        </is>
      </c>
      <c r="B842" t="n">
        <v>-0.403580268</v>
      </c>
      <c r="C842" t="n">
        <v>2.103672294</v>
      </c>
      <c r="D842" t="n">
        <v>-0.700221596</v>
      </c>
      <c r="E842" t="n">
        <v>1.492353681</v>
      </c>
      <c r="F842" t="n">
        <v>-1.184288286</v>
      </c>
      <c r="G842" t="n">
        <v>0.917453867</v>
      </c>
      <c r="H842" t="n">
        <v>-2.781014657</v>
      </c>
      <c r="I842" t="n">
        <v>0.442503015</v>
      </c>
      <c r="J842" t="n">
        <v>0</v>
      </c>
    </row>
    <row r="843">
      <c r="A843" t="inlineStr">
        <is>
          <t>G|FICO x ASSET_CLASS / REV_DEBT|ranr_rate|band|8</t>
        </is>
      </c>
    </row>
    <row r="844">
      <c r="A844" t="inlineStr">
        <is>
          <t>G|FICO x ASSET_CLASS / REV_DEBT|ranr_rate|meta</t>
        </is>
      </c>
      <c r="B844" t="inlineStr">
        <is>
          <t>pts</t>
        </is>
      </c>
      <c r="C844" t="n">
        <v>10.117404697</v>
      </c>
      <c r="D844" t="n">
        <v>10</v>
      </c>
    </row>
    <row r="845">
      <c r="A845" t="inlineStr">
        <is>
          <t>G|FICO x ASSET_CLASS / REV_DEBT|contribution_rate|rate|1</t>
        </is>
      </c>
      <c r="B845" t="n">
        <v>0.2895128446213422</v>
      </c>
      <c r="C845" t="n">
        <v>0.2738028982764811</v>
      </c>
      <c r="D845" t="n">
        <v>0.2633586603681077</v>
      </c>
      <c r="E845" t="n">
        <v>0.2665108014099932</v>
      </c>
      <c r="F845" t="n">
        <v>0.2630071345730159</v>
      </c>
      <c r="G845" t="n">
        <v>0.2810760586733191</v>
      </c>
      <c r="H845" t="n">
        <v>0.2926763025223634</v>
      </c>
      <c r="I845" t="n">
        <v>0.2593886417932098</v>
      </c>
      <c r="J845" t="n">
        <v>0.2736243023088953</v>
      </c>
    </row>
    <row r="846">
      <c r="A846" t="inlineStr">
        <is>
          <t>G|FICO x ASSET_CLASS / REV_DEBT|contribution_rate|book|1</t>
        </is>
      </c>
      <c r="B846" t="n">
        <v>11.992038889</v>
      </c>
      <c r="C846" t="n">
        <v>10.421044254</v>
      </c>
      <c r="D846" t="n">
        <v>9.376620463</v>
      </c>
      <c r="E846" t="n">
        <v>9.691834568000001</v>
      </c>
      <c r="F846" t="n">
        <v>9.341467884</v>
      </c>
      <c r="G846" t="n">
        <v>11.148360294</v>
      </c>
      <c r="H846" t="n">
        <v>12.308384679</v>
      </c>
      <c r="I846" t="n">
        <v>8.979618606000001</v>
      </c>
      <c r="J846" t="n">
        <v>10.403184657</v>
      </c>
    </row>
    <row r="847">
      <c r="A847" t="inlineStr">
        <is>
          <t>G|FICO x ASSET_CLASS / REV_DEBT|contribution_rate|band|1</t>
        </is>
      </c>
      <c r="B847" t="n">
        <v>1.819161963</v>
      </c>
      <c r="C847" t="n">
        <v>0.020738318</v>
      </c>
      <c r="D847" t="n">
        <v>-1.177346064</v>
      </c>
      <c r="E847" t="n">
        <v>-0.820844562</v>
      </c>
      <c r="F847" t="n">
        <v>-1.19816455</v>
      </c>
      <c r="G847" t="n">
        <v>0.844055208</v>
      </c>
      <c r="H847" t="n">
        <v>2.166132924</v>
      </c>
      <c r="I847" t="n">
        <v>-1.620702449</v>
      </c>
    </row>
    <row r="848">
      <c r="A848" t="inlineStr">
        <is>
          <t>G|FICO x ASSET_CLASS / REV_DEBT|contribution_rate|rate|2</t>
        </is>
      </c>
      <c r="B848" t="n">
        <v>0.2046671405703687</v>
      </c>
      <c r="C848" t="n">
        <v>0.2160232427402082</v>
      </c>
      <c r="D848" t="n">
        <v>0.2122682907584964</v>
      </c>
      <c r="E848" t="n">
        <v>0.2083252094661092</v>
      </c>
      <c r="F848" t="n">
        <v>0.2123488230458513</v>
      </c>
      <c r="G848" t="n">
        <v>0.2054448067333612</v>
      </c>
      <c r="H848" t="n">
        <v>0.2078401267164794</v>
      </c>
      <c r="I848" t="n">
        <v>0.2007883596785821</v>
      </c>
      <c r="J848" t="n">
        <v>0.2082899782331104</v>
      </c>
    </row>
    <row r="849">
      <c r="A849" t="inlineStr">
        <is>
          <t>G|FICO x ASSET_CLASS / REV_DEBT|contribution_rate|book|2</t>
        </is>
      </c>
      <c r="B849" t="n">
        <v>3.507468484</v>
      </c>
      <c r="C849" t="n">
        <v>4.643078701</v>
      </c>
      <c r="D849" t="n">
        <v>4.267583502</v>
      </c>
      <c r="E849" t="n">
        <v>3.873275373</v>
      </c>
      <c r="F849" t="n">
        <v>4.275636731</v>
      </c>
      <c r="G849" t="n">
        <v>3.5852351</v>
      </c>
      <c r="H849" t="n">
        <v>3.824767098</v>
      </c>
      <c r="I849" t="n">
        <v>3.119590394</v>
      </c>
      <c r="J849" t="n">
        <v>3.86975225</v>
      </c>
    </row>
    <row r="850">
      <c r="A850" t="inlineStr">
        <is>
          <t>G|FICO x ASSET_CLASS / REV_DEBT|contribution_rate|band|2</t>
        </is>
      </c>
      <c r="B850" t="n">
        <v>-0.413741187</v>
      </c>
      <c r="C850" t="n">
        <v>0.890492564</v>
      </c>
      <c r="D850" t="n">
        <v>0.446709557</v>
      </c>
      <c r="E850" t="n">
        <v>0.003989471</v>
      </c>
      <c r="F850" t="n">
        <v>0.459781216</v>
      </c>
      <c r="G850" t="n">
        <v>-0.32541669</v>
      </c>
      <c r="H850" t="n">
        <v>-0.051879903</v>
      </c>
      <c r="I850" t="n">
        <v>-0.874250171</v>
      </c>
    </row>
    <row r="851">
      <c r="A851" t="inlineStr">
        <is>
          <t>G|FICO x ASSET_CLASS / REV_DEBT|contribution_rate|rate|3</t>
        </is>
      </c>
      <c r="B851" t="n">
        <v>0.1790445830802131</v>
      </c>
      <c r="C851" t="n">
        <v>0.1698120269161765</v>
      </c>
      <c r="D851" t="n">
        <v>0.1728453661834463</v>
      </c>
      <c r="E851" t="n">
        <v>0.1705227789159706</v>
      </c>
      <c r="F851" t="n">
        <v>0.1676897396416807</v>
      </c>
      <c r="G851" t="n">
        <v>0.1657196715954816</v>
      </c>
      <c r="H851" t="n">
        <v>0.1797588481259804</v>
      </c>
      <c r="I851" t="n">
        <v>0.1813557263992465</v>
      </c>
      <c r="J851" t="n">
        <v>0.1734333199610001</v>
      </c>
    </row>
    <row r="852">
      <c r="A852" t="inlineStr">
        <is>
          <t>G|FICO x ASSET_CLASS / REV_DEBT|contribution_rate|book|3</t>
        </is>
      </c>
      <c r="B852" t="n">
        <v>0.945212735</v>
      </c>
      <c r="C852" t="n">
        <v>0.021957118</v>
      </c>
      <c r="D852" t="n">
        <v>0.325291045</v>
      </c>
      <c r="E852" t="n">
        <v>0.093032318</v>
      </c>
      <c r="F852" t="n">
        <v>-0.190271609</v>
      </c>
      <c r="G852" t="n">
        <v>-0.387278414</v>
      </c>
      <c r="H852" t="n">
        <v>1.016639239</v>
      </c>
      <c r="I852" t="n">
        <v>1.176327066</v>
      </c>
      <c r="J852" t="n">
        <v>0.384086423</v>
      </c>
    </row>
    <row r="853">
      <c r="A853" t="inlineStr">
        <is>
          <t>G|FICO x ASSET_CLASS / REV_DEBT|contribution_rate|band|3</t>
        </is>
      </c>
      <c r="B853" t="n">
        <v>0.635076964</v>
      </c>
      <c r="C853" t="n">
        <v>-0.409118478</v>
      </c>
      <c r="D853" t="n">
        <v>-0.067432745</v>
      </c>
      <c r="E853" t="n">
        <v>-0.332910641</v>
      </c>
      <c r="F853" t="n">
        <v>-0.657802785</v>
      </c>
      <c r="G853" t="n">
        <v>-0.880423151</v>
      </c>
      <c r="H853" t="n">
        <v>0.725674915</v>
      </c>
      <c r="I853" t="n">
        <v>0.9167702639999999</v>
      </c>
    </row>
    <row r="854">
      <c r="A854" t="inlineStr">
        <is>
          <t>G|FICO x ASSET_CLASS / REV_DEBT|contribution_rate|rate|4</t>
        </is>
      </c>
      <c r="B854" t="n">
        <v>0.1281746270321353</v>
      </c>
      <c r="C854" t="n">
        <v>0.1234090942729375</v>
      </c>
      <c r="D854" t="n">
        <v>0.122591877396842</v>
      </c>
      <c r="E854" t="n">
        <v>0.1184895452466507</v>
      </c>
      <c r="F854" t="n">
        <v>0.1276653214073616</v>
      </c>
      <c r="G854" t="n">
        <v>0.1204613319389539</v>
      </c>
      <c r="H854" t="n">
        <v>0.1352864319479519</v>
      </c>
      <c r="I854" t="n">
        <v>0.1337932763985482</v>
      </c>
      <c r="J854" t="n">
        <v>0.1261938892004919</v>
      </c>
    </row>
    <row r="855">
      <c r="A855" t="inlineStr">
        <is>
          <t>G|FICO x ASSET_CLASS / REV_DEBT|contribution_rate|book|4</t>
        </is>
      </c>
      <c r="B855" t="n">
        <v>-4.14178287</v>
      </c>
      <c r="C855" t="n">
        <v>-4.618336146</v>
      </c>
      <c r="D855" t="n">
        <v>-4.700057834</v>
      </c>
      <c r="E855" t="n">
        <v>-5.110291049</v>
      </c>
      <c r="F855" t="n">
        <v>-4.192713433</v>
      </c>
      <c r="G855" t="n">
        <v>-4.91311238</v>
      </c>
      <c r="H855" t="n">
        <v>-3.430602379</v>
      </c>
      <c r="I855" t="n">
        <v>-3.579917934</v>
      </c>
      <c r="J855" t="n">
        <v>-4.339856653</v>
      </c>
    </row>
    <row r="856">
      <c r="A856" t="inlineStr">
        <is>
          <t>G|FICO x ASSET_CLASS / REV_DEBT|contribution_rate|band|4</t>
        </is>
      </c>
      <c r="B856" t="n">
        <v>0.223565135</v>
      </c>
      <c r="C856" t="n">
        <v>-0.313498622</v>
      </c>
      <c r="D856" t="n">
        <v>-0.418704875</v>
      </c>
      <c r="E856" t="n">
        <v>-0.89189887</v>
      </c>
      <c r="F856" t="n">
        <v>0.167433996</v>
      </c>
      <c r="G856" t="n">
        <v>-0.651170137</v>
      </c>
      <c r="H856" t="n">
        <v>1.040491799</v>
      </c>
      <c r="I856" t="n">
        <v>0.874892655</v>
      </c>
    </row>
    <row r="857">
      <c r="A857" t="inlineStr">
        <is>
          <t>G|FICO x ASSET_CLASS / REV_DEBT|contribution_rate|rate|5</t>
        </is>
      </c>
      <c r="B857" t="n">
        <v>0.06985468172479734</v>
      </c>
      <c r="C857" t="n">
        <v>0.06487652935920522</v>
      </c>
      <c r="D857" t="n">
        <v>0.06303304750878572</v>
      </c>
      <c r="E857" t="n">
        <v>0.06435063856238148</v>
      </c>
      <c r="F857" t="n">
        <v>0.07217273059562036</v>
      </c>
      <c r="G857" t="n">
        <v>0.06410233421495413</v>
      </c>
      <c r="H857" t="n">
        <v>0.06809389556389468</v>
      </c>
      <c r="I857" t="n">
        <v>0.06291062271520974</v>
      </c>
      <c r="J857" t="n">
        <v>0.0661517645240999</v>
      </c>
    </row>
    <row r="858">
      <c r="A858" t="inlineStr">
        <is>
          <t>G|FICO x ASSET_CLASS / REV_DEBT|contribution_rate|book|5</t>
        </is>
      </c>
      <c r="B858" t="n">
        <v>-9.973777401</v>
      </c>
      <c r="C858" t="n">
        <v>-10.471592638</v>
      </c>
      <c r="D858" t="n">
        <v>-10.655940823</v>
      </c>
      <c r="E858" t="n">
        <v>-10.524181717</v>
      </c>
      <c r="F858" t="n">
        <v>-9.741972514</v>
      </c>
      <c r="G858" t="n">
        <v>-10.549012152</v>
      </c>
      <c r="H858" t="n">
        <v>-10.149856017</v>
      </c>
      <c r="I858" t="n">
        <v>-10.668183302</v>
      </c>
      <c r="J858" t="n">
        <v>-10.344069121</v>
      </c>
    </row>
    <row r="859">
      <c r="A859" t="inlineStr">
        <is>
          <t>G|FICO x ASSET_CLASS / REV_DEBT|contribution_rate|band|5</t>
        </is>
      </c>
      <c r="B859" t="n">
        <v>0.427577275</v>
      </c>
      <c r="C859" t="n">
        <v>-0.146583341</v>
      </c>
      <c r="D859" t="n">
        <v>-0.359471379</v>
      </c>
      <c r="E859" t="n">
        <v>-0.206093839</v>
      </c>
      <c r="F859" t="n">
        <v>0.684658631</v>
      </c>
      <c r="G859" t="n">
        <v>-0.234944159</v>
      </c>
      <c r="H859" t="n">
        <v>0.219080786</v>
      </c>
      <c r="I859" t="n">
        <v>-0.366529868</v>
      </c>
    </row>
    <row r="860">
      <c r="A860" t="inlineStr">
        <is>
          <t>G|FICO x ASSET_CLASS / REV_DEBT|contribution_rate|rate|6</t>
        </is>
      </c>
      <c r="E860" t="n">
        <v>0.140296941334961</v>
      </c>
      <c r="J860" t="n">
        <v>0.140296941334961</v>
      </c>
    </row>
    <row r="861">
      <c r="A861" t="inlineStr">
        <is>
          <t>G|FICO x ASSET_CLASS / REV_DEBT|contribution_rate|book|6</t>
        </is>
      </c>
      <c r="E861" t="n">
        <v>-2.92955144</v>
      </c>
      <c r="J861" t="n">
        <v>-2.92955144</v>
      </c>
    </row>
    <row r="862">
      <c r="A862" t="inlineStr">
        <is>
          <t>G|FICO x ASSET_CLASS / REV_DEBT|contribution_rate|band|6</t>
        </is>
      </c>
    </row>
    <row r="863">
      <c r="A863" t="inlineStr">
        <is>
          <t>G|FICO x ASSET_CLASS / REV_DEBT|contribution_rate|rate|7</t>
        </is>
      </c>
      <c r="B863" t="n">
        <v>0.2092285286622305</v>
      </c>
      <c r="C863" t="n">
        <v>0.1610487542813872</v>
      </c>
      <c r="D863" t="n">
        <v>0.1748434194498854</v>
      </c>
      <c r="E863" t="n">
        <v>0.171825470620286</v>
      </c>
      <c r="F863" t="n">
        <v>0.2359309422926111</v>
      </c>
      <c r="G863" t="n">
        <v>0.1291897950581012</v>
      </c>
      <c r="H863" t="n">
        <v>0.2060182806974201</v>
      </c>
      <c r="I863" t="n">
        <v>0.1672439541402472</v>
      </c>
      <c r="J863" t="n">
        <v>0.1806863107357444</v>
      </c>
    </row>
    <row r="864">
      <c r="A864" t="inlineStr">
        <is>
          <t>G|FICO x ASSET_CLASS / REV_DEBT|contribution_rate|book|7</t>
        </is>
      </c>
      <c r="B864" t="n">
        <v>3.963607293</v>
      </c>
      <c r="C864" t="n">
        <v>-0.854370145</v>
      </c>
      <c r="D864" t="n">
        <v>0.525096371</v>
      </c>
      <c r="E864" t="n">
        <v>0.223301489</v>
      </c>
      <c r="F864" t="n">
        <v>6.633848656</v>
      </c>
      <c r="G864" t="n">
        <v>-4.040266068</v>
      </c>
      <c r="H864" t="n">
        <v>3.642582496</v>
      </c>
      <c r="I864" t="n">
        <v>-0.234850159</v>
      </c>
      <c r="J864" t="n">
        <v>1.1093855</v>
      </c>
    </row>
    <row r="865">
      <c r="A865" t="inlineStr">
        <is>
          <t>G|FICO x ASSET_CLASS / REV_DEBT|contribution_rate|band|7</t>
        </is>
      </c>
      <c r="B865" t="n">
        <v>3.300579663</v>
      </c>
      <c r="C865" t="n">
        <v>-2.31394518</v>
      </c>
      <c r="D865" t="n">
        <v>-0.643254688</v>
      </c>
      <c r="E865" t="n">
        <v>-0.999877167</v>
      </c>
      <c r="F865" t="n">
        <v>6.34254009</v>
      </c>
      <c r="G865" t="n">
        <v>-6.055462982</v>
      </c>
      <c r="H865" t="n">
        <v>2.850569835</v>
      </c>
      <c r="I865" t="n">
        <v>-1.524155193</v>
      </c>
    </row>
    <row r="866">
      <c r="A866" t="inlineStr">
        <is>
          <t>G|FICO x ASSET_CLASS / REV_DEBT|contribution_rate|rate|8</t>
        </is>
      </c>
      <c r="B866" t="n">
        <v>0.1744299064341518</v>
      </c>
      <c r="C866" t="n">
        <v>0.1720129685360187</v>
      </c>
      <c r="D866" t="n">
        <v>0.1639525706962366</v>
      </c>
      <c r="E866" t="n">
        <v>0.1653448567537629</v>
      </c>
      <c r="F866" t="n">
        <v>0.1685303867268009</v>
      </c>
      <c r="G866" t="n">
        <v>0.1648113716499937</v>
      </c>
      <c r="H866" t="n">
        <v>0.1786023620516582</v>
      </c>
      <c r="I866" t="n">
        <v>0.1692578400149998</v>
      </c>
      <c r="J866" t="n">
        <v>0.1695924557349812</v>
      </c>
    </row>
    <row r="867">
      <c r="A867" t="inlineStr">
        <is>
          <t>G|FICO x ASSET_CLASS / REV_DEBT|contribution_rate|book|8</t>
        </is>
      </c>
      <c r="B867" t="n">
        <v>0.48374507</v>
      </c>
      <c r="C867" t="n">
        <v>0.24205128</v>
      </c>
      <c r="D867" t="n">
        <v>-0.563988504</v>
      </c>
      <c r="E867" t="n">
        <v>-0.424759898</v>
      </c>
      <c r="F867" t="n">
        <v>-0.106206901</v>
      </c>
      <c r="G867" t="n">
        <v>-0.478108408</v>
      </c>
      <c r="H867" t="n">
        <v>0.900990632</v>
      </c>
      <c r="I867" t="n">
        <v>-0.033461572</v>
      </c>
      <c r="J867" t="n">
        <v>0</v>
      </c>
    </row>
    <row r="868">
      <c r="A868" t="inlineStr">
        <is>
          <t>G|FICO x ASSET_CLASS / REV_DEBT|contribution_rate|band|8</t>
        </is>
      </c>
    </row>
    <row r="869">
      <c r="A869" t="inlineStr">
        <is>
          <t>G|FICO x ASSET_CLASS / REV_DEBT|contribution_rate|meta</t>
        </is>
      </c>
      <c r="B869" t="inlineStr">
        <is>
          <t>pts</t>
        </is>
      </c>
      <c r="C869" t="n">
        <v>12.308384679</v>
      </c>
      <c r="D869" t="n">
        <v>10</v>
      </c>
    </row>
    <row r="870">
      <c r="A870" t="inlineStr">
        <is>
          <t>G|ORIG_BAL x CHANNEL / REV_DEBT|cols</t>
        </is>
      </c>
      <c r="B870" t="inlineStr">
        <is>
          <t>Branch · high</t>
        </is>
      </c>
      <c r="C870" t="inlineStr">
        <is>
          <t>Branch · low</t>
        </is>
      </c>
      <c r="D870" t="inlineStr">
        <is>
          <t>Broker · high</t>
        </is>
      </c>
      <c r="E870" t="inlineStr">
        <is>
          <t>Broker · low</t>
        </is>
      </c>
      <c r="F870" t="inlineStr">
        <is>
          <t>Online · high</t>
        </is>
      </c>
      <c r="G870" t="inlineStr">
        <is>
          <t>Online · low</t>
        </is>
      </c>
      <c r="H870" t="inlineStr">
        <is>
          <t>All</t>
        </is>
      </c>
    </row>
    <row r="871">
      <c r="A871" t="inlineStr">
        <is>
          <t>G|ORIG_BAL x CHANNEL / REV_DEBT|rows</t>
        </is>
      </c>
      <c r="B871" t="inlineStr">
        <is>
          <t>5,005 - 15,448</t>
        </is>
      </c>
      <c r="C871" t="inlineStr">
        <is>
          <t>15,449 - 26,323</t>
        </is>
      </c>
      <c r="D871" t="inlineStr">
        <is>
          <t>26,324 - 37,950</t>
        </is>
      </c>
      <c r="E871" t="inlineStr">
        <is>
          <t>37,951 - 49,151</t>
        </is>
      </c>
      <c r="F871" t="inlineStr">
        <is>
          <t>49,152 - 59,984</t>
        </is>
      </c>
      <c r="G871" t="inlineStr">
        <is>
          <t>(blank)</t>
        </is>
      </c>
      <c r="H871" t="inlineStr">
        <is>
          <t>All</t>
        </is>
      </c>
    </row>
    <row r="872">
      <c r="A872" t="inlineStr">
        <is>
          <t>G|ORIG_BAL x CHANNEL / REV_DEBT|names</t>
        </is>
      </c>
      <c r="B872" t="inlineStr">
        <is>
          <t>ORIG_BAL</t>
        </is>
      </c>
      <c r="C872" t="inlineStr">
        <is>
          <t>CHANNEL / REV_DEBT</t>
        </is>
      </c>
    </row>
    <row r="873">
      <c r="A873" t="inlineStr">
        <is>
          <t>G|ORIG_BAL x CHANNEL / REV_DEBT|total</t>
        </is>
      </c>
      <c r="B873" t="n">
        <v>8000</v>
      </c>
    </row>
    <row r="874">
      <c r="A874" t="inlineStr">
        <is>
          <t>G|ORIG_BAL x CHANNEL / REV_DEBT|loans|1</t>
        </is>
      </c>
      <c r="B874" t="n">
        <v>271</v>
      </c>
      <c r="C874" t="n">
        <v>271</v>
      </c>
      <c r="D874" t="n">
        <v>257</v>
      </c>
      <c r="E874" t="n">
        <v>257</v>
      </c>
      <c r="F874" t="n">
        <v>272</v>
      </c>
      <c r="G874" t="n">
        <v>272</v>
      </c>
      <c r="H874" t="n">
        <v>1600</v>
      </c>
    </row>
    <row r="875">
      <c r="A875" t="inlineStr">
        <is>
          <t>G|ORIG_BAL x CHANNEL / REV_DEBT|loans|2</t>
        </is>
      </c>
      <c r="B875" t="n">
        <v>262</v>
      </c>
      <c r="C875" t="n">
        <v>263</v>
      </c>
      <c r="D875" t="n">
        <v>268</v>
      </c>
      <c r="E875" t="n">
        <v>269</v>
      </c>
      <c r="F875" t="n">
        <v>269</v>
      </c>
      <c r="G875" t="n">
        <v>269</v>
      </c>
      <c r="H875" t="n">
        <v>1600</v>
      </c>
    </row>
    <row r="876">
      <c r="A876" t="inlineStr">
        <is>
          <t>G|ORIG_BAL x CHANNEL / REV_DEBT|loans|3</t>
        </is>
      </c>
      <c r="B876" t="n">
        <v>259</v>
      </c>
      <c r="C876" t="n">
        <v>259</v>
      </c>
      <c r="D876" t="n">
        <v>276</v>
      </c>
      <c r="E876" t="n">
        <v>277</v>
      </c>
      <c r="F876" t="n">
        <v>264</v>
      </c>
      <c r="G876" t="n">
        <v>264</v>
      </c>
      <c r="H876" t="n">
        <v>1599</v>
      </c>
    </row>
    <row r="877">
      <c r="A877" t="inlineStr">
        <is>
          <t>G|ORIG_BAL x CHANNEL / REV_DEBT|loans|4</t>
        </is>
      </c>
      <c r="B877" t="n">
        <v>263</v>
      </c>
      <c r="C877" t="n">
        <v>263</v>
      </c>
      <c r="D877" t="n">
        <v>265</v>
      </c>
      <c r="E877" t="n">
        <v>266</v>
      </c>
      <c r="F877" t="n">
        <v>271</v>
      </c>
      <c r="G877" t="n">
        <v>272</v>
      </c>
      <c r="H877" t="n">
        <v>1600</v>
      </c>
    </row>
    <row r="878">
      <c r="A878" t="inlineStr">
        <is>
          <t>G|ORIG_BAL x CHANNEL / REV_DEBT|loans|5</t>
        </is>
      </c>
      <c r="B878" t="n">
        <v>257</v>
      </c>
      <c r="C878" t="n">
        <v>258</v>
      </c>
      <c r="D878" t="n">
        <v>260</v>
      </c>
      <c r="E878" t="n">
        <v>260</v>
      </c>
      <c r="F878" t="n">
        <v>282</v>
      </c>
      <c r="G878" t="n">
        <v>283</v>
      </c>
      <c r="H878" t="n">
        <v>1600</v>
      </c>
    </row>
    <row r="879">
      <c r="A879" t="inlineStr">
        <is>
          <t>G|ORIG_BAL x CHANNEL / REV_DEBT|loans|6</t>
        </is>
      </c>
      <c r="C879" t="n">
        <v>1</v>
      </c>
      <c r="H879" t="n">
        <v>1</v>
      </c>
    </row>
    <row r="880">
      <c r="A880" t="inlineStr">
        <is>
          <t>G|ORIG_BAL x CHANNEL / REV_DEBT|loans|7</t>
        </is>
      </c>
      <c r="B880" t="n">
        <v>1312</v>
      </c>
      <c r="C880" t="n">
        <v>1315</v>
      </c>
      <c r="D880" t="n">
        <v>1326</v>
      </c>
      <c r="E880" t="n">
        <v>1329</v>
      </c>
      <c r="F880" t="n">
        <v>1358</v>
      </c>
      <c r="G880" t="n">
        <v>1360</v>
      </c>
      <c r="H880" t="n">
        <v>8000</v>
      </c>
    </row>
    <row r="881">
      <c r="A881" t="inlineStr">
        <is>
          <t>G|ORIG_BAL x CHANNEL / REV_DEBT|outcome_loans|rate|1</t>
        </is>
      </c>
      <c r="B881" t="n">
        <v>0.08487084870848709</v>
      </c>
      <c r="C881" t="n">
        <v>0.04428044280442804</v>
      </c>
      <c r="D881" t="n">
        <v>0.1361867704280156</v>
      </c>
      <c r="E881" t="n">
        <v>0.0311284046692607</v>
      </c>
      <c r="F881" t="n">
        <v>0.1102941176470588</v>
      </c>
      <c r="G881" t="n">
        <v>0.05514705882352941</v>
      </c>
      <c r="H881" t="n">
        <v>0.076875</v>
      </c>
    </row>
    <row r="882">
      <c r="A882" t="inlineStr">
        <is>
          <t>G|ORIG_BAL x CHANNEL / REV_DEBT|outcome_loans|book|1</t>
        </is>
      </c>
      <c r="B882" t="n">
        <v>1.096739771921144</v>
      </c>
      <c r="C882" t="n">
        <v>0.5722120549153795</v>
      </c>
      <c r="D882" t="n">
        <v>1.759867490555244</v>
      </c>
      <c r="F882" t="n">
        <v>1.425270835313124</v>
      </c>
      <c r="G882" t="n">
        <v>0.7126354176565618</v>
      </c>
      <c r="H882" t="n">
        <v>0.9934137722132471</v>
      </c>
    </row>
    <row r="883">
      <c r="A883" t="inlineStr">
        <is>
          <t>G|ORIG_BAL x CHANNEL / REV_DEBT|outcome_loans|band|1</t>
        </is>
      </c>
      <c r="B883" t="n">
        <v>1.127933579335793</v>
      </c>
      <c r="C883" t="n">
        <v>0.5301685449286925</v>
      </c>
      <c r="D883" t="n">
        <v>2.078395825963919</v>
      </c>
      <c r="F883" t="n">
        <v>1.574952561669829</v>
      </c>
      <c r="G883" t="n">
        <v>0.6781045751633987</v>
      </c>
    </row>
    <row r="884">
      <c r="A884" t="inlineStr">
        <is>
          <t>G|ORIG_BAL x CHANNEL / REV_DEBT|outcome_loans|rate|2</t>
        </is>
      </c>
      <c r="B884" t="n">
        <v>0.08396946564885496</v>
      </c>
      <c r="C884" t="n">
        <v>0.05703422053231939</v>
      </c>
      <c r="D884" t="n">
        <v>0.1716417910447761</v>
      </c>
      <c r="E884" t="n">
        <v>0.06319702602230483</v>
      </c>
      <c r="F884" t="n">
        <v>0.1189591078066914</v>
      </c>
      <c r="G884" t="n">
        <v>0.06319702602230483</v>
      </c>
      <c r="H884" t="n">
        <v>0.093125</v>
      </c>
    </row>
    <row r="885">
      <c r="A885" t="inlineStr">
        <is>
          <t>G|ORIG_BAL x CHANNEL / REV_DEBT|outcome_loans|book|2</t>
        </is>
      </c>
      <c r="B885" t="n">
        <v>1.085091689378337</v>
      </c>
      <c r="C885" t="n">
        <v>0.7370221809984213</v>
      </c>
      <c r="D885" t="n">
        <v>2.21803341933306</v>
      </c>
      <c r="E885" t="n">
        <v>0.8166607611509149</v>
      </c>
      <c r="F885" t="n">
        <v>1.53724378569584</v>
      </c>
      <c r="G885" t="n">
        <v>0.8166607611509149</v>
      </c>
      <c r="H885" t="n">
        <v>1.203403675282714</v>
      </c>
    </row>
    <row r="886">
      <c r="A886" t="inlineStr">
        <is>
          <t>G|ORIG_BAL x CHANNEL / REV_DEBT|outcome_loans|band|2</t>
        </is>
      </c>
      <c r="B886" t="n">
        <v>0.884654685339905</v>
      </c>
      <c r="C886" t="n">
        <v>0.5690653197888883</v>
      </c>
      <c r="D886" t="n">
        <v>2.219678307491668</v>
      </c>
      <c r="E886" t="n">
        <v>0.6372366790582403</v>
      </c>
      <c r="F886" t="n">
        <v>1.353286944365011</v>
      </c>
      <c r="G886" t="n">
        <v>0.6372366790582403</v>
      </c>
    </row>
    <row r="887">
      <c r="A887" t="inlineStr">
        <is>
          <t>G|ORIG_BAL x CHANNEL / REV_DEBT|outcome_loans|rate|3</t>
        </is>
      </c>
      <c r="B887" t="n">
        <v>0.08139534883720931</v>
      </c>
      <c r="C887" t="n">
        <v>0.04633204633204633</v>
      </c>
      <c r="D887" t="n">
        <v>0.1268115942028986</v>
      </c>
      <c r="E887" t="n">
        <v>0.02166064981949458</v>
      </c>
      <c r="F887" t="n">
        <v>0.1098484848484848</v>
      </c>
      <c r="G887" t="n">
        <v>0.02651515151515152</v>
      </c>
      <c r="H887" t="n">
        <v>0.06883604505632041</v>
      </c>
    </row>
    <row r="888">
      <c r="A888" t="inlineStr">
        <is>
          <t>G|ORIG_BAL x CHANNEL / REV_DEBT|outcome_loans|book|3</t>
        </is>
      </c>
      <c r="B888" t="n">
        <v>1.051827779238832</v>
      </c>
      <c r="C888" t="n">
        <v>0.5987238103554743</v>
      </c>
      <c r="D888" t="n">
        <v>1.638717192292384</v>
      </c>
      <c r="F888" t="n">
        <v>1.419512165271454</v>
      </c>
      <c r="H888" t="n">
        <v>0.8895307340961339</v>
      </c>
    </row>
    <row r="889">
      <c r="A889" t="inlineStr">
        <is>
          <t>G|ORIG_BAL x CHANNEL / REV_DEBT|outcome_loans|band|3</t>
        </is>
      </c>
      <c r="B889" t="n">
        <v>1.225503004964724</v>
      </c>
      <c r="C889" t="n">
        <v>0.6330470412103064</v>
      </c>
      <c r="D889" t="n">
        <v>2.235265700483092</v>
      </c>
      <c r="F889" t="n">
        <v>1.80910961466517</v>
      </c>
    </row>
    <row r="890">
      <c r="A890" t="inlineStr">
        <is>
          <t>G|ORIG_BAL x CHANNEL / REV_DEBT|outcome_loans|rate|4</t>
        </is>
      </c>
      <c r="B890" t="n">
        <v>0.1254752851711027</v>
      </c>
      <c r="C890" t="n">
        <v>0.03422053231939164</v>
      </c>
      <c r="D890" t="n">
        <v>0.1320754716981132</v>
      </c>
      <c r="E890" t="n">
        <v>0.05263157894736842</v>
      </c>
      <c r="F890" t="n">
        <v>0.1107011070110701</v>
      </c>
      <c r="G890" t="n">
        <v>0.04779411764705882</v>
      </c>
      <c r="H890" t="n">
        <v>0.08375</v>
      </c>
    </row>
    <row r="891">
      <c r="A891" t="inlineStr">
        <is>
          <t>G|ORIG_BAL x CHANNEL / REV_DEBT|outcome_loans|book|4</t>
        </is>
      </c>
      <c r="B891" t="n">
        <v>1.621448798196527</v>
      </c>
      <c r="D891" t="n">
        <v>1.706739415368671</v>
      </c>
      <c r="E891" t="n">
        <v>0.6801292407108238</v>
      </c>
      <c r="F891" t="n">
        <v>1.430530137288449</v>
      </c>
      <c r="G891" t="n">
        <v>0.6176173619690202</v>
      </c>
      <c r="H891" t="n">
        <v>1.082255654281099</v>
      </c>
    </row>
    <row r="892">
      <c r="A892" t="inlineStr">
        <is>
          <t>G|ORIG_BAL x CHANNEL / REV_DEBT|outcome_loans|band|4</t>
        </is>
      </c>
      <c r="B892" t="n">
        <v>1.660994616571923</v>
      </c>
      <c r="D892" t="n">
        <v>1.781017724413951</v>
      </c>
      <c r="E892" t="n">
        <v>0.5850877192982455</v>
      </c>
      <c r="F892" t="n">
        <v>1.414632415554925</v>
      </c>
      <c r="G892" t="n">
        <v>0.5245503159941662</v>
      </c>
    </row>
    <row r="893">
      <c r="A893" t="inlineStr">
        <is>
          <t>G|ORIG_BAL x CHANNEL / REV_DEBT|outcome_loans|rate|5</t>
        </is>
      </c>
      <c r="B893" t="n">
        <v>0.06614785992217899</v>
      </c>
      <c r="C893" t="n">
        <v>0.02325581395348837</v>
      </c>
      <c r="D893" t="n">
        <v>0.1307692307692308</v>
      </c>
      <c r="E893" t="n">
        <v>0.03846153846153846</v>
      </c>
      <c r="F893" t="n">
        <v>0.08156028368794327</v>
      </c>
      <c r="G893" t="n">
        <v>0.04593639575971731</v>
      </c>
      <c r="H893" t="n">
        <v>0.064375</v>
      </c>
    </row>
    <row r="894">
      <c r="A894" t="inlineStr">
        <is>
          <t>G|ORIG_BAL x CHANNEL / REV_DEBT|outcome_loans|book|5</t>
        </is>
      </c>
      <c r="B894" t="n">
        <v>0.8547927811268331</v>
      </c>
      <c r="D894" t="n">
        <v>1.689859574996893</v>
      </c>
      <c r="E894" t="n">
        <v>0.4970175220579098</v>
      </c>
      <c r="F894" t="n">
        <v>1.053959142519965</v>
      </c>
      <c r="G894" t="n">
        <v>0.5936110334119205</v>
      </c>
      <c r="H894" t="n">
        <v>0.8318830775444265</v>
      </c>
    </row>
    <row r="895">
      <c r="A895" t="inlineStr">
        <is>
          <t>G|ORIG_BAL x CHANNEL / REV_DEBT|outcome_loans|band|5</t>
        </is>
      </c>
      <c r="B895" t="n">
        <v>1.032983440412633</v>
      </c>
      <c r="D895" t="n">
        <v>2.539576365663323</v>
      </c>
      <c r="E895" t="n">
        <v>0.5541770057899091</v>
      </c>
      <c r="F895" t="n">
        <v>1.343705673758865</v>
      </c>
      <c r="G895" t="n">
        <v>0.6722025912838634</v>
      </c>
    </row>
    <row r="896">
      <c r="A896" t="inlineStr">
        <is>
          <t>G|ORIG_BAL x CHANNEL / REV_DEBT|outcome_loans|rate|6</t>
        </is>
      </c>
      <c r="C896" t="n">
        <v>0</v>
      </c>
      <c r="H896" t="n">
        <v>0</v>
      </c>
    </row>
    <row r="897">
      <c r="A897" t="inlineStr">
        <is>
          <t>G|ORIG_BAL x CHANNEL / REV_DEBT|outcome_loans|book|6</t>
        </is>
      </c>
    </row>
    <row r="898">
      <c r="A898" t="inlineStr">
        <is>
          <t>G|ORIG_BAL x CHANNEL / REV_DEBT|outcome_loans|band|6</t>
        </is>
      </c>
    </row>
    <row r="899">
      <c r="A899" t="inlineStr">
        <is>
          <t>G|ORIG_BAL x CHANNEL / REV_DEBT|outcome_loans|rate|7</t>
        </is>
      </c>
      <c r="B899" t="n">
        <v>0.08848207475209764</v>
      </c>
      <c r="C899" t="n">
        <v>0.04106463878326996</v>
      </c>
      <c r="D899" t="n">
        <v>0.1395173453996983</v>
      </c>
      <c r="E899" t="n">
        <v>0.04138449962377728</v>
      </c>
      <c r="F899" t="n">
        <v>0.1060382916053019</v>
      </c>
      <c r="G899" t="n">
        <v>0.04779411764705882</v>
      </c>
      <c r="H899" t="n">
        <v>0.07738467308413552</v>
      </c>
    </row>
    <row r="900">
      <c r="A900" t="inlineStr">
        <is>
          <t>G|ORIG_BAL x CHANNEL / REV_DEBT|outcome_loans|book|7</t>
        </is>
      </c>
      <c r="B900" t="n">
        <v>1.143405680035588</v>
      </c>
      <c r="C900" t="n">
        <v>0.5306559703188634</v>
      </c>
      <c r="D900" t="n">
        <v>1.802906697661045</v>
      </c>
      <c r="E900" t="n">
        <v>0.5347893578200233</v>
      </c>
      <c r="F900" t="n">
        <v>1.370275112359951</v>
      </c>
      <c r="G900" t="n">
        <v>0.6176173619690202</v>
      </c>
      <c r="H900" t="n">
        <v>1</v>
      </c>
    </row>
    <row r="901">
      <c r="A901" t="inlineStr">
        <is>
          <t>G|ORIG_BAL x CHANNEL / REV_DEBT|outcome_loans|band|7</t>
        </is>
      </c>
    </row>
    <row r="902">
      <c r="A902" t="inlineStr">
        <is>
          <t>G|ORIG_BAL x CHANNEL / REV_DEBT|outcome_loans|meta</t>
        </is>
      </c>
      <c r="B902" t="inlineStr">
        <is>
          <t>x</t>
        </is>
      </c>
      <c r="C902" t="n">
        <v>2.539576365663323</v>
      </c>
      <c r="D902" t="n">
        <v>10</v>
      </c>
    </row>
    <row r="903">
      <c r="A903" t="inlineStr">
        <is>
          <t>G|ORIG_BAL x CHANNEL / REV_DEBT|outcome_booked|rate|1</t>
        </is>
      </c>
      <c r="B903" t="n">
        <v>0.08497191957630955</v>
      </c>
      <c r="C903" t="n">
        <v>0.04947382376379949</v>
      </c>
      <c r="D903" t="n">
        <v>0.1267041517729983</v>
      </c>
      <c r="E903" t="n">
        <v>0.03337553758100421</v>
      </c>
      <c r="F903" t="n">
        <v>0.09937296579696075</v>
      </c>
      <c r="G903" t="n">
        <v>0.05905061797568139</v>
      </c>
      <c r="H903" t="n">
        <v>0.07557453391360711</v>
      </c>
    </row>
    <row r="904">
      <c r="A904" t="inlineStr">
        <is>
          <t>G|ORIG_BAL x CHANNEL / REV_DEBT|outcome_booked|book|1</t>
        </is>
      </c>
      <c r="B904" t="n">
        <v>1.135549971504354</v>
      </c>
      <c r="C904" t="n">
        <v>0.6611595859587606</v>
      </c>
      <c r="D904" t="n">
        <v>1.693252272665209</v>
      </c>
      <c r="F904" t="n">
        <v>1.328003051381022</v>
      </c>
      <c r="G904" t="n">
        <v>0.7891422000815268</v>
      </c>
      <c r="H904" t="n">
        <v>1.009964942065142</v>
      </c>
    </row>
    <row r="905">
      <c r="A905" t="inlineStr">
        <is>
          <t>G|ORIG_BAL x CHANNEL / REV_DEBT|outcome_booked|band|1</t>
        </is>
      </c>
      <c r="B905" t="n">
        <v>1.153203464459504</v>
      </c>
      <c r="C905" t="n">
        <v>0.6115303978786617</v>
      </c>
      <c r="D905" t="n">
        <v>1.930283390429639</v>
      </c>
      <c r="F905" t="n">
        <v>1.406755268301908</v>
      </c>
      <c r="G905" t="n">
        <v>0.7483624084233907</v>
      </c>
    </row>
    <row r="906">
      <c r="A906" t="inlineStr">
        <is>
          <t>G|ORIG_BAL x CHANNEL / REV_DEBT|outcome_booked|rate|2</t>
        </is>
      </c>
      <c r="B906" t="n">
        <v>0.07879973231923675</v>
      </c>
      <c r="C906" t="n">
        <v>0.05900152862046372</v>
      </c>
      <c r="D906" t="n">
        <v>0.1712732716007185</v>
      </c>
      <c r="E906" t="n">
        <v>0.06221980943708864</v>
      </c>
      <c r="F906" t="n">
        <v>0.1228470684186032</v>
      </c>
      <c r="G906" t="n">
        <v>0.06749008569189084</v>
      </c>
      <c r="H906" t="n">
        <v>0.09377887022910675</v>
      </c>
    </row>
    <row r="907">
      <c r="A907" t="inlineStr">
        <is>
          <t>G|ORIG_BAL x CHANNEL / REV_DEBT|outcome_booked|book|2</t>
        </is>
      </c>
      <c r="B907" t="n">
        <v>1.053065933261647</v>
      </c>
      <c r="C907" t="n">
        <v>0.7884861784664269</v>
      </c>
      <c r="D907" t="n">
        <v>2.288866247289976</v>
      </c>
      <c r="E907" t="n">
        <v>0.8314947242052281</v>
      </c>
      <c r="F907" t="n">
        <v>1.641706880787368</v>
      </c>
      <c r="G907" t="n">
        <v>0.9019257804977264</v>
      </c>
      <c r="H907" t="n">
        <v>1.253244530044283</v>
      </c>
    </row>
    <row r="908">
      <c r="A908" t="inlineStr">
        <is>
          <t>G|ORIG_BAL x CHANNEL / REV_DEBT|outcome_booked|band|2</t>
        </is>
      </c>
      <c r="B908" t="n">
        <v>0.8144366508673391</v>
      </c>
      <c r="C908" t="n">
        <v>0.5865918489711386</v>
      </c>
      <c r="D908" t="n">
        <v>2.192234929566331</v>
      </c>
      <c r="E908" t="n">
        <v>0.6210781195925009</v>
      </c>
      <c r="F908" t="n">
        <v>1.396872403812859</v>
      </c>
      <c r="G908" t="n">
        <v>0.6814231159588705</v>
      </c>
    </row>
    <row r="909">
      <c r="A909" t="inlineStr">
        <is>
          <t>G|ORIG_BAL x CHANNEL / REV_DEBT|outcome_booked|rate|3</t>
        </is>
      </c>
      <c r="B909" t="n">
        <v>0.08118239353171283</v>
      </c>
      <c r="C909" t="n">
        <v>0.04361050141417264</v>
      </c>
      <c r="D909" t="n">
        <v>0.1265583506441704</v>
      </c>
      <c r="E909" t="n">
        <v>0.02162026735509552</v>
      </c>
      <c r="F909" t="n">
        <v>0.1091416734070396</v>
      </c>
      <c r="G909" t="n">
        <v>0.02657845829994554</v>
      </c>
      <c r="H909" t="n">
        <v>0.06822026696935882</v>
      </c>
    </row>
    <row r="910">
      <c r="A910" t="inlineStr">
        <is>
          <t>G|ORIG_BAL x CHANNEL / REV_DEBT|outcome_booked|book|3</t>
        </is>
      </c>
      <c r="B910" t="n">
        <v>1.084907403778291</v>
      </c>
      <c r="C910" t="n">
        <v>0.582803164681726</v>
      </c>
      <c r="D910" t="n">
        <v>1.691303811708797</v>
      </c>
      <c r="F910" t="n">
        <v>1.458550362817213</v>
      </c>
      <c r="H910" t="n">
        <v>0.911683796239352</v>
      </c>
    </row>
    <row r="911">
      <c r="A911" t="inlineStr">
        <is>
          <t>G|ORIG_BAL x CHANNEL / REV_DEBT|outcome_booked|band|3</t>
        </is>
      </c>
      <c r="B911" t="n">
        <v>1.235123810388806</v>
      </c>
      <c r="C911" t="n">
        <v>0.5978149041423204</v>
      </c>
      <c r="D911" t="n">
        <v>2.261545675085072</v>
      </c>
      <c r="F911" t="n">
        <v>1.814363389126744</v>
      </c>
    </row>
    <row r="912">
      <c r="A912" t="inlineStr">
        <is>
          <t>G|ORIG_BAL x CHANNEL / REV_DEBT|outcome_booked|rate|4</t>
        </is>
      </c>
      <c r="B912" t="n">
        <v>0.1240733041153497</v>
      </c>
      <c r="C912" t="n">
        <v>0.03273188143973809</v>
      </c>
      <c r="D912" t="n">
        <v>0.1307433763994533</v>
      </c>
      <c r="E912" t="n">
        <v>0.05157975157174815</v>
      </c>
      <c r="F912" t="n">
        <v>0.1130191779823948</v>
      </c>
      <c r="G912" t="n">
        <v>0.04741358366401843</v>
      </c>
      <c r="H912" t="n">
        <v>0.0830892861812067</v>
      </c>
    </row>
    <row r="913">
      <c r="A913" t="inlineStr">
        <is>
          <t>G|ORIG_BAL x CHANNEL / REV_DEBT|outcome_booked|book|4</t>
        </is>
      </c>
      <c r="B913" t="n">
        <v>1.658094081611372</v>
      </c>
      <c r="D913" t="n">
        <v>1.747231768860438</v>
      </c>
      <c r="E913" t="n">
        <v>0.6893028393327029</v>
      </c>
      <c r="F913" t="n">
        <v>1.510368660344295</v>
      </c>
      <c r="G913" t="n">
        <v>0.633626895179691</v>
      </c>
      <c r="H913" t="n">
        <v>1.110390785871948</v>
      </c>
    </row>
    <row r="914">
      <c r="A914" t="inlineStr">
        <is>
          <t>G|ORIG_BAL x CHANNEL / REV_DEBT|outcome_booked|band|4</t>
        </is>
      </c>
      <c r="B914" t="n">
        <v>1.653055315076361</v>
      </c>
      <c r="D914" t="n">
        <v>1.775608780801361</v>
      </c>
      <c r="E914" t="n">
        <v>0.5773424782697205</v>
      </c>
      <c r="F914" t="n">
        <v>1.467338335725116</v>
      </c>
      <c r="G914" t="n">
        <v>0.5242071151478495</v>
      </c>
    </row>
    <row r="915">
      <c r="A915" t="inlineStr">
        <is>
          <t>G|ORIG_BAL x CHANNEL / REV_DEBT|outcome_booked|rate|5</t>
        </is>
      </c>
      <c r="B915" t="n">
        <v>0.06634086589218742</v>
      </c>
      <c r="C915" t="n">
        <v>0.02380019691778079</v>
      </c>
      <c r="D915" t="n">
        <v>0.1323575103231003</v>
      </c>
      <c r="E915" t="n">
        <v>0.03848070879799389</v>
      </c>
      <c r="F915" t="n">
        <v>0.08131620613626193</v>
      </c>
      <c r="G915" t="n">
        <v>0.0458049815743647</v>
      </c>
      <c r="H915" t="n">
        <v>0.06473600628619963</v>
      </c>
    </row>
    <row r="916">
      <c r="A916" t="inlineStr">
        <is>
          <t>G|ORIG_BAL x CHANNEL / REV_DEBT|outcome_booked|book|5</t>
        </is>
      </c>
      <c r="B916" t="n">
        <v>0.8865678067422496</v>
      </c>
      <c r="D916" t="n">
        <v>1.768802774201272</v>
      </c>
      <c r="E916" t="n">
        <v>0.5142495073303263</v>
      </c>
      <c r="F916" t="n">
        <v>1.086695652178943</v>
      </c>
      <c r="G916" t="n">
        <v>0.6121298163073264</v>
      </c>
      <c r="H916" t="n">
        <v>0.8651207417714352</v>
      </c>
    </row>
    <row r="917">
      <c r="A917" t="inlineStr">
        <is>
          <t>G|ORIG_BAL x CHANNEL / REV_DEBT|outcome_booked|band|5</t>
        </is>
      </c>
      <c r="B917" t="n">
        <v>1.029682456259546</v>
      </c>
      <c r="D917" t="n">
        <v>2.566798020331331</v>
      </c>
      <c r="E917" t="n">
        <v>0.5508617555963953</v>
      </c>
      <c r="F917" t="n">
        <v>1.328752401915208</v>
      </c>
      <c r="G917" t="n">
        <v>0.665805850732236</v>
      </c>
    </row>
    <row r="918">
      <c r="A918" t="inlineStr">
        <is>
          <t>G|ORIG_BAL x CHANNEL / REV_DEBT|outcome_booked|rate|6</t>
        </is>
      </c>
    </row>
    <row r="919">
      <c r="A919" t="inlineStr">
        <is>
          <t>G|ORIG_BAL x CHANNEL / REV_DEBT|outcome_booked|book|6</t>
        </is>
      </c>
    </row>
    <row r="920">
      <c r="A920" t="inlineStr">
        <is>
          <t>G|ORIG_BAL x CHANNEL / REV_DEBT|outcome_booked|band|6</t>
        </is>
      </c>
    </row>
    <row r="921">
      <c r="A921" t="inlineStr">
        <is>
          <t>G|ORIG_BAL x CHANNEL / REV_DEBT|outcome_booked|rate|7</t>
        </is>
      </c>
      <c r="B921" t="n">
        <v>0.0878123744200691</v>
      </c>
      <c r="C921" t="n">
        <v>0.03640487862413808</v>
      </c>
      <c r="D921" t="n">
        <v>0.135459410093537</v>
      </c>
      <c r="E921" t="n">
        <v>0.04128508023703651</v>
      </c>
      <c r="F921" t="n">
        <v>0.1015687477895449</v>
      </c>
      <c r="G921" t="n">
        <v>0.04611211743629933</v>
      </c>
      <c r="H921" t="n">
        <v>0.07482886857347223</v>
      </c>
    </row>
    <row r="922">
      <c r="A922" t="inlineStr">
        <is>
          <t>G|ORIG_BAL x CHANNEL / REV_DEBT|outcome_booked|book|7</t>
        </is>
      </c>
      <c r="B922" t="n">
        <v>1.173509316579451</v>
      </c>
      <c r="C922" t="n">
        <v>0.4865084735097011</v>
      </c>
      <c r="D922" t="n">
        <v>1.810256023857066</v>
      </c>
      <c r="E922" t="n">
        <v>0.551726640053362</v>
      </c>
      <c r="F922" t="n">
        <v>1.357347100468551</v>
      </c>
      <c r="G922" t="n">
        <v>0.6162343266091636</v>
      </c>
      <c r="H922" t="n">
        <v>0.9999999999999986</v>
      </c>
    </row>
    <row r="923">
      <c r="A923" t="inlineStr">
        <is>
          <t>G|ORIG_BAL x CHANNEL / REV_DEBT|outcome_booked|band|7</t>
        </is>
      </c>
    </row>
    <row r="924">
      <c r="A924" t="inlineStr">
        <is>
          <t>G|ORIG_BAL x CHANNEL / REV_DEBT|outcome_booked|meta</t>
        </is>
      </c>
      <c r="B924" t="inlineStr">
        <is>
          <t>x</t>
        </is>
      </c>
      <c r="C924" t="n">
        <v>2.566798020331331</v>
      </c>
      <c r="D924" t="n">
        <v>10</v>
      </c>
    </row>
    <row r="925">
      <c r="A925" t="inlineStr">
        <is>
          <t>G|ORIG_BAL x CHANNEL / REV_DEBT|gco_rate|rate|1</t>
        </is>
      </c>
      <c r="B925" t="n">
        <v>0.04440604438675051</v>
      </c>
      <c r="C925" t="n">
        <v>0.02658395916969239</v>
      </c>
      <c r="D925" t="n">
        <v>0.07309974390448233</v>
      </c>
      <c r="E925" t="n">
        <v>0.01820215653862134</v>
      </c>
      <c r="F925" t="n">
        <v>0.05187902739637006</v>
      </c>
      <c r="G925" t="n">
        <v>0.03411184733437558</v>
      </c>
      <c r="H925" t="n">
        <v>0.04139745179629654</v>
      </c>
    </row>
    <row r="926">
      <c r="A926" t="inlineStr">
        <is>
          <t>G|ORIG_BAL x CHANNEL / REV_DEBT|gco_rate|book|1</t>
        </is>
      </c>
      <c r="B926" t="n">
        <v>1.067317899092228</v>
      </c>
      <c r="C926" t="n">
        <v>0.638956606975232</v>
      </c>
      <c r="D926" t="n">
        <v>1.756983000079852</v>
      </c>
      <c r="F926" t="n">
        <v>1.246934179621797</v>
      </c>
      <c r="G926" t="n">
        <v>0.8198925559319514</v>
      </c>
      <c r="H926" t="n">
        <v>0.9950051144879349</v>
      </c>
    </row>
    <row r="927">
      <c r="A927" t="inlineStr">
        <is>
          <t>G|ORIG_BAL x CHANNEL / REV_DEBT|gco_rate|band|1</t>
        </is>
      </c>
      <c r="B927" t="n">
        <v>1.08859709693584</v>
      </c>
      <c r="C927" t="n">
        <v>0.598456534589251</v>
      </c>
      <c r="D927" t="n">
        <v>2.074470844763302</v>
      </c>
      <c r="F927" t="n">
        <v>1.322632862126263</v>
      </c>
      <c r="G927" t="n">
        <v>0.7957687271833098</v>
      </c>
    </row>
    <row r="928">
      <c r="A928" t="inlineStr">
        <is>
          <t>G|ORIG_BAL x CHANNEL / REV_DEBT|gco_rate|rate|2</t>
        </is>
      </c>
      <c r="B928" t="n">
        <v>0.04729703938897688</v>
      </c>
      <c r="C928" t="n">
        <v>0.03359195765407619</v>
      </c>
      <c r="D928" t="n">
        <v>0.1021763422405173</v>
      </c>
      <c r="E928" t="n">
        <v>0.03391300730850313</v>
      </c>
      <c r="F928" t="n">
        <v>0.06647546278266946</v>
      </c>
      <c r="G928" t="n">
        <v>0.03492183685908595</v>
      </c>
      <c r="H928" t="n">
        <v>0.05316017920478749</v>
      </c>
    </row>
    <row r="929">
      <c r="A929" t="inlineStr">
        <is>
          <t>G|ORIG_BAL x CHANNEL / REV_DEBT|gco_rate|book|2</t>
        </is>
      </c>
      <c r="B929" t="n">
        <v>1.136804176347381</v>
      </c>
      <c r="C929" t="n">
        <v>0.8073967894434049</v>
      </c>
      <c r="D929" t="n">
        <v>2.455851234739029</v>
      </c>
      <c r="E929" t="n">
        <v>0.8151133525239366</v>
      </c>
      <c r="F929" t="n">
        <v>1.597765625337976</v>
      </c>
      <c r="G929" t="n">
        <v>0.8393609938380879</v>
      </c>
      <c r="H929" t="n">
        <v>1.277727200604911</v>
      </c>
    </row>
    <row r="930">
      <c r="A930" t="inlineStr">
        <is>
          <t>G|ORIG_BAL x CHANNEL / REV_DEBT|gco_rate|band|2</t>
        </is>
      </c>
      <c r="B930" t="n">
        <v>0.8706379980944452</v>
      </c>
      <c r="C930" t="n">
        <v>0.5894461820591808</v>
      </c>
      <c r="D930" t="n">
        <v>2.36189452350576</v>
      </c>
      <c r="E930" t="n">
        <v>0.5942947785338845</v>
      </c>
      <c r="F930" t="n">
        <v>1.31666992079129</v>
      </c>
      <c r="G930" t="n">
        <v>0.6146894423985947</v>
      </c>
    </row>
    <row r="931">
      <c r="A931" t="inlineStr">
        <is>
          <t>G|ORIG_BAL x CHANNEL / REV_DEBT|gco_rate|rate|3</t>
        </is>
      </c>
      <c r="B931" t="n">
        <v>0.04448288486486245</v>
      </c>
      <c r="C931" t="n">
        <v>0.02584542472736352</v>
      </c>
      <c r="D931" t="n">
        <v>0.07088362033941736</v>
      </c>
      <c r="E931" t="n">
        <v>0.010439341778215</v>
      </c>
      <c r="F931" t="n">
        <v>0.05719736970245571</v>
      </c>
      <c r="G931" t="n">
        <v>0.01552525923022439</v>
      </c>
      <c r="H931" t="n">
        <v>0.03745072983796681</v>
      </c>
    </row>
    <row r="932">
      <c r="A932" t="inlineStr">
        <is>
          <t>G|ORIG_BAL x CHANNEL / REV_DEBT|gco_rate|book|3</t>
        </is>
      </c>
      <c r="B932" t="n">
        <v>1.06916479220771</v>
      </c>
      <c r="C932" t="n">
        <v>0.6212056219397604</v>
      </c>
      <c r="D932" t="n">
        <v>1.703717540833055</v>
      </c>
      <c r="F932" t="n">
        <v>1.374762767265111</v>
      </c>
      <c r="H932" t="n">
        <v>0.9001439971099026</v>
      </c>
    </row>
    <row r="933">
      <c r="A933" t="inlineStr">
        <is>
          <t>G|ORIG_BAL x CHANNEL / REV_DEBT|gco_rate|band|3</t>
        </is>
      </c>
      <c r="B933" t="n">
        <v>1.232463079171416</v>
      </c>
      <c r="C933" t="n">
        <v>0.6513602625922322</v>
      </c>
      <c r="D933" t="n">
        <v>2.329307148104373</v>
      </c>
      <c r="F933" t="n">
        <v>1.704238880815877</v>
      </c>
    </row>
    <row r="934">
      <c r="A934" t="inlineStr">
        <is>
          <t>G|ORIG_BAL x CHANNEL / REV_DEBT|gco_rate|rate|4</t>
        </is>
      </c>
      <c r="B934" t="n">
        <v>0.06953906539032835</v>
      </c>
      <c r="C934" t="n">
        <v>0.01759075263984901</v>
      </c>
      <c r="D934" t="n">
        <v>0.07380983379996096</v>
      </c>
      <c r="E934" t="n">
        <v>0.02881558840357886</v>
      </c>
      <c r="F934" t="n">
        <v>0.06545122671150023</v>
      </c>
      <c r="G934" t="n">
        <v>0.02585659055718522</v>
      </c>
      <c r="H934" t="n">
        <v>0.04676588351390012</v>
      </c>
    </row>
    <row r="935">
      <c r="A935" t="inlineStr">
        <is>
          <t>G|ORIG_BAL x CHANNEL / REV_DEBT|gco_rate|book|4</t>
        </is>
      </c>
      <c r="B935" t="n">
        <v>1.671400598774962</v>
      </c>
      <c r="D935" t="n">
        <v>1.774050308503185</v>
      </c>
      <c r="E935" t="n">
        <v>0.6925947514746592</v>
      </c>
      <c r="F935" t="n">
        <v>1.573147681840604</v>
      </c>
      <c r="G935" t="n">
        <v>0.6214739973420621</v>
      </c>
      <c r="H935" t="n">
        <v>1.124037622142734</v>
      </c>
    </row>
    <row r="936">
      <c r="A936" t="inlineStr">
        <is>
          <t>G|ORIG_BAL x CHANNEL / REV_DEBT|gco_rate|band|4</t>
        </is>
      </c>
      <c r="B936" t="n">
        <v>1.643965144061688</v>
      </c>
      <c r="D936" t="n">
        <v>1.783030632653966</v>
      </c>
      <c r="E936" t="n">
        <v>0.5725423191278118</v>
      </c>
      <c r="F936" t="n">
        <v>1.522962939025214</v>
      </c>
      <c r="G936" t="n">
        <v>0.5061795891816719</v>
      </c>
    </row>
    <row r="937">
      <c r="A937" t="inlineStr">
        <is>
          <t>G|ORIG_BAL x CHANNEL / REV_DEBT|gco_rate|rate|5</t>
        </is>
      </c>
      <c r="B937" t="n">
        <v>0.03161062489441661</v>
      </c>
      <c r="C937" t="n">
        <v>0.01403731924049847</v>
      </c>
      <c r="D937" t="n">
        <v>0.07433123793648932</v>
      </c>
      <c r="E937" t="n">
        <v>0.02398705947409103</v>
      </c>
      <c r="F937" t="n">
        <v>0.04745584399833264</v>
      </c>
      <c r="G937" t="n">
        <v>0.02173326472510089</v>
      </c>
      <c r="H937" t="n">
        <v>0.03555289463498782</v>
      </c>
    </row>
    <row r="938">
      <c r="A938" t="inlineStr">
        <is>
          <t>G|ORIG_BAL x CHANNEL / REV_DEBT|gco_rate|book|5</t>
        </is>
      </c>
      <c r="B938" t="n">
        <v>0.7597746256671275</v>
      </c>
      <c r="D938" t="n">
        <v>1.786582475582302</v>
      </c>
      <c r="E938" t="n">
        <v>0.5765390337475322</v>
      </c>
      <c r="F938" t="n">
        <v>1.140621111730041</v>
      </c>
      <c r="G938" t="n">
        <v>0.5223681317971889</v>
      </c>
      <c r="H938" t="n">
        <v>0.854528732124238</v>
      </c>
    </row>
    <row r="939">
      <c r="A939" t="inlineStr">
        <is>
          <t>G|ORIG_BAL x CHANNEL / REV_DEBT|gco_rate|band|5</t>
        </is>
      </c>
      <c r="B939" t="n">
        <v>0.8706160158664449</v>
      </c>
      <c r="D939" t="n">
        <v>2.654691402770074</v>
      </c>
      <c r="E939" t="n">
        <v>0.6344424517749507</v>
      </c>
      <c r="F939" t="n">
        <v>1.437509991261452</v>
      </c>
      <c r="G939" t="n">
        <v>0.564252581396813</v>
      </c>
    </row>
    <row r="940">
      <c r="A940" t="inlineStr">
        <is>
          <t>G|ORIG_BAL x CHANNEL / REV_DEBT|gco_rate|rate|6</t>
        </is>
      </c>
    </row>
    <row r="941">
      <c r="A941" t="inlineStr">
        <is>
          <t>G|ORIG_BAL x CHANNEL / REV_DEBT|gco_rate|book|6</t>
        </is>
      </c>
    </row>
    <row r="942">
      <c r="A942" t="inlineStr">
        <is>
          <t>G|ORIG_BAL x CHANNEL / REV_DEBT|gco_rate|band|6</t>
        </is>
      </c>
    </row>
    <row r="943">
      <c r="A943" t="inlineStr">
        <is>
          <t>G|ORIG_BAL x CHANNEL / REV_DEBT|gco_rate|rate|7</t>
        </is>
      </c>
      <c r="B943" t="n">
        <v>0.04735396530416845</v>
      </c>
      <c r="C943" t="n">
        <v>0.02070180772226833</v>
      </c>
      <c r="D943" t="n">
        <v>0.07703958282929028</v>
      </c>
      <c r="E943" t="n">
        <v>0.0234105046024063</v>
      </c>
      <c r="F943" t="n">
        <v>0.05683878216025966</v>
      </c>
      <c r="G943" t="n">
        <v>0.02408875242342272</v>
      </c>
      <c r="H943" t="n">
        <v>0.0416052653333356</v>
      </c>
    </row>
    <row r="944">
      <c r="A944" t="inlineStr">
        <is>
          <t>G|ORIG_BAL x CHANNEL / REV_DEBT|gco_rate|book|7</t>
        </is>
      </c>
      <c r="B944" t="n">
        <v>1.138172414591639</v>
      </c>
      <c r="C944" t="n">
        <v>0.4975766301790963</v>
      </c>
      <c r="D944" t="n">
        <v>1.851678680860698</v>
      </c>
      <c r="E944" t="n">
        <v>0.5626812956207483</v>
      </c>
      <c r="F944" t="n">
        <v>1.366143965310044</v>
      </c>
      <c r="G944" t="n">
        <v>0.5789832664309904</v>
      </c>
      <c r="H944" t="n">
        <v>0.999999999999999</v>
      </c>
    </row>
    <row r="945">
      <c r="A945" t="inlineStr">
        <is>
          <t>G|ORIG_BAL x CHANNEL / REV_DEBT|gco_rate|band|7</t>
        </is>
      </c>
    </row>
    <row r="946">
      <c r="A946" t="inlineStr">
        <is>
          <t>G|ORIG_BAL x CHANNEL / REV_DEBT|gco_rate|meta</t>
        </is>
      </c>
      <c r="B946" t="inlineStr">
        <is>
          <t>x</t>
        </is>
      </c>
      <c r="C946" t="n">
        <v>2.654691402770074</v>
      </c>
      <c r="D946" t="n">
        <v>10</v>
      </c>
    </row>
    <row r="947">
      <c r="A947" t="inlineStr">
        <is>
          <t>G|ORIG_BAL x CHANNEL / REV_DEBT|ranr_rate|rate|1</t>
        </is>
      </c>
      <c r="B947" t="n">
        <v>0.1644280149171715</v>
      </c>
      <c r="C947" t="n">
        <v>0.1195859981970313</v>
      </c>
      <c r="D947" t="n">
        <v>0.1487752446411799</v>
      </c>
      <c r="E947" t="n">
        <v>0.1362472654447242</v>
      </c>
      <c r="F947" t="n">
        <v>0.1690837039527715</v>
      </c>
      <c r="G947" t="n">
        <v>0.141361039085989</v>
      </c>
      <c r="H947" t="n">
        <v>0.1466798967561383</v>
      </c>
    </row>
    <row r="948">
      <c r="A948" t="inlineStr">
        <is>
          <t>G|ORIG_BAL x CHANNEL / REV_DEBT|ranr_rate|book|1</t>
        </is>
      </c>
      <c r="B948" t="n">
        <v>3.643796527</v>
      </c>
      <c r="C948" t="n">
        <v>-0.840405145</v>
      </c>
      <c r="D948" t="n">
        <v>2.078519499</v>
      </c>
      <c r="E948" t="n">
        <v>0.82572158</v>
      </c>
      <c r="F948" t="n">
        <v>4.10936543</v>
      </c>
      <c r="G948" t="n">
        <v>1.337098944</v>
      </c>
      <c r="H948" t="n">
        <v>1.868984711</v>
      </c>
    </row>
    <row r="949">
      <c r="A949" t="inlineStr">
        <is>
          <t>G|ORIG_BAL x CHANNEL / REV_DEBT|ranr_rate|band|1</t>
        </is>
      </c>
      <c r="B949" t="n">
        <v>2.131981041</v>
      </c>
      <c r="C949" t="n">
        <v>-3.262373234</v>
      </c>
      <c r="D949" t="n">
        <v>0.250246856</v>
      </c>
      <c r="E949" t="n">
        <v>-1.2430633</v>
      </c>
      <c r="F949" t="n">
        <v>2.704932132</v>
      </c>
      <c r="G949" t="n">
        <v>-0.639136169</v>
      </c>
    </row>
    <row r="950">
      <c r="A950" t="inlineStr">
        <is>
          <t>G|ORIG_BAL x CHANNEL / REV_DEBT|ranr_rate|rate|2</t>
        </is>
      </c>
      <c r="B950" t="n">
        <v>0.1554075244524246</v>
      </c>
      <c r="C950" t="n">
        <v>0.09328486321920802</v>
      </c>
      <c r="D950" t="n">
        <v>0.09701959227720164</v>
      </c>
      <c r="E950" t="n">
        <v>0.09195400301556918</v>
      </c>
      <c r="F950" t="n">
        <v>0.1609009464760928</v>
      </c>
      <c r="G950" t="n">
        <v>0.1159160371448174</v>
      </c>
      <c r="H950" t="n">
        <v>0.1190597270318928</v>
      </c>
    </row>
    <row r="951">
      <c r="A951" t="inlineStr">
        <is>
          <t>G|ORIG_BAL x CHANNEL / REV_DEBT|ranr_rate|book|2</t>
        </is>
      </c>
      <c r="B951" t="n">
        <v>2.74174748</v>
      </c>
      <c r="C951" t="n">
        <v>-3.470518643</v>
      </c>
      <c r="D951" t="n">
        <v>-3.097045737</v>
      </c>
      <c r="E951" t="n">
        <v>-3.603604663</v>
      </c>
      <c r="F951" t="n">
        <v>3.291089683</v>
      </c>
      <c r="G951" t="n">
        <v>-1.20740125</v>
      </c>
      <c r="H951" t="n">
        <v>-0.893032262</v>
      </c>
    </row>
    <row r="952">
      <c r="A952" t="inlineStr">
        <is>
          <t>G|ORIG_BAL x CHANNEL / REV_DEBT|ranr_rate|band|2</t>
        </is>
      </c>
      <c r="B952" t="n">
        <v>4.356632378</v>
      </c>
      <c r="C952" t="n">
        <v>-3.081812929</v>
      </c>
      <c r="D952" t="n">
        <v>-2.64916043</v>
      </c>
      <c r="E952" t="n">
        <v>-3.260386402</v>
      </c>
      <c r="F952" t="n">
        <v>5.023948535</v>
      </c>
      <c r="G952" t="n">
        <v>-0.37731717</v>
      </c>
    </row>
    <row r="953">
      <c r="A953" t="inlineStr">
        <is>
          <t>G|ORIG_BAL x CHANNEL / REV_DEBT|ranr_rate|rate|3</t>
        </is>
      </c>
      <c r="B953" t="n">
        <v>0.1502943255669261</v>
      </c>
      <c r="C953" t="n">
        <v>0.09970850193689755</v>
      </c>
      <c r="D953" t="n">
        <v>0.1130171517435804</v>
      </c>
      <c r="E953" t="n">
        <v>0.1244578801348284</v>
      </c>
      <c r="F953" t="n">
        <v>0.1526163867481959</v>
      </c>
      <c r="G953" t="n">
        <v>0.1487459060891941</v>
      </c>
      <c r="H953" t="n">
        <v>0.1312994440713134</v>
      </c>
    </row>
    <row r="954">
      <c r="A954" t="inlineStr">
        <is>
          <t>G|ORIG_BAL x CHANNEL / REV_DEBT|ranr_rate|book|3</t>
        </is>
      </c>
      <c r="B954" t="n">
        <v>2.230427592</v>
      </c>
      <c r="C954" t="n">
        <v>-2.828154771</v>
      </c>
      <c r="D954" t="n">
        <v>-1.49728979</v>
      </c>
      <c r="E954" t="n">
        <v>-0.353216951</v>
      </c>
      <c r="F954" t="n">
        <v>2.46263371</v>
      </c>
      <c r="G954" t="n">
        <v>2.075585644</v>
      </c>
      <c r="H954" t="n">
        <v>0.330939442</v>
      </c>
    </row>
    <row r="955">
      <c r="A955" t="inlineStr">
        <is>
          <t>G|ORIG_BAL x CHANNEL / REV_DEBT|ranr_rate|band|3</t>
        </is>
      </c>
      <c r="B955" t="n">
        <v>2.266319654</v>
      </c>
      <c r="C955" t="n">
        <v>-3.765696497</v>
      </c>
      <c r="D955" t="n">
        <v>-2.21208186</v>
      </c>
      <c r="E955" t="n">
        <v>-0.8286360149999999</v>
      </c>
      <c r="F955" t="n">
        <v>2.551510141</v>
      </c>
      <c r="G955" t="n">
        <v>2.088474563</v>
      </c>
    </row>
    <row r="956">
      <c r="A956" t="inlineStr">
        <is>
          <t>G|ORIG_BAL x CHANNEL / REV_DEBT|ranr_rate|rate|4</t>
        </is>
      </c>
      <c r="B956" t="n">
        <v>0.1194619317373912</v>
      </c>
      <c r="C956" t="n">
        <v>0.100594229009639</v>
      </c>
      <c r="D956" t="n">
        <v>0.1272109980972555</v>
      </c>
      <c r="E956" t="n">
        <v>0.1034406022032555</v>
      </c>
      <c r="F956" t="n">
        <v>0.1545699872087438</v>
      </c>
      <c r="G956" t="n">
        <v>0.1284775264301193</v>
      </c>
      <c r="H956" t="n">
        <v>0.1224284738147316</v>
      </c>
    </row>
    <row r="957">
      <c r="A957" t="inlineStr">
        <is>
          <t>G|ORIG_BAL x CHANNEL / REV_DEBT|ranr_rate|book|4</t>
        </is>
      </c>
      <c r="B957" t="n">
        <v>-0.852811791</v>
      </c>
      <c r="C957" t="n">
        <v>-2.739582064</v>
      </c>
      <c r="D957" t="n">
        <v>-0.077905155</v>
      </c>
      <c r="E957" t="n">
        <v>-2.454944744</v>
      </c>
      <c r="F957" t="n">
        <v>2.657993756</v>
      </c>
      <c r="G957" t="n">
        <v>0.048747678</v>
      </c>
      <c r="H957" t="n">
        <v>-0.556157583</v>
      </c>
    </row>
    <row r="958">
      <c r="A958" t="inlineStr">
        <is>
          <t>G|ORIG_BAL x CHANNEL / REV_DEBT|ranr_rate|band|4</t>
        </is>
      </c>
      <c r="B958" t="n">
        <v>-0.354794525</v>
      </c>
      <c r="C958" t="n">
        <v>-2.616430142</v>
      </c>
      <c r="D958" t="n">
        <v>0.573155059</v>
      </c>
      <c r="E958" t="n">
        <v>-2.275457005</v>
      </c>
      <c r="F958" t="n">
        <v>3.865578194</v>
      </c>
      <c r="G958" t="n">
        <v>0.729680335</v>
      </c>
    </row>
    <row r="959">
      <c r="A959" t="inlineStr">
        <is>
          <t>G|ORIG_BAL x CHANNEL / REV_DEBT|ranr_rate|rate|5</t>
        </is>
      </c>
      <c r="B959" t="n">
        <v>0.1615991316535974</v>
      </c>
      <c r="C959" t="n">
        <v>0.1110740202739394</v>
      </c>
      <c r="D959" t="n">
        <v>0.1248014692820627</v>
      </c>
      <c r="E959" t="n">
        <v>0.09416268130500291</v>
      </c>
      <c r="F959" t="n">
        <v>0.1586248702911822</v>
      </c>
      <c r="G959" t="n">
        <v>0.1302289475073595</v>
      </c>
      <c r="H959" t="n">
        <v>0.1304237269597045</v>
      </c>
    </row>
    <row r="960">
      <c r="A960" t="inlineStr">
        <is>
          <t>G|ORIG_BAL x CHANNEL / REV_DEBT|ranr_rate|book|5</t>
        </is>
      </c>
      <c r="B960" t="n">
        <v>3.360908201</v>
      </c>
      <c r="C960" t="n">
        <v>-1.691602937</v>
      </c>
      <c r="D960" t="n">
        <v>-0.318858037</v>
      </c>
      <c r="E960" t="n">
        <v>-3.382736834</v>
      </c>
      <c r="F960" t="n">
        <v>3.063482064</v>
      </c>
      <c r="G960" t="n">
        <v>0.223889786</v>
      </c>
      <c r="H960" t="n">
        <v>0.243367731</v>
      </c>
    </row>
    <row r="961">
      <c r="A961" t="inlineStr">
        <is>
          <t>G|ORIG_BAL x CHANNEL / REV_DEBT|ranr_rate|band|5</t>
        </is>
      </c>
      <c r="B961" t="n">
        <v>3.714947774</v>
      </c>
      <c r="C961" t="n">
        <v>-2.304936077</v>
      </c>
      <c r="D961" t="n">
        <v>-0.671731675</v>
      </c>
      <c r="E961" t="n">
        <v>-4.333151348</v>
      </c>
      <c r="F961" t="n">
        <v>3.421991567</v>
      </c>
      <c r="G961" t="n">
        <v>-0.023655545</v>
      </c>
    </row>
    <row r="962">
      <c r="A962" t="inlineStr">
        <is>
          <t>G|ORIG_BAL x CHANNEL / REV_DEBT|ranr_rate|rate|6</t>
        </is>
      </c>
    </row>
    <row r="963">
      <c r="A963" t="inlineStr">
        <is>
          <t>G|ORIG_BAL x CHANNEL / REV_DEBT|ranr_rate|book|6</t>
        </is>
      </c>
    </row>
    <row r="964">
      <c r="A964" t="inlineStr">
        <is>
          <t>G|ORIG_BAL x CHANNEL / REV_DEBT|ranr_rate|band|6</t>
        </is>
      </c>
    </row>
    <row r="965">
      <c r="A965" t="inlineStr">
        <is>
          <t>G|ORIG_BAL x CHANNEL / REV_DEBT|ranr_rate|rate|7</t>
        </is>
      </c>
      <c r="B965" t="n">
        <v>0.1472833050301233</v>
      </c>
      <c r="C965" t="n">
        <v>0.1042071312073918</v>
      </c>
      <c r="D965" t="n">
        <v>0.1208462993967562</v>
      </c>
      <c r="E965" t="n">
        <v>0.1052279098058366</v>
      </c>
      <c r="F965" t="n">
        <v>0.1573381235443066</v>
      </c>
      <c r="G965" t="n">
        <v>0.1321846702408692</v>
      </c>
      <c r="H965" t="n">
        <v>0.1279900496481476</v>
      </c>
    </row>
    <row r="966">
      <c r="A966" t="inlineStr">
        <is>
          <t>G|ORIG_BAL x CHANNEL / REV_DEBT|ranr_rate|book|7</t>
        </is>
      </c>
      <c r="B966" t="n">
        <v>1.929325538</v>
      </c>
      <c r="C966" t="n">
        <v>-2.378291844</v>
      </c>
      <c r="D966" t="n">
        <v>-0.7143750250000001</v>
      </c>
      <c r="E966" t="n">
        <v>-2.276213984</v>
      </c>
      <c r="F966" t="n">
        <v>2.93480739</v>
      </c>
      <c r="G966" t="n">
        <v>0.419462059</v>
      </c>
      <c r="H966" t="n">
        <v>0</v>
      </c>
    </row>
    <row r="967">
      <c r="A967" t="inlineStr">
        <is>
          <t>G|ORIG_BAL x CHANNEL / REV_DEBT|ranr_rate|band|7</t>
        </is>
      </c>
    </row>
    <row r="968">
      <c r="A968" t="inlineStr">
        <is>
          <t>G|ORIG_BAL x CHANNEL / REV_DEBT|ranr_rate|meta</t>
        </is>
      </c>
      <c r="B968" t="inlineStr">
        <is>
          <t>pts</t>
        </is>
      </c>
      <c r="C968" t="n">
        <v>5.023948535</v>
      </c>
      <c r="D968" t="n">
        <v>10</v>
      </c>
    </row>
    <row r="969">
      <c r="A969" t="inlineStr">
        <is>
          <t>G|ORIG_BAL x CHANNEL / REV_DEBT|contribution_rate|rate|1</t>
        </is>
      </c>
      <c r="B969" t="n">
        <v>0.2088340593039219</v>
      </c>
      <c r="C969" t="n">
        <v>0.1461699573667237</v>
      </c>
      <c r="D969" t="n">
        <v>0.2218749885456624</v>
      </c>
      <c r="E969" t="n">
        <v>0.1544494219833455</v>
      </c>
      <c r="F969" t="n">
        <v>0.2209627313491414</v>
      </c>
      <c r="G969" t="n">
        <v>0.1754728864203646</v>
      </c>
      <c r="H969" t="n">
        <v>0.1880773485524349</v>
      </c>
    </row>
    <row r="970">
      <c r="A970" t="inlineStr">
        <is>
          <t>G|ORIG_BAL x CHANNEL / REV_DEBT|contribution_rate|book|1</t>
        </is>
      </c>
      <c r="B970" t="n">
        <v>3.924160357</v>
      </c>
      <c r="C970" t="n">
        <v>-2.342249837</v>
      </c>
      <c r="D970" t="n">
        <v>5.228253281</v>
      </c>
      <c r="E970" t="n">
        <v>-1.514303375</v>
      </c>
      <c r="F970" t="n">
        <v>5.137027561</v>
      </c>
      <c r="G970" t="n">
        <v>0.588043069</v>
      </c>
      <c r="H970" t="n">
        <v>1.848489282</v>
      </c>
    </row>
    <row r="971">
      <c r="A971" t="inlineStr">
        <is>
          <t>G|ORIG_BAL x CHANNEL / REV_DEBT|contribution_rate|band|1</t>
        </is>
      </c>
      <c r="B971" t="n">
        <v>2.49338625</v>
      </c>
      <c r="C971" t="n">
        <v>-5.046064191</v>
      </c>
      <c r="D971" t="n">
        <v>4.036443408</v>
      </c>
      <c r="E971" t="n">
        <v>-4.006816702</v>
      </c>
      <c r="F971" t="n">
        <v>3.970429124</v>
      </c>
      <c r="G971" t="n">
        <v>-1.514604852</v>
      </c>
    </row>
    <row r="972">
      <c r="A972" t="inlineStr">
        <is>
          <t>G|ORIG_BAL x CHANNEL / REV_DEBT|contribution_rate|rate|2</t>
        </is>
      </c>
      <c r="B972" t="n">
        <v>0.2027045638414016</v>
      </c>
      <c r="C972" t="n">
        <v>0.1268768208732842</v>
      </c>
      <c r="D972" t="n">
        <v>0.1991959345177189</v>
      </c>
      <c r="E972" t="n">
        <v>0.1258670103240722</v>
      </c>
      <c r="F972" t="n">
        <v>0.2273764092587622</v>
      </c>
      <c r="G972" t="n">
        <v>0.1508378740039034</v>
      </c>
      <c r="H972" t="n">
        <v>0.1722199062366803</v>
      </c>
    </row>
    <row r="973">
      <c r="A973" t="inlineStr">
        <is>
          <t>G|ORIG_BAL x CHANNEL / REV_DEBT|contribution_rate|book|2</t>
        </is>
      </c>
      <c r="B973" t="n">
        <v>3.311210811</v>
      </c>
      <c r="C973" t="n">
        <v>-4.271563486</v>
      </c>
      <c r="D973" t="n">
        <v>2.960347878</v>
      </c>
      <c r="E973" t="n">
        <v>-4.372544541</v>
      </c>
      <c r="F973" t="n">
        <v>5.778395352</v>
      </c>
      <c r="G973" t="n">
        <v>-1.875458173</v>
      </c>
      <c r="H973" t="n">
        <v>0.26274505</v>
      </c>
    </row>
    <row r="974">
      <c r="A974" t="inlineStr">
        <is>
          <t>G|ORIG_BAL x CHANNEL / REV_DEBT|contribution_rate|band|2</t>
        </is>
      </c>
      <c r="B974" t="n">
        <v>3.653878798</v>
      </c>
      <c r="C974" t="n">
        <v>-5.421518722</v>
      </c>
      <c r="D974" t="n">
        <v>3.242440551</v>
      </c>
      <c r="E974" t="n">
        <v>-5.575514288</v>
      </c>
      <c r="F974" t="n">
        <v>6.622737966</v>
      </c>
      <c r="G974" t="n">
        <v>-2.566349795</v>
      </c>
    </row>
    <row r="975">
      <c r="A975" t="inlineStr">
        <is>
          <t>G|ORIG_BAL x CHANNEL / REV_DEBT|contribution_rate|rate|3</t>
        </is>
      </c>
      <c r="B975" t="n">
        <v>0.1947772104317887</v>
      </c>
      <c r="C975" t="n">
        <v>0.1255539266642611</v>
      </c>
      <c r="D975" t="n">
        <v>0.1839007720829977</v>
      </c>
      <c r="E975" t="n">
        <v>0.1348972219130435</v>
      </c>
      <c r="F975" t="n">
        <v>0.2098137564506518</v>
      </c>
      <c r="G975" t="n">
        <v>0.1642711653194185</v>
      </c>
      <c r="H975" t="n">
        <v>0.1687501739092802</v>
      </c>
    </row>
    <row r="976">
      <c r="A976" t="inlineStr">
        <is>
          <t>G|ORIG_BAL x CHANNEL / REV_DEBT|contribution_rate|book|3</t>
        </is>
      </c>
      <c r="B976" t="n">
        <v>2.51847547</v>
      </c>
      <c r="C976" t="n">
        <v>-4.403852907</v>
      </c>
      <c r="D976" t="n">
        <v>1.430831635</v>
      </c>
      <c r="E976" t="n">
        <v>-3.469523382</v>
      </c>
      <c r="F976" t="n">
        <v>4.022130072</v>
      </c>
      <c r="G976" t="n">
        <v>-0.532129042</v>
      </c>
      <c r="H976" t="n">
        <v>-0.084228183</v>
      </c>
    </row>
    <row r="977">
      <c r="A977" t="inlineStr">
        <is>
          <t>G|ORIG_BAL x CHANNEL / REV_DEBT|contribution_rate|band|3</t>
        </is>
      </c>
      <c r="B977" t="n">
        <v>3.105341006</v>
      </c>
      <c r="C977" t="n">
        <v>-5.14906951</v>
      </c>
      <c r="D977" t="n">
        <v>1.833159802</v>
      </c>
      <c r="E977" t="n">
        <v>-4.100199239</v>
      </c>
      <c r="F977" t="n">
        <v>4.915064457</v>
      </c>
      <c r="G977" t="n">
        <v>-0.536171488</v>
      </c>
    </row>
    <row r="978">
      <c r="A978" t="inlineStr">
        <is>
          <t>G|ORIG_BAL x CHANNEL / REV_DEBT|contribution_rate|rate|4</t>
        </is>
      </c>
      <c r="B978" t="n">
        <v>0.1890009971277195</v>
      </c>
      <c r="C978" t="n">
        <v>0.1180262201760996</v>
      </c>
      <c r="D978" t="n">
        <v>0.2010208318972165</v>
      </c>
      <c r="E978" t="n">
        <v>0.1322561906068342</v>
      </c>
      <c r="F978" t="n">
        <v>0.2200212139202441</v>
      </c>
      <c r="G978" t="n">
        <v>0.1543341169873046</v>
      </c>
      <c r="H978" t="n">
        <v>0.1691805976256634</v>
      </c>
    </row>
    <row r="979">
      <c r="A979" t="inlineStr">
        <is>
          <t>G|ORIG_BAL x CHANNEL / REV_DEBT|contribution_rate|book|4</t>
        </is>
      </c>
      <c r="B979" t="n">
        <v>1.940854139</v>
      </c>
      <c r="C979" t="n">
        <v>-5.156623556</v>
      </c>
      <c r="D979" t="n">
        <v>3.142837616</v>
      </c>
      <c r="E979" t="n">
        <v>-3.733626513</v>
      </c>
      <c r="F979" t="n">
        <v>5.042875819</v>
      </c>
      <c r="G979" t="n">
        <v>-1.525833875</v>
      </c>
      <c r="H979" t="n">
        <v>-0.041185811</v>
      </c>
    </row>
    <row r="980">
      <c r="A980" t="inlineStr">
        <is>
          <t>G|ORIG_BAL x CHANNEL / REV_DEBT|contribution_rate|band|4</t>
        </is>
      </c>
      <c r="B980" t="n">
        <v>2.37075838</v>
      </c>
      <c r="C980" t="n">
        <v>-6.126415164</v>
      </c>
      <c r="D980" t="n">
        <v>3.81628061</v>
      </c>
      <c r="E980" t="n">
        <v>-4.425424758</v>
      </c>
      <c r="F980" t="n">
        <v>6.115177899</v>
      </c>
      <c r="G980" t="n">
        <v>-1.791100003</v>
      </c>
    </row>
    <row r="981">
      <c r="A981" t="inlineStr">
        <is>
          <t>G|ORIG_BAL x CHANNEL / REV_DEBT|contribution_rate|rate|5</t>
        </is>
      </c>
      <c r="B981" t="n">
        <v>0.193209756548014</v>
      </c>
      <c r="C981" t="n">
        <v>0.1251113395144378</v>
      </c>
      <c r="D981" t="n">
        <v>0.1991327072185522</v>
      </c>
      <c r="E981" t="n">
        <v>0.1181497407790939</v>
      </c>
      <c r="F981" t="n">
        <v>0.2060807142895148</v>
      </c>
      <c r="G981" t="n">
        <v>0.1519622122324603</v>
      </c>
      <c r="H981" t="n">
        <v>0.1659766215946923</v>
      </c>
    </row>
    <row r="982">
      <c r="A982" t="inlineStr">
        <is>
          <t>G|ORIG_BAL x CHANNEL / REV_DEBT|contribution_rate|book|5</t>
        </is>
      </c>
      <c r="B982" t="n">
        <v>2.361730081</v>
      </c>
      <c r="C982" t="n">
        <v>-4.448111622</v>
      </c>
      <c r="D982" t="n">
        <v>2.954025148</v>
      </c>
      <c r="E982" t="n">
        <v>-5.144271496</v>
      </c>
      <c r="F982" t="n">
        <v>3.648825855</v>
      </c>
      <c r="G982" t="n">
        <v>-1.76302435</v>
      </c>
      <c r="H982" t="n">
        <v>-0.361583414</v>
      </c>
    </row>
    <row r="983">
      <c r="A983" t="inlineStr">
        <is>
          <t>G|ORIG_BAL x CHANNEL / REV_DEBT|contribution_rate|band|5</t>
        </is>
      </c>
      <c r="B983" t="n">
        <v>3.245175967</v>
      </c>
      <c r="C983" t="n">
        <v>-4.867870325</v>
      </c>
      <c r="D983" t="n">
        <v>3.961396689</v>
      </c>
      <c r="E983" t="n">
        <v>-5.715254741</v>
      </c>
      <c r="F983" t="n">
        <v>4.866322807</v>
      </c>
      <c r="G983" t="n">
        <v>-1.702019866</v>
      </c>
    </row>
    <row r="984">
      <c r="A984" t="inlineStr">
        <is>
          <t>G|ORIG_BAL x CHANNEL / REV_DEBT|contribution_rate|rate|6</t>
        </is>
      </c>
    </row>
    <row r="985">
      <c r="A985" t="inlineStr">
        <is>
          <t>G|ORIG_BAL x CHANNEL / REV_DEBT|contribution_rate|book|6</t>
        </is>
      </c>
    </row>
    <row r="986">
      <c r="A986" t="inlineStr">
        <is>
          <t>G|ORIG_BAL x CHANNEL / REV_DEBT|contribution_rate|band|6</t>
        </is>
      </c>
    </row>
    <row r="987">
      <c r="A987" t="inlineStr">
        <is>
          <t>G|ORIG_BAL x CHANNEL / REV_DEBT|contribution_rate|rate|7</t>
        </is>
      </c>
      <c r="B987" t="n">
        <v>0.1946372703342918</v>
      </c>
      <c r="C987" t="n">
        <v>0.1248689115098537</v>
      </c>
      <c r="D987" t="n">
        <v>0.1978858822260466</v>
      </c>
      <c r="E987" t="n">
        <v>0.1286384144082429</v>
      </c>
      <c r="F987" t="n">
        <v>0.2141769057045663</v>
      </c>
      <c r="G987" t="n">
        <v>0.1562734226642919</v>
      </c>
      <c r="H987" t="n">
        <v>0.1695924557349811</v>
      </c>
    </row>
    <row r="988">
      <c r="A988" t="inlineStr">
        <is>
          <t>G|ORIG_BAL x CHANNEL / REV_DEBT|contribution_rate|book|7</t>
        </is>
      </c>
      <c r="B988" t="n">
        <v>2.50448146</v>
      </c>
      <c r="C988" t="n">
        <v>-4.472354423</v>
      </c>
      <c r="D988" t="n">
        <v>2.829342649</v>
      </c>
      <c r="E988" t="n">
        <v>-4.095404133</v>
      </c>
      <c r="F988" t="n">
        <v>4.458444997</v>
      </c>
      <c r="G988" t="n">
        <v>-1.331903307</v>
      </c>
      <c r="H988" t="n">
        <v>0</v>
      </c>
    </row>
    <row r="989">
      <c r="A989" t="inlineStr">
        <is>
          <t>G|ORIG_BAL x CHANNEL / REV_DEBT|contribution_rate|band|7</t>
        </is>
      </c>
    </row>
    <row r="990">
      <c r="A990" t="inlineStr">
        <is>
          <t>G|ORIG_BAL x CHANNEL / REV_DEBT|contribution_rate|meta</t>
        </is>
      </c>
      <c r="B990" t="inlineStr">
        <is>
          <t>pts</t>
        </is>
      </c>
      <c r="C990" t="n">
        <v>6.622737966</v>
      </c>
      <c r="D990" t="n">
        <v>10</v>
      </c>
    </row>
    <row r="991">
      <c r="A991" t="inlineStr">
        <is>
          <t>G|ORIG_BAL x ASSET_CLASS / REV_DEBT|cols</t>
        </is>
      </c>
      <c r="B991" t="inlineStr">
        <is>
          <t>1 · high</t>
        </is>
      </c>
      <c r="C991" t="inlineStr">
        <is>
          <t>1 · low</t>
        </is>
      </c>
      <c r="D991" t="inlineStr">
        <is>
          <t>2 · high</t>
        </is>
      </c>
      <c r="E991" t="inlineStr">
        <is>
          <t>2 · low</t>
        </is>
      </c>
      <c r="F991" t="inlineStr">
        <is>
          <t>3 · high</t>
        </is>
      </c>
      <c r="G991" t="inlineStr">
        <is>
          <t>3 · low</t>
        </is>
      </c>
      <c r="H991" t="inlineStr">
        <is>
          <t>4 · high</t>
        </is>
      </c>
      <c r="I991" t="inlineStr">
        <is>
          <t>4 · low</t>
        </is>
      </c>
      <c r="J991" t="inlineStr">
        <is>
          <t>All</t>
        </is>
      </c>
    </row>
    <row r="992">
      <c r="A992" t="inlineStr">
        <is>
          <t>G|ORIG_BAL x ASSET_CLASS / REV_DEBT|rows</t>
        </is>
      </c>
      <c r="B992" t="inlineStr">
        <is>
          <t>5,005 - 15,448</t>
        </is>
      </c>
      <c r="C992" t="inlineStr">
        <is>
          <t>15,449 - 26,323</t>
        </is>
      </c>
      <c r="D992" t="inlineStr">
        <is>
          <t>26,324 - 37,950</t>
        </is>
      </c>
      <c r="E992" t="inlineStr">
        <is>
          <t>37,951 - 49,151</t>
        </is>
      </c>
      <c r="F992" t="inlineStr">
        <is>
          <t>49,152 - 59,984</t>
        </is>
      </c>
      <c r="G992" t="inlineStr">
        <is>
          <t>(blank)</t>
        </is>
      </c>
      <c r="H992" t="inlineStr">
        <is>
          <t>All</t>
        </is>
      </c>
    </row>
    <row r="993">
      <c r="A993" t="inlineStr">
        <is>
          <t>G|ORIG_BAL x ASSET_CLASS / REV_DEBT|names</t>
        </is>
      </c>
      <c r="B993" t="inlineStr">
        <is>
          <t>ORIG_BAL</t>
        </is>
      </c>
      <c r="C993" t="inlineStr">
        <is>
          <t>ASSET_CLASS / REV_DEBT</t>
        </is>
      </c>
    </row>
    <row r="994">
      <c r="A994" t="inlineStr">
        <is>
          <t>G|ORIG_BAL x ASSET_CLASS / REV_DEBT|total</t>
        </is>
      </c>
      <c r="B994" t="n">
        <v>8000</v>
      </c>
    </row>
    <row r="995">
      <c r="A995" t="inlineStr">
        <is>
          <t>G|ORIG_BAL x ASSET_CLASS / REV_DEBT|loans|1</t>
        </is>
      </c>
      <c r="B995" t="n">
        <v>208</v>
      </c>
      <c r="C995" t="n">
        <v>209</v>
      </c>
      <c r="D995" t="n">
        <v>202</v>
      </c>
      <c r="E995" t="n">
        <v>202</v>
      </c>
      <c r="F995" t="n">
        <v>177</v>
      </c>
      <c r="G995" t="n">
        <v>177</v>
      </c>
      <c r="H995" t="n">
        <v>212</v>
      </c>
      <c r="I995" t="n">
        <v>213</v>
      </c>
      <c r="J995" t="n">
        <v>1600</v>
      </c>
    </row>
    <row r="996">
      <c r="A996" t="inlineStr">
        <is>
          <t>G|ORIG_BAL x ASSET_CLASS / REV_DEBT|loans|2</t>
        </is>
      </c>
      <c r="B996" t="n">
        <v>202</v>
      </c>
      <c r="C996" t="n">
        <v>202</v>
      </c>
      <c r="D996" t="n">
        <v>178</v>
      </c>
      <c r="E996" t="n">
        <v>178</v>
      </c>
      <c r="F996" t="n">
        <v>213</v>
      </c>
      <c r="G996" t="n">
        <v>214</v>
      </c>
      <c r="H996" t="n">
        <v>206</v>
      </c>
      <c r="I996" t="n">
        <v>207</v>
      </c>
      <c r="J996" t="n">
        <v>1600</v>
      </c>
    </row>
    <row r="997">
      <c r="A997" t="inlineStr">
        <is>
          <t>G|ORIG_BAL x ASSET_CLASS / REV_DEBT|loans|3</t>
        </is>
      </c>
      <c r="B997" t="n">
        <v>194</v>
      </c>
      <c r="C997" t="n">
        <v>194</v>
      </c>
      <c r="D997" t="n">
        <v>216</v>
      </c>
      <c r="E997" t="n">
        <v>216</v>
      </c>
      <c r="F997" t="n">
        <v>183</v>
      </c>
      <c r="G997" t="n">
        <v>184</v>
      </c>
      <c r="H997" t="n">
        <v>206</v>
      </c>
      <c r="I997" t="n">
        <v>206</v>
      </c>
      <c r="J997" t="n">
        <v>1599</v>
      </c>
    </row>
    <row r="998">
      <c r="A998" t="inlineStr">
        <is>
          <t>G|ORIG_BAL x ASSET_CLASS / REV_DEBT|loans|4</t>
        </is>
      </c>
      <c r="B998" t="n">
        <v>192</v>
      </c>
      <c r="C998" t="n">
        <v>192</v>
      </c>
      <c r="D998" t="n">
        <v>210</v>
      </c>
      <c r="E998" t="n">
        <v>210</v>
      </c>
      <c r="F998" t="n">
        <v>191</v>
      </c>
      <c r="G998" t="n">
        <v>191</v>
      </c>
      <c r="H998" t="n">
        <v>207</v>
      </c>
      <c r="I998" t="n">
        <v>207</v>
      </c>
      <c r="J998" t="n">
        <v>1600</v>
      </c>
    </row>
    <row r="999">
      <c r="A999" t="inlineStr">
        <is>
          <t>G|ORIG_BAL x ASSET_CLASS / REV_DEBT|loans|5</t>
        </is>
      </c>
      <c r="B999" t="n">
        <v>206</v>
      </c>
      <c r="C999" t="n">
        <v>207</v>
      </c>
      <c r="D999" t="n">
        <v>199</v>
      </c>
      <c r="E999" t="n">
        <v>199</v>
      </c>
      <c r="F999" t="n">
        <v>202</v>
      </c>
      <c r="G999" t="n">
        <v>203</v>
      </c>
      <c r="H999" t="n">
        <v>192</v>
      </c>
      <c r="I999" t="n">
        <v>192</v>
      </c>
      <c r="J999" t="n">
        <v>1600</v>
      </c>
    </row>
    <row r="1000">
      <c r="A1000" t="inlineStr">
        <is>
          <t>G|ORIG_BAL x ASSET_CLASS / REV_DEBT|loans|6</t>
        </is>
      </c>
      <c r="E1000" t="n">
        <v>1</v>
      </c>
      <c r="J1000" t="n">
        <v>1</v>
      </c>
    </row>
    <row r="1001">
      <c r="A1001" t="inlineStr">
        <is>
          <t>G|ORIG_BAL x ASSET_CLASS / REV_DEBT|loans|7</t>
        </is>
      </c>
      <c r="B1001" t="n">
        <v>1002</v>
      </c>
      <c r="C1001" t="n">
        <v>1004</v>
      </c>
      <c r="D1001" t="n">
        <v>1005</v>
      </c>
      <c r="E1001" t="n">
        <v>1006</v>
      </c>
      <c r="F1001" t="n">
        <v>966</v>
      </c>
      <c r="G1001" t="n">
        <v>969</v>
      </c>
      <c r="H1001" t="n">
        <v>1023</v>
      </c>
      <c r="I1001" t="n">
        <v>1025</v>
      </c>
      <c r="J1001" t="n">
        <v>8000</v>
      </c>
    </row>
    <row r="1002">
      <c r="A1002" t="inlineStr">
        <is>
          <t>G|ORIG_BAL x ASSET_CLASS / REV_DEBT|outcome_loans|rate|1</t>
        </is>
      </c>
      <c r="B1002" t="n">
        <v>0.09615384615384616</v>
      </c>
      <c r="C1002" t="n">
        <v>0.02870813397129187</v>
      </c>
      <c r="D1002" t="n">
        <v>0.09900990099009901</v>
      </c>
      <c r="E1002" t="n">
        <v>0.03465346534653466</v>
      </c>
      <c r="F1002" t="n">
        <v>0.1242937853107345</v>
      </c>
      <c r="G1002" t="n">
        <v>0.03954802259887006</v>
      </c>
      <c r="H1002" t="n">
        <v>0.1132075471698113</v>
      </c>
      <c r="I1002" t="n">
        <v>0.07981220657276995</v>
      </c>
      <c r="J1002" t="n">
        <v>0.076875</v>
      </c>
    </row>
    <row r="1003">
      <c r="A1003" t="inlineStr">
        <is>
          <t>G|ORIG_BAL x ASSET_CLASS / REV_DEBT|outcome_loans|book|1</t>
        </is>
      </c>
      <c r="B1003" t="n">
        <v>1.242543805144775</v>
      </c>
      <c r="D1003" t="n">
        <v>1.279451046881748</v>
      </c>
      <c r="F1003" t="n">
        <v>1.606180918740816</v>
      </c>
      <c r="H1003" t="n">
        <v>1.462919498887433</v>
      </c>
      <c r="I1003" t="n">
        <v>1.031369693660076</v>
      </c>
      <c r="J1003" t="n">
        <v>0.9934137722132471</v>
      </c>
    </row>
    <row r="1004">
      <c r="A1004" t="inlineStr">
        <is>
          <t>G|ORIG_BAL x ASSET_CLASS / REV_DEBT|outcome_loans|band|1</t>
        </is>
      </c>
      <c r="B1004" t="n">
        <v>1.299477221807319</v>
      </c>
      <c r="D1004" t="n">
        <v>1.343843122176295</v>
      </c>
      <c r="F1004" t="n">
        <v>1.751188678189853</v>
      </c>
      <c r="H1004" t="n">
        <v>1.587192681532304</v>
      </c>
      <c r="I1004" t="n">
        <v>1.044335193551245</v>
      </c>
    </row>
    <row r="1005">
      <c r="A1005" t="inlineStr">
        <is>
          <t>G|ORIG_BAL x ASSET_CLASS / REV_DEBT|outcome_loans|rate|2</t>
        </is>
      </c>
      <c r="B1005" t="n">
        <v>0.1485148514851485</v>
      </c>
      <c r="C1005" t="n">
        <v>0.0396039603960396</v>
      </c>
      <c r="D1005" t="n">
        <v>0.08426966292134831</v>
      </c>
      <c r="E1005" t="n">
        <v>0.03932584269662921</v>
      </c>
      <c r="F1005" t="n">
        <v>0.1173708920187793</v>
      </c>
      <c r="G1005" t="n">
        <v>0.07943925233644859</v>
      </c>
      <c r="H1005" t="n">
        <v>0.1601941747572816</v>
      </c>
      <c r="I1005" t="n">
        <v>0.06763285024154589</v>
      </c>
      <c r="J1005" t="n">
        <v>0.093125</v>
      </c>
    </row>
    <row r="1006">
      <c r="A1006" t="inlineStr">
        <is>
          <t>G|ORIG_BAL x ASSET_CLASS / REV_DEBT|outcome_loans|book|2</t>
        </is>
      </c>
      <c r="B1006" t="n">
        <v>1.919176570322622</v>
      </c>
      <c r="D1006" t="n">
        <v>1.08897097529542</v>
      </c>
      <c r="F1006" t="n">
        <v>1.516720137735405</v>
      </c>
      <c r="G1006" t="n">
        <v>1.026550209110262</v>
      </c>
      <c r="H1006" t="n">
        <v>2.070102106435372</v>
      </c>
      <c r="I1006" t="n">
        <v>0.8739825025559379</v>
      </c>
      <c r="J1006" t="n">
        <v>1.203403675282714</v>
      </c>
    </row>
    <row r="1007">
      <c r="A1007" t="inlineStr">
        <is>
          <t>G|ORIG_BAL x ASSET_CLASS / REV_DEBT|outcome_loans|band|2</t>
        </is>
      </c>
      <c r="B1007" t="n">
        <v>1.74473749895998</v>
      </c>
      <c r="D1007" t="n">
        <v>0.8942646318966962</v>
      </c>
      <c r="F1007" t="n">
        <v>1.312850219597153</v>
      </c>
      <c r="G1007" t="n">
        <v>0.8341121495327103</v>
      </c>
      <c r="H1007" t="n">
        <v>1.925092065617677</v>
      </c>
      <c r="I1007" t="n">
        <v>0.697870817677581</v>
      </c>
    </row>
    <row r="1008">
      <c r="A1008" t="inlineStr">
        <is>
          <t>G|ORIG_BAL x ASSET_CLASS / REV_DEBT|outcome_loans|rate|3</t>
        </is>
      </c>
      <c r="B1008" t="n">
        <v>0.09793814432989691</v>
      </c>
      <c r="C1008" t="n">
        <v>0.03608247422680412</v>
      </c>
      <c r="D1008" t="n">
        <v>0.07906976744186046</v>
      </c>
      <c r="E1008" t="n">
        <v>0.02777777777777778</v>
      </c>
      <c r="F1008" t="n">
        <v>0.08743169398907104</v>
      </c>
      <c r="G1008" t="n">
        <v>0.02173913043478261</v>
      </c>
      <c r="H1008" t="n">
        <v>0.1553398058252427</v>
      </c>
      <c r="I1008" t="n">
        <v>0.04368932038834952</v>
      </c>
      <c r="J1008" t="n">
        <v>0.06883604505632041</v>
      </c>
    </row>
    <row r="1009">
      <c r="A1009" t="inlineStr">
        <is>
          <t>G|ORIG_BAL x ASSET_CLASS / REV_DEBT|outcome_loans|book|3</t>
        </is>
      </c>
      <c r="B1009" t="n">
        <v>1.265601319054678</v>
      </c>
      <c r="D1009" t="n">
        <v>1.021775556974866</v>
      </c>
      <c r="F1009" t="n">
        <v>1.129832181290112</v>
      </c>
      <c r="H1009" t="n">
        <v>2.007371739573694</v>
      </c>
      <c r="J1009" t="n">
        <v>0.8895307340961339</v>
      </c>
    </row>
    <row r="1010">
      <c r="A1010" t="inlineStr">
        <is>
          <t>G|ORIG_BAL x ASSET_CLASS / REV_DEBT|outcome_loans|band|3</t>
        </is>
      </c>
      <c r="B1010" t="n">
        <v>1.511045655375552</v>
      </c>
      <c r="D1010" t="n">
        <v>1.175843960990248</v>
      </c>
      <c r="F1010" t="n">
        <v>1.316126031856761</v>
      </c>
      <c r="H1010" t="n">
        <v>2.772218073188947</v>
      </c>
    </row>
    <row r="1011">
      <c r="A1011" t="inlineStr">
        <is>
          <t>G|ORIG_BAL x ASSET_CLASS / REV_DEBT|outcome_loans|rate|4</t>
        </is>
      </c>
      <c r="B1011" t="n">
        <v>0.08854166666666667</v>
      </c>
      <c r="C1011" t="n">
        <v>0.015625</v>
      </c>
      <c r="D1011" t="n">
        <v>0.08095238095238096</v>
      </c>
      <c r="E1011" t="n">
        <v>0.04285714285714286</v>
      </c>
      <c r="F1011" t="n">
        <v>0.1465968586387434</v>
      </c>
      <c r="G1011" t="n">
        <v>0.04712041884816754</v>
      </c>
      <c r="H1011" t="n">
        <v>0.178743961352657</v>
      </c>
      <c r="I1011" t="n">
        <v>0.06763285024154589</v>
      </c>
      <c r="J1011" t="n">
        <v>0.08375</v>
      </c>
    </row>
    <row r="1012">
      <c r="A1012" t="inlineStr">
        <is>
          <t>G|ORIG_BAL x ASSET_CLASS / REV_DEBT|outcome_loans|book|4</t>
        </is>
      </c>
      <c r="B1012" t="n">
        <v>1.144175753904147</v>
      </c>
      <c r="D1012" t="n">
        <v>1.046103546426648</v>
      </c>
      <c r="F1012" t="n">
        <v>1.894391392974651</v>
      </c>
      <c r="H1012" t="n">
        <v>2.309810899612121</v>
      </c>
      <c r="I1012" t="n">
        <v>0.8739825025559379</v>
      </c>
      <c r="J1012" t="n">
        <v>1.082255654281099</v>
      </c>
    </row>
    <row r="1013">
      <c r="A1013" t="inlineStr">
        <is>
          <t>G|ORIG_BAL x ASSET_CLASS / REV_DEBT|outcome_loans|band|4</t>
        </is>
      </c>
      <c r="B1013" t="n">
        <v>1.065527065527065</v>
      </c>
      <c r="D1013" t="n">
        <v>0.9617419617419618</v>
      </c>
      <c r="F1013" t="n">
        <v>1.948631828509335</v>
      </c>
      <c r="H1013" t="n">
        <v>2.566910702724239</v>
      </c>
      <c r="I1013" t="n">
        <v>0.7851046698872785</v>
      </c>
    </row>
    <row r="1014">
      <c r="A1014" t="inlineStr">
        <is>
          <t>G|ORIG_BAL x ASSET_CLASS / REV_DEBT|outcome_loans|rate|5</t>
        </is>
      </c>
      <c r="B1014" t="n">
        <v>0.0825242718446602</v>
      </c>
      <c r="C1014" t="n">
        <v>0.04347826086956522</v>
      </c>
      <c r="D1014" t="n">
        <v>0.08542713567839195</v>
      </c>
      <c r="E1014" t="n">
        <v>0.03517587939698492</v>
      </c>
      <c r="F1014" t="n">
        <v>0.06930693069306931</v>
      </c>
      <c r="G1014" t="n">
        <v>0.02955665024630542</v>
      </c>
      <c r="H1014" t="n">
        <v>0.1354166666666667</v>
      </c>
      <c r="I1014" t="n">
        <v>0.03645833333333334</v>
      </c>
      <c r="J1014" t="n">
        <v>0.064375</v>
      </c>
    </row>
    <row r="1015">
      <c r="A1015" t="inlineStr">
        <is>
          <t>G|ORIG_BAL x ASSET_CLASS / REV_DEBT|outcome_loans|book|5</t>
        </is>
      </c>
      <c r="B1015" t="n">
        <v>1.066416236648525</v>
      </c>
      <c r="D1015" t="n">
        <v>1.10392836557586</v>
      </c>
      <c r="F1015" t="n">
        <v>0.8956157328172236</v>
      </c>
      <c r="H1015" t="n">
        <v>1.749915858912224</v>
      </c>
      <c r="J1015" t="n">
        <v>0.8318830775444265</v>
      </c>
    </row>
    <row r="1016">
      <c r="A1016" t="inlineStr">
        <is>
          <t>G|ORIG_BAL x ASSET_CLASS / REV_DEBT|outcome_loans|band|5</t>
        </is>
      </c>
      <c r="B1016" t="n">
        <v>1.337660871528562</v>
      </c>
      <c r="D1016" t="n">
        <v>1.391667640528222</v>
      </c>
      <c r="F1016" t="n">
        <v>1.088663922572032</v>
      </c>
      <c r="H1016" t="n">
        <v>2.476190476190476</v>
      </c>
    </row>
    <row r="1017">
      <c r="A1017" t="inlineStr">
        <is>
          <t>G|ORIG_BAL x ASSET_CLASS / REV_DEBT|outcome_loans|rate|6</t>
        </is>
      </c>
      <c r="E1017" t="n">
        <v>0</v>
      </c>
      <c r="J1017" t="n">
        <v>0</v>
      </c>
    </row>
    <row r="1018">
      <c r="A1018" t="inlineStr">
        <is>
          <t>G|ORIG_BAL x ASSET_CLASS / REV_DEBT|outcome_loans|book|6</t>
        </is>
      </c>
    </row>
    <row r="1019">
      <c r="A1019" t="inlineStr">
        <is>
          <t>G|ORIG_BAL x ASSET_CLASS / REV_DEBT|outcome_loans|band|6</t>
        </is>
      </c>
    </row>
    <row r="1020">
      <c r="A1020" t="inlineStr">
        <is>
          <t>G|ORIG_BAL x ASSET_CLASS / REV_DEBT|outcome_loans|rate|7</t>
        </is>
      </c>
      <c r="B1020" t="n">
        <v>0.1027944111776447</v>
      </c>
      <c r="C1020" t="n">
        <v>0.03286852589641434</v>
      </c>
      <c r="D1020" t="n">
        <v>0.08565737051792828</v>
      </c>
      <c r="E1020" t="n">
        <v>0.03578528827037773</v>
      </c>
      <c r="F1020" t="n">
        <v>0.108695652173913</v>
      </c>
      <c r="G1020" t="n">
        <v>0.04437564499484004</v>
      </c>
      <c r="H1020" t="n">
        <v>0.1485826001955034</v>
      </c>
      <c r="I1020" t="n">
        <v>0.05951219512195122</v>
      </c>
      <c r="J1020" t="n">
        <v>0.07738467308413552</v>
      </c>
    </row>
    <row r="1021">
      <c r="A1021" t="inlineStr">
        <is>
          <t>G|ORIG_BAL x ASSET_CLASS / REV_DEBT|outcome_loans|book|7</t>
        </is>
      </c>
      <c r="B1021" t="n">
        <v>1.328356211647787</v>
      </c>
      <c r="C1021" t="n">
        <v>0.4247420656630344</v>
      </c>
      <c r="D1021" t="n">
        <v>1.106903565061241</v>
      </c>
      <c r="E1021" t="n">
        <v>0.4624337978590493</v>
      </c>
      <c r="F1021" t="n">
        <v>1.404614736250615</v>
      </c>
      <c r="G1021" t="n">
        <v>0.573442300991479</v>
      </c>
      <c r="H1021" t="n">
        <v>1.920052050022345</v>
      </c>
      <c r="I1021" t="n">
        <v>0.7690436975452145</v>
      </c>
      <c r="J1021" t="n">
        <v>1</v>
      </c>
    </row>
    <row r="1022">
      <c r="A1022" t="inlineStr">
        <is>
          <t>G|ORIG_BAL x ASSET_CLASS / REV_DEBT|outcome_loans|band|7</t>
        </is>
      </c>
    </row>
    <row r="1023">
      <c r="A1023" t="inlineStr">
        <is>
          <t>G|ORIG_BAL x ASSET_CLASS / REV_DEBT|outcome_loans|meta</t>
        </is>
      </c>
      <c r="B1023" t="inlineStr">
        <is>
          <t>x</t>
        </is>
      </c>
      <c r="C1023" t="n">
        <v>2.772218073188947</v>
      </c>
      <c r="D1023" t="n">
        <v>10</v>
      </c>
    </row>
    <row r="1024">
      <c r="A1024" t="inlineStr">
        <is>
          <t>G|ORIG_BAL x ASSET_CLASS / REV_DEBT|outcome_booked|rate|1</t>
        </is>
      </c>
      <c r="B1024" t="n">
        <v>0.09290503940027758</v>
      </c>
      <c r="C1024" t="n">
        <v>0.02952227095020543</v>
      </c>
      <c r="D1024" t="n">
        <v>0.09263777650190096</v>
      </c>
      <c r="E1024" t="n">
        <v>0.03281594281058576</v>
      </c>
      <c r="F1024" t="n">
        <v>0.1165411230348162</v>
      </c>
      <c r="G1024" t="n">
        <v>0.03817030932397541</v>
      </c>
      <c r="H1024" t="n">
        <v>0.1062309154785292</v>
      </c>
      <c r="I1024" t="n">
        <v>0.09403363573030173</v>
      </c>
      <c r="J1024" t="n">
        <v>0.07557453391360712</v>
      </c>
    </row>
    <row r="1025">
      <c r="A1025" t="inlineStr">
        <is>
          <t>G|ORIG_BAL x ASSET_CLASS / REV_DEBT|outcome_booked|book|1</t>
        </is>
      </c>
      <c r="B1025" t="n">
        <v>1.241566806653728</v>
      </c>
      <c r="D1025" t="n">
        <v>1.237995151709965</v>
      </c>
      <c r="F1025" t="n">
        <v>1.55743532217633</v>
      </c>
      <c r="H1025" t="n">
        <v>1.41965149953088</v>
      </c>
      <c r="I1025" t="n">
        <v>1.256649171943216</v>
      </c>
      <c r="J1025" t="n">
        <v>1.009964942065142</v>
      </c>
    </row>
    <row r="1026">
      <c r="A1026" t="inlineStr">
        <is>
          <t>G|ORIG_BAL x ASSET_CLASS / REV_DEBT|outcome_booked|band|1</t>
        </is>
      </c>
      <c r="B1026" t="n">
        <v>1.273933055492068</v>
      </c>
      <c r="D1026" t="n">
        <v>1.268966817065921</v>
      </c>
      <c r="F1026" t="n">
        <v>1.651365657034872</v>
      </c>
      <c r="H1026" t="n">
        <v>1.496132915062591</v>
      </c>
      <c r="I1026" t="n">
        <v>1.292845036630074</v>
      </c>
    </row>
    <row r="1027">
      <c r="A1027" t="inlineStr">
        <is>
          <t>G|ORIG_BAL x ASSET_CLASS / REV_DEBT|outcome_booked|rate|2</t>
        </is>
      </c>
      <c r="B1027" t="n">
        <v>0.1518870369741347</v>
      </c>
      <c r="C1027" t="n">
        <v>0.0381497106730519</v>
      </c>
      <c r="D1027" t="n">
        <v>0.08359777043326772</v>
      </c>
      <c r="E1027" t="n">
        <v>0.0422909277473939</v>
      </c>
      <c r="F1027" t="n">
        <v>0.1193714998311279</v>
      </c>
      <c r="G1027" t="n">
        <v>0.08197593791990893</v>
      </c>
      <c r="H1027" t="n">
        <v>0.1539354353974245</v>
      </c>
      <c r="I1027" t="n">
        <v>0.07009660200778442</v>
      </c>
      <c r="J1027" t="n">
        <v>0.09377887022910675</v>
      </c>
    </row>
    <row r="1028">
      <c r="A1028" t="inlineStr">
        <is>
          <t>G|ORIG_BAL x ASSET_CLASS / REV_DEBT|outcome_booked|book|2</t>
        </is>
      </c>
      <c r="B1028" t="n">
        <v>2.029791975606329</v>
      </c>
      <c r="D1028" t="n">
        <v>1.117186081080264</v>
      </c>
      <c r="F1028" t="n">
        <v>1.59525998597614</v>
      </c>
      <c r="G1028" t="n">
        <v>1.095512193123956</v>
      </c>
      <c r="H1028" t="n">
        <v>2.057166416277959</v>
      </c>
      <c r="I1028" t="n">
        <v>0.9367588117273021</v>
      </c>
      <c r="J1028" t="n">
        <v>1.253244530044283</v>
      </c>
    </row>
    <row r="1029">
      <c r="A1029" t="inlineStr">
        <is>
          <t>G|ORIG_BAL x ASSET_CLASS / REV_DEBT|outcome_booked|band|2</t>
        </is>
      </c>
      <c r="B1029" t="n">
        <v>1.77792901703153</v>
      </c>
      <c r="D1029" t="n">
        <v>0.8792514136581788</v>
      </c>
      <c r="F1029" t="n">
        <v>1.328114183268922</v>
      </c>
      <c r="G1029" t="n">
        <v>0.857780628275242</v>
      </c>
      <c r="H1029" t="n">
        <v>1.81585066688203</v>
      </c>
      <c r="I1029" t="n">
        <v>0.7202901901859122</v>
      </c>
    </row>
    <row r="1030">
      <c r="A1030" t="inlineStr">
        <is>
          <t>G|ORIG_BAL x ASSET_CLASS / REV_DEBT|outcome_booked|rate|3</t>
        </is>
      </c>
      <c r="B1030" t="n">
        <v>0.09739746553537745</v>
      </c>
      <c r="C1030" t="n">
        <v>0.03480499974502002</v>
      </c>
      <c r="D1030" t="n">
        <v>0.07908891009828846</v>
      </c>
      <c r="E1030" t="n">
        <v>0.02711585208007063</v>
      </c>
      <c r="F1030" t="n">
        <v>0.08704827809639631</v>
      </c>
      <c r="G1030" t="n">
        <v>0.02252402678881914</v>
      </c>
      <c r="H1030" t="n">
        <v>0.1541860750690628</v>
      </c>
      <c r="I1030" t="n">
        <v>0.04157448913087821</v>
      </c>
      <c r="J1030" t="n">
        <v>0.06822026696935882</v>
      </c>
    </row>
    <row r="1031">
      <c r="A1031" t="inlineStr">
        <is>
          <t>G|ORIG_BAL x ASSET_CLASS / REV_DEBT|outcome_booked|book|3</t>
        </is>
      </c>
      <c r="B1031" t="n">
        <v>1.301602809078232</v>
      </c>
      <c r="D1031" t="n">
        <v>1.056930454863597</v>
      </c>
      <c r="F1031" t="n">
        <v>1.163298066052223</v>
      </c>
      <c r="H1031" t="n">
        <v>2.060515921307454</v>
      </c>
      <c r="J1031" t="n">
        <v>0.911683796239352</v>
      </c>
    </row>
    <row r="1032">
      <c r="A1032" t="inlineStr">
        <is>
          <t>G|ORIG_BAL x ASSET_CLASS / REV_DEBT|outcome_booked|band|3</t>
        </is>
      </c>
      <c r="B1032" t="n">
        <v>1.517208144722916</v>
      </c>
      <c r="D1032" t="n">
        <v>1.188903876168565</v>
      </c>
      <c r="F1032" t="n">
        <v>1.322536282492486</v>
      </c>
      <c r="H1032" t="n">
        <v>2.785508855293775</v>
      </c>
    </row>
    <row r="1033">
      <c r="A1033" t="inlineStr">
        <is>
          <t>G|ORIG_BAL x ASSET_CLASS / REV_DEBT|outcome_booked|rate|4</t>
        </is>
      </c>
      <c r="B1033" t="n">
        <v>0.08815237668135423</v>
      </c>
      <c r="C1033" t="n">
        <v>0.01537928505314761</v>
      </c>
      <c r="D1033" t="n">
        <v>0.08182505267173087</v>
      </c>
      <c r="E1033" t="n">
        <v>0.04196664838860466</v>
      </c>
      <c r="F1033" t="n">
        <v>0.1454267243295404</v>
      </c>
      <c r="G1033" t="n">
        <v>0.04604638266188318</v>
      </c>
      <c r="H1033" t="n">
        <v>0.1796988636861244</v>
      </c>
      <c r="I1033" t="n">
        <v>0.06522764587616993</v>
      </c>
      <c r="J1033" t="n">
        <v>0.08308928618120669</v>
      </c>
    </row>
    <row r="1034">
      <c r="A1034" t="inlineStr">
        <is>
          <t>G|ORIG_BAL x ASSET_CLASS / REV_DEBT|outcome_booked|book|4</t>
        </is>
      </c>
      <c r="B1034" t="n">
        <v>1.178053047732506</v>
      </c>
      <c r="D1034" t="n">
        <v>1.093495788879785</v>
      </c>
      <c r="F1034" t="n">
        <v>1.943457479739253</v>
      </c>
      <c r="H1034" t="n">
        <v>2.401464396186655</v>
      </c>
      <c r="I1034" t="n">
        <v>0.8716909278419031</v>
      </c>
      <c r="J1034" t="n">
        <v>1.110390785871948</v>
      </c>
    </row>
    <row r="1035">
      <c r="A1035" t="inlineStr">
        <is>
          <t>G|ORIG_BAL x ASSET_CLASS / REV_DEBT|outcome_booked|band|4</t>
        </is>
      </c>
      <c r="B1035" t="n">
        <v>1.069751165133794</v>
      </c>
      <c r="D1035" t="n">
        <v>0.9825321974782512</v>
      </c>
      <c r="F1035" t="n">
        <v>1.946602888539124</v>
      </c>
      <c r="H1035" t="n">
        <v>2.615228567044437</v>
      </c>
      <c r="I1035" t="n">
        <v>0.7606704975439602</v>
      </c>
    </row>
    <row r="1036">
      <c r="A1036" t="inlineStr">
        <is>
          <t>G|ORIG_BAL x ASSET_CLASS / REV_DEBT|outcome_booked|rate|5</t>
        </is>
      </c>
      <c r="B1036" t="n">
        <v>0.08434575524554967</v>
      </c>
      <c r="C1036" t="n">
        <v>0.04228588616591304</v>
      </c>
      <c r="D1036" t="n">
        <v>0.08579641217196908</v>
      </c>
      <c r="E1036" t="n">
        <v>0.0361728169034601</v>
      </c>
      <c r="F1036" t="n">
        <v>0.06813584931607068</v>
      </c>
      <c r="G1036" t="n">
        <v>0.02984577250008536</v>
      </c>
      <c r="H1036" t="n">
        <v>0.1363323952581459</v>
      </c>
      <c r="I1036" t="n">
        <v>0.03694410269368633</v>
      </c>
      <c r="J1036" t="n">
        <v>0.06473600628619963</v>
      </c>
    </row>
    <row r="1037">
      <c r="A1037" t="inlineStr">
        <is>
          <t>G|ORIG_BAL x ASSET_CLASS / REV_DEBT|outcome_booked|book|5</t>
        </is>
      </c>
      <c r="B1037" t="n">
        <v>1.127182020168232</v>
      </c>
      <c r="D1037" t="n">
        <v>1.146568347318094</v>
      </c>
      <c r="F1037" t="n">
        <v>0.9105556533862331</v>
      </c>
      <c r="H1037" t="n">
        <v>1.821922445937893</v>
      </c>
      <c r="J1037" t="n">
        <v>0.8651207417714352</v>
      </c>
    </row>
    <row r="1038">
      <c r="A1038" t="inlineStr">
        <is>
          <t>G|ORIG_BAL x ASSET_CLASS / REV_DEBT|outcome_booked|band|5</t>
        </is>
      </c>
      <c r="B1038" t="n">
        <v>1.363796604250509</v>
      </c>
      <c r="D1038" t="n">
        <v>1.389340533588812</v>
      </c>
      <c r="F1038" t="n">
        <v>1.06054224078534</v>
      </c>
      <c r="H1038" t="n">
        <v>2.484039680923474</v>
      </c>
    </row>
    <row r="1039">
      <c r="A1039" t="inlineStr">
        <is>
          <t>G|ORIG_BAL x ASSET_CLASS / REV_DEBT|outcome_booked|rate|6</t>
        </is>
      </c>
    </row>
    <row r="1040">
      <c r="A1040" t="inlineStr">
        <is>
          <t>G|ORIG_BAL x ASSET_CLASS / REV_DEBT|outcome_booked|book|6</t>
        </is>
      </c>
    </row>
    <row r="1041">
      <c r="A1041" t="inlineStr">
        <is>
          <t>G|ORIG_BAL x ASSET_CLASS / REV_DEBT|outcome_booked|band|6</t>
        </is>
      </c>
    </row>
    <row r="1042">
      <c r="A1042" t="inlineStr">
        <is>
          <t>G|ORIG_BAL x ASSET_CLASS / REV_DEBT|outcome_booked|rate|7</t>
        </is>
      </c>
      <c r="B1042" t="n">
        <v>0.09726816608965165</v>
      </c>
      <c r="C1042" t="n">
        <v>0.03245255704888828</v>
      </c>
      <c r="D1042" t="n">
        <v>0.08346390782318865</v>
      </c>
      <c r="E1042" t="n">
        <v>0.03634658707828321</v>
      </c>
      <c r="F1042" t="n">
        <v>0.1020575082344935</v>
      </c>
      <c r="G1042" t="n">
        <v>0.040490095193277</v>
      </c>
      <c r="H1042" t="n">
        <v>0.1523397004338911</v>
      </c>
      <c r="I1042" t="n">
        <v>0.0539522414972322</v>
      </c>
      <c r="J1042" t="n">
        <v>0.07482886857347222</v>
      </c>
    </row>
    <row r="1043">
      <c r="A1043" t="inlineStr">
        <is>
          <t>G|ORIG_BAL x ASSET_CLASS / REV_DEBT|outcome_booked|book|7</t>
        </is>
      </c>
      <c r="B1043" t="n">
        <v>1.299874873748048</v>
      </c>
      <c r="C1043" t="n">
        <v>0.4336903345935805</v>
      </c>
      <c r="D1043" t="n">
        <v>1.115397164414397</v>
      </c>
      <c r="E1043" t="n">
        <v>0.4857294754175727</v>
      </c>
      <c r="F1043" t="n">
        <v>1.363878810145126</v>
      </c>
      <c r="G1043" t="n">
        <v>0.5411025980370252</v>
      </c>
      <c r="H1043" t="n">
        <v>2.03584129144373</v>
      </c>
      <c r="I1043" t="n">
        <v>0.7210083825369887</v>
      </c>
      <c r="J1043" t="n">
        <v>0.9999999999999983</v>
      </c>
    </row>
    <row r="1044">
      <c r="A1044" t="inlineStr">
        <is>
          <t>G|ORIG_BAL x ASSET_CLASS / REV_DEBT|outcome_booked|band|7</t>
        </is>
      </c>
    </row>
    <row r="1045">
      <c r="A1045" t="inlineStr">
        <is>
          <t>G|ORIG_BAL x ASSET_CLASS / REV_DEBT|outcome_booked|meta</t>
        </is>
      </c>
      <c r="B1045" t="inlineStr">
        <is>
          <t>x</t>
        </is>
      </c>
      <c r="C1045" t="n">
        <v>2.785508855293775</v>
      </c>
      <c r="D1045" t="n">
        <v>10</v>
      </c>
    </row>
    <row r="1046">
      <c r="A1046" t="inlineStr">
        <is>
          <t>G|ORIG_BAL x ASSET_CLASS / REV_DEBT|gco_rate|rate|1</t>
        </is>
      </c>
      <c r="B1046" t="n">
        <v>0.04886051579333926</v>
      </c>
      <c r="C1046" t="n">
        <v>0.01641389542933323</v>
      </c>
      <c r="D1046" t="n">
        <v>0.05064203233152088</v>
      </c>
      <c r="E1046" t="n">
        <v>0.01927096644932616</v>
      </c>
      <c r="F1046" t="n">
        <v>0.06655866329752466</v>
      </c>
      <c r="G1046" t="n">
        <v>0.0253799647926179</v>
      </c>
      <c r="H1046" t="n">
        <v>0.05607133384729826</v>
      </c>
      <c r="I1046" t="n">
        <v>0.0483373549502804</v>
      </c>
      <c r="J1046" t="n">
        <v>0.04139745179629655</v>
      </c>
    </row>
    <row r="1047">
      <c r="A1047" t="inlineStr">
        <is>
          <t>G|ORIG_BAL x ASSET_CLASS / REV_DEBT|gco_rate|book|1</t>
        </is>
      </c>
      <c r="B1047" t="n">
        <v>1.174382987390551</v>
      </c>
      <c r="D1047" t="n">
        <v>1.217202484488055</v>
      </c>
      <c r="F1047" t="n">
        <v>1.599765384603747</v>
      </c>
      <c r="H1047" t="n">
        <v>1.347698023268509</v>
      </c>
      <c r="I1047" t="n">
        <v>1.161808597133276</v>
      </c>
      <c r="J1047" t="n">
        <v>0.995005114487935</v>
      </c>
    </row>
    <row r="1048">
      <c r="A1048" t="inlineStr">
        <is>
          <t>G|ORIG_BAL x ASSET_CLASS / REV_DEBT|gco_rate|band|1</t>
        </is>
      </c>
      <c r="B1048" t="n">
        <v>1.213695117847149</v>
      </c>
      <c r="D1048" t="n">
        <v>1.26592491319664</v>
      </c>
      <c r="F1048" t="n">
        <v>1.736676705087449</v>
      </c>
      <c r="H1048" t="n">
        <v>1.430041929927986</v>
      </c>
      <c r="I1048" t="n">
        <v>1.198561425641334</v>
      </c>
    </row>
    <row r="1049">
      <c r="A1049" t="inlineStr">
        <is>
          <t>G|ORIG_BAL x ASSET_CLASS / REV_DEBT|gco_rate|rate|2</t>
        </is>
      </c>
      <c r="B1049" t="n">
        <v>0.08912955817891964</v>
      </c>
      <c r="C1049" t="n">
        <v>0.02046988142852739</v>
      </c>
      <c r="D1049" t="n">
        <v>0.04452782769616914</v>
      </c>
      <c r="E1049" t="n">
        <v>0.02392401844576048</v>
      </c>
      <c r="F1049" t="n">
        <v>0.07276836213097256</v>
      </c>
      <c r="G1049" t="n">
        <v>0.04360368078422548</v>
      </c>
      <c r="H1049" t="n">
        <v>0.08725443695935721</v>
      </c>
      <c r="I1049" t="n">
        <v>0.0381792208430849</v>
      </c>
      <c r="J1049" t="n">
        <v>0.05316017920478747</v>
      </c>
    </row>
    <row r="1050">
      <c r="A1050" t="inlineStr">
        <is>
          <t>G|ORIG_BAL x ASSET_CLASS / REV_DEBT|gco_rate|book|2</t>
        </is>
      </c>
      <c r="B1050" t="n">
        <v>2.142266308478649</v>
      </c>
      <c r="D1050" t="n">
        <v>1.070245012005532</v>
      </c>
      <c r="F1050" t="n">
        <v>1.749018100184255</v>
      </c>
      <c r="G1050" t="n">
        <v>1.048032753423847</v>
      </c>
      <c r="H1050" t="n">
        <v>2.097196983609808</v>
      </c>
      <c r="I1050" t="n">
        <v>0.9176535839201662</v>
      </c>
      <c r="J1050" t="n">
        <v>1.27772720060491</v>
      </c>
    </row>
    <row r="1051">
      <c r="A1051" t="inlineStr">
        <is>
          <t>G|ORIG_BAL x ASSET_CLASS / REV_DEBT|gco_rate|band|2</t>
        </is>
      </c>
      <c r="B1051" t="n">
        <v>1.857188224159159</v>
      </c>
      <c r="D1051" t="n">
        <v>0.8206082498308932</v>
      </c>
      <c r="F1051" t="n">
        <v>1.450339067243906</v>
      </c>
      <c r="G1051" t="n">
        <v>0.7984798042217086</v>
      </c>
      <c r="H1051" t="n">
        <v>1.8156777228585</v>
      </c>
      <c r="I1051" t="n">
        <v>0.6891750116179141</v>
      </c>
    </row>
    <row r="1052">
      <c r="A1052" t="inlineStr">
        <is>
          <t>G|ORIG_BAL x ASSET_CLASS / REV_DEBT|gco_rate|rate|3</t>
        </is>
      </c>
      <c r="B1052" t="n">
        <v>0.04940057675039188</v>
      </c>
      <c r="C1052" t="n">
        <v>0.02280975053415465</v>
      </c>
      <c r="D1052" t="n">
        <v>0.0413159790298536</v>
      </c>
      <c r="E1052" t="n">
        <v>0.01500324754295901</v>
      </c>
      <c r="F1052" t="n">
        <v>0.05177428487208548</v>
      </c>
      <c r="G1052" t="n">
        <v>0.01162282069562633</v>
      </c>
      <c r="H1052" t="n">
        <v>0.08549072354606942</v>
      </c>
      <c r="I1052" t="n">
        <v>0.02151673493989708</v>
      </c>
      <c r="J1052" t="n">
        <v>0.0374507298379668</v>
      </c>
    </row>
    <row r="1053">
      <c r="A1053" t="inlineStr">
        <is>
          <t>G|ORIG_BAL x ASSET_CLASS / REV_DEBT|gco_rate|book|3</t>
        </is>
      </c>
      <c r="B1053" t="n">
        <v>1.187363578974951</v>
      </c>
      <c r="D1053" t="n">
        <v>0.9930468823798064</v>
      </c>
      <c r="F1053" t="n">
        <v>1.244416649125467</v>
      </c>
      <c r="H1053" t="n">
        <v>2.054805392085101</v>
      </c>
      <c r="J1053" t="n">
        <v>0.9001439971099023</v>
      </c>
    </row>
    <row r="1054">
      <c r="A1054" t="inlineStr">
        <is>
          <t>G|ORIG_BAL x ASSET_CLASS / REV_DEBT|gco_rate|band|3</t>
        </is>
      </c>
      <c r="B1054" t="n">
        <v>1.379766956459306</v>
      </c>
      <c r="D1054" t="n">
        <v>1.121383878927023</v>
      </c>
      <c r="F1054" t="n">
        <v>1.45328953865386</v>
      </c>
      <c r="H1054" t="n">
        <v>2.824639059734555</v>
      </c>
    </row>
    <row r="1055">
      <c r="A1055" t="inlineStr">
        <is>
          <t>G|ORIG_BAL x ASSET_CLASS / REV_DEBT|gco_rate|rate|4</t>
        </is>
      </c>
      <c r="B1055" t="n">
        <v>0.05376690295651182</v>
      </c>
      <c r="C1055" t="n">
        <v>0.006087288268245188</v>
      </c>
      <c r="D1055" t="n">
        <v>0.04616677958500021</v>
      </c>
      <c r="E1055" t="n">
        <v>0.02346628316260698</v>
      </c>
      <c r="F1055" t="n">
        <v>0.08145107113813002</v>
      </c>
      <c r="G1055" t="n">
        <v>0.02559783943171046</v>
      </c>
      <c r="H1055" t="n">
        <v>0.09965065783981446</v>
      </c>
      <c r="I1055" t="n">
        <v>0.03730341039946718</v>
      </c>
      <c r="J1055" t="n">
        <v>0.04676588351390011</v>
      </c>
    </row>
    <row r="1056">
      <c r="A1056" t="inlineStr">
        <is>
          <t>G|ORIG_BAL x ASSET_CLASS / REV_DEBT|gco_rate|book|4</t>
        </is>
      </c>
      <c r="B1056" t="n">
        <v>1.292310060415162</v>
      </c>
      <c r="D1056" t="n">
        <v>1.10963790796954</v>
      </c>
      <c r="F1056" t="n">
        <v>1.957710652379099</v>
      </c>
      <c r="H1056" t="n">
        <v>2.395145350989283</v>
      </c>
      <c r="I1056" t="n">
        <v>0.8966031126252267</v>
      </c>
      <c r="J1056" t="n">
        <v>1.124037622142734</v>
      </c>
    </row>
    <row r="1057">
      <c r="A1057" t="inlineStr">
        <is>
          <t>G|ORIG_BAL x ASSET_CLASS / REV_DEBT|gco_rate|band|4</t>
        </is>
      </c>
      <c r="B1057" t="n">
        <v>1.173476736068573</v>
      </c>
      <c r="D1057" t="n">
        <v>0.9852862702086436</v>
      </c>
      <c r="F1057" t="n">
        <v>1.934731802975249</v>
      </c>
      <c r="H1057" t="n">
        <v>2.562321508681421</v>
      </c>
      <c r="I1057" t="n">
        <v>0.7743077615077939</v>
      </c>
    </row>
    <row r="1058">
      <c r="A1058" t="inlineStr">
        <is>
          <t>G|ORIG_BAL x ASSET_CLASS / REV_DEBT|gco_rate|rate|5</t>
        </is>
      </c>
      <c r="B1058" t="n">
        <v>0.04980228801559781</v>
      </c>
      <c r="C1058" t="n">
        <v>0.02184647930482879</v>
      </c>
      <c r="D1058" t="n">
        <v>0.04640956174164841</v>
      </c>
      <c r="E1058" t="n">
        <v>0.01912528032374942</v>
      </c>
      <c r="F1058" t="n">
        <v>0.03491911250411062</v>
      </c>
      <c r="G1058" t="n">
        <v>0.01687154171991782</v>
      </c>
      <c r="H1058" t="n">
        <v>0.07437565782466105</v>
      </c>
      <c r="I1058" t="n">
        <v>0.02217275337846832</v>
      </c>
      <c r="J1058" t="n">
        <v>0.03555289463498783</v>
      </c>
    </row>
    <row r="1059">
      <c r="A1059" t="inlineStr">
        <is>
          <t>G|ORIG_BAL x ASSET_CLASS / REV_DEBT|gco_rate|book|5</t>
        </is>
      </c>
      <c r="B1059" t="n">
        <v>1.197018877697059</v>
      </c>
      <c r="D1059" t="n">
        <v>1.115473278918459</v>
      </c>
      <c r="F1059" t="n">
        <v>0.8392955128237619</v>
      </c>
      <c r="H1059" t="n">
        <v>1.787650126222571</v>
      </c>
      <c r="J1059" t="n">
        <v>0.8545287321242382</v>
      </c>
    </row>
    <row r="1060">
      <c r="A1060" t="inlineStr">
        <is>
          <t>G|ORIG_BAL x ASSET_CLASS / REV_DEBT|gco_rate|band|5</t>
        </is>
      </c>
      <c r="B1060" t="n">
        <v>1.488720376786472</v>
      </c>
      <c r="D1060" t="n">
        <v>1.364372182448683</v>
      </c>
      <c r="F1060" t="n">
        <v>0.9796577723964374</v>
      </c>
      <c r="H1060" t="n">
        <v>2.461927311814757</v>
      </c>
    </row>
    <row r="1061">
      <c r="A1061" t="inlineStr">
        <is>
          <t>G|ORIG_BAL x ASSET_CLASS / REV_DEBT|gco_rate|rate|6</t>
        </is>
      </c>
    </row>
    <row r="1062">
      <c r="A1062" t="inlineStr">
        <is>
          <t>G|ORIG_BAL x ASSET_CLASS / REV_DEBT|gco_rate|book|6</t>
        </is>
      </c>
    </row>
    <row r="1063">
      <c r="A1063" t="inlineStr">
        <is>
          <t>G|ORIG_BAL x ASSET_CLASS / REV_DEBT|gco_rate|band|6</t>
        </is>
      </c>
    </row>
    <row r="1064">
      <c r="A1064" t="inlineStr">
        <is>
          <t>G|ORIG_BAL x ASSET_CLASS / REV_DEBT|gco_rate|rate|7</t>
        </is>
      </c>
      <c r="B1064" t="n">
        <v>0.05583055808210072</v>
      </c>
      <c r="C1064" t="n">
        <v>0.01740207753145345</v>
      </c>
      <c r="D1064" t="n">
        <v>0.04531833596382606</v>
      </c>
      <c r="E1064" t="n">
        <v>0.02001352769994342</v>
      </c>
      <c r="F1064" t="n">
        <v>0.05748819991191764</v>
      </c>
      <c r="G1064" t="n">
        <v>0.02239893272163673</v>
      </c>
      <c r="H1064" t="n">
        <v>0.08414908151988332</v>
      </c>
      <c r="I1064" t="n">
        <v>0.03012080195113604</v>
      </c>
      <c r="J1064" t="n">
        <v>0.04160526533333562</v>
      </c>
    </row>
    <row r="1065">
      <c r="A1065" t="inlineStr">
        <is>
          <t>G|ORIG_BAL x ASSET_CLASS / REV_DEBT|gco_rate|book|7</t>
        </is>
      </c>
      <c r="B1065" t="n">
        <v>1.341910876779513</v>
      </c>
      <c r="C1065" t="n">
        <v>0.4182662312577605</v>
      </c>
      <c r="D1065" t="n">
        <v>1.089245209728668</v>
      </c>
      <c r="E1065" t="n">
        <v>0.4810335312032694</v>
      </c>
      <c r="F1065" t="n">
        <v>1.381752993312989</v>
      </c>
      <c r="G1065" t="n">
        <v>0.538367741250526</v>
      </c>
      <c r="H1065" t="n">
        <v>2.022558463350551</v>
      </c>
      <c r="I1065" t="n">
        <v>0.7239661064486029</v>
      </c>
      <c r="J1065" t="n">
        <v>0.9999999999999993</v>
      </c>
    </row>
    <row r="1066">
      <c r="A1066" t="inlineStr">
        <is>
          <t>G|ORIG_BAL x ASSET_CLASS / REV_DEBT|gco_rate|band|7</t>
        </is>
      </c>
    </row>
    <row r="1067">
      <c r="A1067" t="inlineStr">
        <is>
          <t>G|ORIG_BAL x ASSET_CLASS / REV_DEBT|gco_rate|meta</t>
        </is>
      </c>
      <c r="B1067" t="inlineStr">
        <is>
          <t>x</t>
        </is>
      </c>
      <c r="C1067" t="n">
        <v>2.824639059734555</v>
      </c>
      <c r="D1067" t="n">
        <v>10</v>
      </c>
    </row>
    <row r="1068">
      <c r="A1068" t="inlineStr">
        <is>
          <t>G|ORIG_BAL x ASSET_CLASS / REV_DEBT|ranr_rate|rate|1</t>
        </is>
      </c>
      <c r="B1068" t="n">
        <v>0.1788497146816007</v>
      </c>
      <c r="C1068" t="n">
        <v>0.1464609887717473</v>
      </c>
      <c r="D1068" t="n">
        <v>0.1502292985377496</v>
      </c>
      <c r="E1068" t="n">
        <v>0.1305745162590919</v>
      </c>
      <c r="F1068" t="n">
        <v>0.1546693826781464</v>
      </c>
      <c r="G1068" t="n">
        <v>0.1319343893299523</v>
      </c>
      <c r="H1068" t="n">
        <v>0.1618098798585361</v>
      </c>
      <c r="I1068" t="n">
        <v>0.1174978712510303</v>
      </c>
      <c r="J1068" t="n">
        <v>0.1466798967561383</v>
      </c>
    </row>
    <row r="1069">
      <c r="A1069" t="inlineStr">
        <is>
          <t>G|ORIG_BAL x ASSET_CLASS / REV_DEBT|ranr_rate|book|1</t>
        </is>
      </c>
      <c r="B1069" t="n">
        <v>5.085966503</v>
      </c>
      <c r="C1069" t="n">
        <v>1.847093912</v>
      </c>
      <c r="D1069" t="n">
        <v>2.223924889</v>
      </c>
      <c r="E1069" t="n">
        <v>0.258446661</v>
      </c>
      <c r="F1069" t="n">
        <v>2.667933303</v>
      </c>
      <c r="G1069" t="n">
        <v>0.394433968</v>
      </c>
      <c r="H1069" t="n">
        <v>3.381983021</v>
      </c>
      <c r="I1069" t="n">
        <v>-1.04921784</v>
      </c>
      <c r="J1069" t="n">
        <v>1.868984711</v>
      </c>
    </row>
    <row r="1070">
      <c r="A1070" t="inlineStr">
        <is>
          <t>G|ORIG_BAL x ASSET_CLASS / REV_DEBT|ranr_rate|band|1</t>
        </is>
      </c>
      <c r="B1070" t="n">
        <v>3.708296742</v>
      </c>
      <c r="C1070" t="n">
        <v>-0.025143208</v>
      </c>
      <c r="D1070" t="n">
        <v>0.408441778</v>
      </c>
      <c r="E1070" t="n">
        <v>-1.841963689</v>
      </c>
      <c r="F1070" t="n">
        <v>0.896499057</v>
      </c>
      <c r="G1070" t="n">
        <v>-1.656038517</v>
      </c>
      <c r="H1070" t="n">
        <v>1.738586637</v>
      </c>
      <c r="I1070" t="n">
        <v>-3.367282014</v>
      </c>
    </row>
    <row r="1071">
      <c r="A1071" t="inlineStr">
        <is>
          <t>G|ORIG_BAL x ASSET_CLASS / REV_DEBT|ranr_rate|rate|2</t>
        </is>
      </c>
      <c r="B1071" t="n">
        <v>0.1308191073099459</v>
      </c>
      <c r="C1071" t="n">
        <v>0.1233111451568833</v>
      </c>
      <c r="D1071" t="n">
        <v>0.1535776396347083</v>
      </c>
      <c r="E1071" t="n">
        <v>0.1021570345852976</v>
      </c>
      <c r="F1071" t="n">
        <v>0.1282918148495219</v>
      </c>
      <c r="G1071" t="n">
        <v>0.09531037424207887</v>
      </c>
      <c r="H1071" t="n">
        <v>0.1214964450101725</v>
      </c>
      <c r="I1071" t="n">
        <v>0.1002387023492586</v>
      </c>
      <c r="J1071" t="n">
        <v>0.1190597270318928</v>
      </c>
    </row>
    <row r="1072">
      <c r="A1072" t="inlineStr">
        <is>
          <t>G|ORIG_BAL x ASSET_CLASS / REV_DEBT|ranr_rate|book|2</t>
        </is>
      </c>
      <c r="B1072" t="n">
        <v>0.282905766</v>
      </c>
      <c r="C1072" t="n">
        <v>-0.467890449</v>
      </c>
      <c r="D1072" t="n">
        <v>2.558758999</v>
      </c>
      <c r="E1072" t="n">
        <v>-2.583301506</v>
      </c>
      <c r="F1072" t="n">
        <v>0.03017652</v>
      </c>
      <c r="G1072" t="n">
        <v>-3.267967541</v>
      </c>
      <c r="H1072" t="n">
        <v>-0.649360464</v>
      </c>
      <c r="I1072" t="n">
        <v>-2.77513473</v>
      </c>
      <c r="J1072" t="n">
        <v>-0.893032262</v>
      </c>
    </row>
    <row r="1073">
      <c r="A1073" t="inlineStr">
        <is>
          <t>G|ORIG_BAL x ASSET_CLASS / REV_DEBT|ranr_rate|band|2</t>
        </is>
      </c>
      <c r="B1073" t="n">
        <v>1.344910933</v>
      </c>
      <c r="C1073" t="n">
        <v>0.486257547</v>
      </c>
      <c r="D1073" t="n">
        <v>3.892364518</v>
      </c>
      <c r="E1073" t="n">
        <v>-1.90238812</v>
      </c>
      <c r="F1073" t="n">
        <v>1.063837403</v>
      </c>
      <c r="G1073" t="n">
        <v>-2.73483279</v>
      </c>
      <c r="H1073" t="n">
        <v>0.280150489</v>
      </c>
      <c r="I1073" t="n">
        <v>-2.163301903</v>
      </c>
    </row>
    <row r="1074">
      <c r="A1074" t="inlineStr">
        <is>
          <t>G|ORIG_BAL x ASSET_CLASS / REV_DEBT|ranr_rate|rate|3</t>
        </is>
      </c>
      <c r="B1074" t="n">
        <v>0.155846388581786</v>
      </c>
      <c r="C1074" t="n">
        <v>0.1142084762528293</v>
      </c>
      <c r="D1074" t="n">
        <v>0.1360652937487311</v>
      </c>
      <c r="E1074" t="n">
        <v>0.1286526914033704</v>
      </c>
      <c r="F1074" t="n">
        <v>0.1424383356019249</v>
      </c>
      <c r="G1074" t="n">
        <v>0.1280569203287874</v>
      </c>
      <c r="H1074" t="n">
        <v>0.1251580102784453</v>
      </c>
      <c r="I1074" t="n">
        <v>0.121267873339659</v>
      </c>
      <c r="J1074" t="n">
        <v>0.1312994440713134</v>
      </c>
    </row>
    <row r="1075">
      <c r="A1075" t="inlineStr">
        <is>
          <t>G|ORIG_BAL x ASSET_CLASS / REV_DEBT|ranr_rate|book|3</t>
        </is>
      </c>
      <c r="B1075" t="n">
        <v>2.785633893</v>
      </c>
      <c r="C1075" t="n">
        <v>-1.37815734</v>
      </c>
      <c r="D1075" t="n">
        <v>0.80752441</v>
      </c>
      <c r="E1075" t="n">
        <v>0.06626417599999999</v>
      </c>
      <c r="F1075" t="n">
        <v>1.444828595</v>
      </c>
      <c r="G1075" t="n">
        <v>0.006687068</v>
      </c>
      <c r="H1075" t="n">
        <v>-0.283203937</v>
      </c>
      <c r="I1075" t="n">
        <v>-0.672217631</v>
      </c>
      <c r="J1075" t="n">
        <v>0.330939442</v>
      </c>
    </row>
    <row r="1076">
      <c r="A1076" t="inlineStr">
        <is>
          <t>G|ORIG_BAL x ASSET_CLASS / REV_DEBT|ranr_rate|band|3</t>
        </is>
      </c>
      <c r="B1076" t="n">
        <v>2.793048986</v>
      </c>
      <c r="C1076" t="n">
        <v>-1.944616916</v>
      </c>
      <c r="D1076" t="n">
        <v>0.551426449</v>
      </c>
      <c r="E1076" t="n">
        <v>-0.306430332</v>
      </c>
      <c r="F1076" t="n">
        <v>1.255824096</v>
      </c>
      <c r="G1076" t="n">
        <v>-0.366598848</v>
      </c>
      <c r="H1076" t="n">
        <v>-0.705992085</v>
      </c>
      <c r="I1076" t="n">
        <v>-1.149258032</v>
      </c>
    </row>
    <row r="1077">
      <c r="A1077" t="inlineStr">
        <is>
          <t>G|ORIG_BAL x ASSET_CLASS / REV_DEBT|ranr_rate|rate|4</t>
        </is>
      </c>
      <c r="B1077" t="n">
        <v>0.1423547661393816</v>
      </c>
      <c r="C1077" t="n">
        <v>0.1276012952621106</v>
      </c>
      <c r="D1077" t="n">
        <v>0.1704440936851495</v>
      </c>
      <c r="E1077" t="n">
        <v>0.1025889309537064</v>
      </c>
      <c r="F1077" t="n">
        <v>0.1174152061044689</v>
      </c>
      <c r="G1077" t="n">
        <v>0.1133347100928253</v>
      </c>
      <c r="H1077" t="n">
        <v>0.1011554089034495</v>
      </c>
      <c r="I1077" t="n">
        <v>0.105206490347541</v>
      </c>
      <c r="J1077" t="n">
        <v>0.1224284738147315</v>
      </c>
    </row>
    <row r="1078">
      <c r="A1078" t="inlineStr">
        <is>
          <t>G|ORIG_BAL x ASSET_CLASS / REV_DEBT|ranr_rate|book|4</t>
        </is>
      </c>
      <c r="B1078" t="n">
        <v>1.436471649</v>
      </c>
      <c r="C1078" t="n">
        <v>-0.038875439</v>
      </c>
      <c r="D1078" t="n">
        <v>4.245404404</v>
      </c>
      <c r="E1078" t="n">
        <v>-2.540111869</v>
      </c>
      <c r="F1078" t="n">
        <v>-1.057484354</v>
      </c>
      <c r="G1078" t="n">
        <v>-1.465533956</v>
      </c>
      <c r="H1078" t="n">
        <v>-2.683464074</v>
      </c>
      <c r="I1078" t="n">
        <v>-2.27835593</v>
      </c>
      <c r="J1078" t="n">
        <v>-0.556157583</v>
      </c>
    </row>
    <row r="1079">
      <c r="A1079" t="inlineStr">
        <is>
          <t>G|ORIG_BAL x ASSET_CLASS / REV_DEBT|ranr_rate|band|4</t>
        </is>
      </c>
      <c r="B1079" t="n">
        <v>2.262109019</v>
      </c>
      <c r="C1079" t="n">
        <v>0.5882366919999999</v>
      </c>
      <c r="D1079" t="n">
        <v>5.525009363</v>
      </c>
      <c r="E1079" t="n">
        <v>-2.2846176</v>
      </c>
      <c r="F1079" t="n">
        <v>-0.568730645</v>
      </c>
      <c r="G1079" t="n">
        <v>-1.033376578</v>
      </c>
      <c r="H1079" t="n">
        <v>-2.443878151</v>
      </c>
      <c r="I1079" t="n">
        <v>-1.978760347</v>
      </c>
    </row>
    <row r="1080">
      <c r="A1080" t="inlineStr">
        <is>
          <t>G|ORIG_BAL x ASSET_CLASS / REV_DEBT|ranr_rate|rate|5</t>
        </is>
      </c>
      <c r="B1080" t="n">
        <v>0.1554732753137886</v>
      </c>
      <c r="C1080" t="n">
        <v>0.1194233586841441</v>
      </c>
      <c r="D1080" t="n">
        <v>0.150836436822112</v>
      </c>
      <c r="E1080" t="n">
        <v>0.104602492511816</v>
      </c>
      <c r="F1080" t="n">
        <v>0.1546390023272519</v>
      </c>
      <c r="G1080" t="n">
        <v>0.114071775299669</v>
      </c>
      <c r="H1080" t="n">
        <v>0.1319677284341497</v>
      </c>
      <c r="I1080" t="n">
        <v>0.1114577550479424</v>
      </c>
      <c r="J1080" t="n">
        <v>0.1304237269597045</v>
      </c>
    </row>
    <row r="1081">
      <c r="A1081" t="inlineStr">
        <is>
          <t>G|ORIG_BAL x ASSET_CLASS / REV_DEBT|ranr_rate|book|5</t>
        </is>
      </c>
      <c r="B1081" t="n">
        <v>2.748322567</v>
      </c>
      <c r="C1081" t="n">
        <v>-0.856669096</v>
      </c>
      <c r="D1081" t="n">
        <v>2.284638717</v>
      </c>
      <c r="E1081" t="n">
        <v>-2.338755714</v>
      </c>
      <c r="F1081" t="n">
        <v>2.664895268</v>
      </c>
      <c r="G1081" t="n">
        <v>-1.391827435</v>
      </c>
      <c r="H1081" t="n">
        <v>0.397767879</v>
      </c>
      <c r="I1081" t="n">
        <v>-1.65322946</v>
      </c>
      <c r="J1081" t="n">
        <v>0.243367731</v>
      </c>
    </row>
    <row r="1082">
      <c r="A1082" t="inlineStr">
        <is>
          <t>G|ORIG_BAL x ASSET_CLASS / REV_DEBT|ranr_rate|band|5</t>
        </is>
      </c>
      <c r="B1082" t="n">
        <v>2.874088477</v>
      </c>
      <c r="C1082" t="n">
        <v>-1.263482486</v>
      </c>
      <c r="D1082" t="n">
        <v>2.330365093</v>
      </c>
      <c r="E1082" t="n">
        <v>-2.949144309</v>
      </c>
      <c r="F1082" t="n">
        <v>2.770363392</v>
      </c>
      <c r="G1082" t="n">
        <v>-1.873184171</v>
      </c>
      <c r="H1082" t="n">
        <v>0.17564777</v>
      </c>
      <c r="I1082" t="n">
        <v>-2.154645657</v>
      </c>
    </row>
    <row r="1083">
      <c r="A1083" t="inlineStr">
        <is>
          <t>G|ORIG_BAL x ASSET_CLASS / REV_DEBT|ranr_rate|rate|6</t>
        </is>
      </c>
    </row>
    <row r="1084">
      <c r="A1084" t="inlineStr">
        <is>
          <t>G|ORIG_BAL x ASSET_CLASS / REV_DEBT|ranr_rate|book|6</t>
        </is>
      </c>
    </row>
    <row r="1085">
      <c r="A1085" t="inlineStr">
        <is>
          <t>G|ORIG_BAL x ASSET_CLASS / REV_DEBT|ranr_rate|band|6</t>
        </is>
      </c>
    </row>
    <row r="1086">
      <c r="A1086" t="inlineStr">
        <is>
          <t>G|ORIG_BAL x ASSET_CLASS / REV_DEBT|ranr_rate|rate|7</t>
        </is>
      </c>
      <c r="B1086" t="n">
        <v>0.1504938007452204</v>
      </c>
      <c r="C1086" t="n">
        <v>0.1228182679743352</v>
      </c>
      <c r="D1086" t="n">
        <v>0.1534259765389014</v>
      </c>
      <c r="E1086" t="n">
        <v>0.1105068328374455</v>
      </c>
      <c r="F1086" t="n">
        <v>0.1388108422848361</v>
      </c>
      <c r="G1086" t="n">
        <v>0.1148984283416987</v>
      </c>
      <c r="H1086" t="n">
        <v>0.1226082696216029</v>
      </c>
      <c r="I1086" t="n">
        <v>0.1105946633000574</v>
      </c>
      <c r="J1086" t="n">
        <v>0.1279900496481476</v>
      </c>
    </row>
    <row r="1087">
      <c r="A1087" t="inlineStr">
        <is>
          <t>G|ORIG_BAL x ASSET_CLASS / REV_DEBT|ranr_rate|book|7</t>
        </is>
      </c>
      <c r="B1087" t="n">
        <v>2.25037511</v>
      </c>
      <c r="C1087" t="n">
        <v>-0.517178167</v>
      </c>
      <c r="D1087" t="n">
        <v>2.543592689</v>
      </c>
      <c r="E1087" t="n">
        <v>-1.748321681</v>
      </c>
      <c r="F1087" t="n">
        <v>1.082079264</v>
      </c>
      <c r="G1087" t="n">
        <v>-1.309162131</v>
      </c>
      <c r="H1087" t="n">
        <v>-0.538178003</v>
      </c>
      <c r="I1087" t="n">
        <v>-1.739538635</v>
      </c>
      <c r="J1087" t="n">
        <v>0</v>
      </c>
    </row>
    <row r="1088">
      <c r="A1088" t="inlineStr">
        <is>
          <t>G|ORIG_BAL x ASSET_CLASS / REV_DEBT|ranr_rate|band|7</t>
        </is>
      </c>
    </row>
    <row r="1089">
      <c r="A1089" t="inlineStr">
        <is>
          <t>G|ORIG_BAL x ASSET_CLASS / REV_DEBT|ranr_rate|meta</t>
        </is>
      </c>
      <c r="B1089" t="inlineStr">
        <is>
          <t>pts</t>
        </is>
      </c>
      <c r="C1089" t="n">
        <v>5.525009363</v>
      </c>
      <c r="D1089" t="n">
        <v>10</v>
      </c>
    </row>
    <row r="1090">
      <c r="A1090" t="inlineStr">
        <is>
          <t>G|ORIG_BAL x ASSET_CLASS / REV_DEBT|contribution_rate|rate|1</t>
        </is>
      </c>
      <c r="B1090" t="n">
        <v>0.22771023047494</v>
      </c>
      <c r="C1090" t="n">
        <v>0.1628748842010806</v>
      </c>
      <c r="D1090" t="n">
        <v>0.2008713308692705</v>
      </c>
      <c r="E1090" t="n">
        <v>0.149845482708418</v>
      </c>
      <c r="F1090" t="n">
        <v>0.221228045975671</v>
      </c>
      <c r="G1090" t="n">
        <v>0.1573143541225701</v>
      </c>
      <c r="H1090" t="n">
        <v>0.2178812137058344</v>
      </c>
      <c r="I1090" t="n">
        <v>0.1658352262013107</v>
      </c>
      <c r="J1090" t="n">
        <v>0.1880773485524349</v>
      </c>
    </row>
    <row r="1091">
      <c r="A1091" t="inlineStr">
        <is>
          <t>G|ORIG_BAL x ASSET_CLASS / REV_DEBT|contribution_rate|book|1</t>
        </is>
      </c>
      <c r="B1091" t="n">
        <v>5.811777474</v>
      </c>
      <c r="C1091" t="n">
        <v>-0.6717571530000001</v>
      </c>
      <c r="D1091" t="n">
        <v>3.127887513</v>
      </c>
      <c r="E1091" t="n">
        <v>-1.974697303</v>
      </c>
      <c r="F1091" t="n">
        <v>5.163559024</v>
      </c>
      <c r="G1091" t="n">
        <v>-1.227810161</v>
      </c>
      <c r="H1091" t="n">
        <v>4.828875797</v>
      </c>
      <c r="I1091" t="n">
        <v>-0.375722953</v>
      </c>
      <c r="J1091" t="n">
        <v>1.848489282</v>
      </c>
    </row>
    <row r="1092">
      <c r="A1092" t="inlineStr">
        <is>
          <t>G|ORIG_BAL x ASSET_CLASS / REV_DEBT|contribution_rate|band|1</t>
        </is>
      </c>
      <c r="B1092" t="n">
        <v>4.568583113</v>
      </c>
      <c r="C1092" t="n">
        <v>-2.894690223</v>
      </c>
      <c r="D1092" t="n">
        <v>1.472247215</v>
      </c>
      <c r="E1092" t="n">
        <v>-4.372557894</v>
      </c>
      <c r="F1092" t="n">
        <v>3.71983495</v>
      </c>
      <c r="G1092" t="n">
        <v>-3.454930522</v>
      </c>
      <c r="H1092" t="n">
        <v>3.424762693</v>
      </c>
      <c r="I1092" t="n">
        <v>-2.566494178</v>
      </c>
    </row>
    <row r="1093">
      <c r="A1093" t="inlineStr">
        <is>
          <t>G|ORIG_BAL x ASSET_CLASS / REV_DEBT|contribution_rate|rate|2</t>
        </is>
      </c>
      <c r="B1093" t="n">
        <v>0.2199486654888656</v>
      </c>
      <c r="C1093" t="n">
        <v>0.1437810265854108</v>
      </c>
      <c r="D1093" t="n">
        <v>0.1981054673308773</v>
      </c>
      <c r="E1093" t="n">
        <v>0.1260810530310581</v>
      </c>
      <c r="F1093" t="n">
        <v>0.2010601769804944</v>
      </c>
      <c r="G1093" t="n">
        <v>0.1389140550263044</v>
      </c>
      <c r="H1093" t="n">
        <v>0.2087508819695298</v>
      </c>
      <c r="I1093" t="n">
        <v>0.1384179231923435</v>
      </c>
      <c r="J1093" t="n">
        <v>0.1722199062366802</v>
      </c>
    </row>
    <row r="1094">
      <c r="A1094" t="inlineStr">
        <is>
          <t>G|ORIG_BAL x ASSET_CLASS / REV_DEBT|contribution_rate|book|2</t>
        </is>
      </c>
      <c r="B1094" t="n">
        <v>5.035620975</v>
      </c>
      <c r="C1094" t="n">
        <v>-2.581142915</v>
      </c>
      <c r="D1094" t="n">
        <v>2.85130116</v>
      </c>
      <c r="E1094" t="n">
        <v>-4.35114027</v>
      </c>
      <c r="F1094" t="n">
        <v>3.146772125</v>
      </c>
      <c r="G1094" t="n">
        <v>-3.067840071</v>
      </c>
      <c r="H1094" t="n">
        <v>3.915842623</v>
      </c>
      <c r="I1094" t="n">
        <v>-3.117453254</v>
      </c>
      <c r="J1094" t="n">
        <v>0.26274505</v>
      </c>
    </row>
    <row r="1095">
      <c r="A1095" t="inlineStr">
        <is>
          <t>G|ORIG_BAL x ASSET_CLASS / REV_DEBT|contribution_rate|band|2</t>
        </is>
      </c>
      <c r="B1095" t="n">
        <v>5.458700084</v>
      </c>
      <c r="C1095" t="n">
        <v>-3.252707555</v>
      </c>
      <c r="D1095" t="n">
        <v>2.918949378</v>
      </c>
      <c r="E1095" t="n">
        <v>-5.192900863</v>
      </c>
      <c r="F1095" t="n">
        <v>3.323339134</v>
      </c>
      <c r="G1095" t="n">
        <v>-3.835301737</v>
      </c>
      <c r="H1095" t="n">
        <v>4.19998161</v>
      </c>
      <c r="I1095" t="n">
        <v>-3.885223864</v>
      </c>
    </row>
    <row r="1096">
      <c r="A1096" t="inlineStr">
        <is>
          <t>G|ORIG_BAL x ASSET_CLASS / REV_DEBT|contribution_rate|rate|3</t>
        </is>
      </c>
      <c r="B1096" t="n">
        <v>0.2052469653321778</v>
      </c>
      <c r="C1096" t="n">
        <v>0.137018226786984</v>
      </c>
      <c r="D1096" t="n">
        <v>0.1773812727785848</v>
      </c>
      <c r="E1096" t="n">
        <v>0.1436559389463294</v>
      </c>
      <c r="F1096" t="n">
        <v>0.1942126204740103</v>
      </c>
      <c r="G1096" t="n">
        <v>0.1396797410244138</v>
      </c>
      <c r="H1096" t="n">
        <v>0.2106487338245148</v>
      </c>
      <c r="I1096" t="n">
        <v>0.1427846082795561</v>
      </c>
      <c r="J1096" t="n">
        <v>0.1687501739092802</v>
      </c>
    </row>
    <row r="1097">
      <c r="A1097" t="inlineStr">
        <is>
          <t>G|ORIG_BAL x ASSET_CLASS / REV_DEBT|contribution_rate|book|3</t>
        </is>
      </c>
      <c r="B1097" t="n">
        <v>3.56545096</v>
      </c>
      <c r="C1097" t="n">
        <v>-3.257422895</v>
      </c>
      <c r="D1097" t="n">
        <v>0.778881704</v>
      </c>
      <c r="E1097" t="n">
        <v>-2.593651679</v>
      </c>
      <c r="F1097" t="n">
        <v>2.462016474</v>
      </c>
      <c r="G1097" t="n">
        <v>-2.991271471</v>
      </c>
      <c r="H1097" t="n">
        <v>4.105627809</v>
      </c>
      <c r="I1097" t="n">
        <v>-2.680784746</v>
      </c>
      <c r="J1097" t="n">
        <v>-0.084228183</v>
      </c>
    </row>
    <row r="1098">
      <c r="A1098" t="inlineStr">
        <is>
          <t>G|ORIG_BAL x ASSET_CLASS / REV_DEBT|contribution_rate|band|3</t>
        </is>
      </c>
      <c r="B1098" t="n">
        <v>4.1527501</v>
      </c>
      <c r="C1098" t="n">
        <v>-3.610473193</v>
      </c>
      <c r="D1098" t="n">
        <v>0.998650089</v>
      </c>
      <c r="E1098" t="n">
        <v>-2.905309151</v>
      </c>
      <c r="F1098" t="n">
        <v>2.870694435</v>
      </c>
      <c r="G1098" t="n">
        <v>-3.286695198</v>
      </c>
      <c r="H1098" t="n">
        <v>4.816473268</v>
      </c>
      <c r="I1098" t="n">
        <v>-2.974722069</v>
      </c>
    </row>
    <row r="1099">
      <c r="A1099" t="inlineStr">
        <is>
          <t>G|ORIG_BAL x ASSET_CLASS / REV_DEBT|contribution_rate|rate|4</t>
        </is>
      </c>
      <c r="B1099" t="n">
        <v>0.1961216690958934</v>
      </c>
      <c r="C1099" t="n">
        <v>0.1335985685230494</v>
      </c>
      <c r="D1099" t="n">
        <v>0.2166108732701498</v>
      </c>
      <c r="E1099" t="n">
        <v>0.1260552141163134</v>
      </c>
      <c r="F1099" t="n">
        <v>0.1988662772425989</v>
      </c>
      <c r="G1099" t="n">
        <v>0.1389325495245358</v>
      </c>
      <c r="H1099" t="n">
        <v>0.200806066743264</v>
      </c>
      <c r="I1099" t="n">
        <v>0.1425099007470082</v>
      </c>
      <c r="J1099" t="n">
        <v>0.1691805976256633</v>
      </c>
    </row>
    <row r="1100">
      <c r="A1100" t="inlineStr">
        <is>
          <t>G|ORIG_BAL x ASSET_CLASS / REV_DEBT|contribution_rate|book|4</t>
        </is>
      </c>
      <c r="B1100" t="n">
        <v>2.652921336</v>
      </c>
      <c r="C1100" t="n">
        <v>-3.599388721</v>
      </c>
      <c r="D1100" t="n">
        <v>4.701841754</v>
      </c>
      <c r="E1100" t="n">
        <v>-4.353724162</v>
      </c>
      <c r="F1100" t="n">
        <v>2.927382151</v>
      </c>
      <c r="G1100" t="n">
        <v>-3.065990621</v>
      </c>
      <c r="H1100" t="n">
        <v>3.121361101</v>
      </c>
      <c r="I1100" t="n">
        <v>-2.708255499</v>
      </c>
      <c r="J1100" t="n">
        <v>-0.041185811</v>
      </c>
    </row>
    <row r="1101">
      <c r="A1101" t="inlineStr">
        <is>
          <t>G|ORIG_BAL x ASSET_CLASS / REV_DEBT|contribution_rate|band|4</t>
        </is>
      </c>
      <c r="B1101" t="n">
        <v>3.058689271</v>
      </c>
      <c r="C1101" t="n">
        <v>-4.04397056</v>
      </c>
      <c r="D1101" t="n">
        <v>5.458124114</v>
      </c>
      <c r="E1101" t="n">
        <v>-4.966521555</v>
      </c>
      <c r="F1101" t="n">
        <v>3.3679528</v>
      </c>
      <c r="G1101" t="n">
        <v>-3.437526393</v>
      </c>
      <c r="H1101" t="n">
        <v>3.633484238</v>
      </c>
      <c r="I1101" t="n">
        <v>-3.064652624</v>
      </c>
    </row>
    <row r="1102">
      <c r="A1102" t="inlineStr">
        <is>
          <t>G|ORIG_BAL x ASSET_CLASS / REV_DEBT|contribution_rate|rate|5</t>
        </is>
      </c>
      <c r="B1102" t="n">
        <v>0.2052755633293866</v>
      </c>
      <c r="C1102" t="n">
        <v>0.1412698379889729</v>
      </c>
      <c r="D1102" t="n">
        <v>0.1972459985637603</v>
      </c>
      <c r="E1102" t="n">
        <v>0.1237277728355653</v>
      </c>
      <c r="F1102" t="n">
        <v>0.1895581148313626</v>
      </c>
      <c r="G1102" t="n">
        <v>0.1309433170195868</v>
      </c>
      <c r="H1102" t="n">
        <v>0.2063433862588108</v>
      </c>
      <c r="I1102" t="n">
        <v>0.1336305084264107</v>
      </c>
      <c r="J1102" t="n">
        <v>0.1659766215946923</v>
      </c>
    </row>
    <row r="1103">
      <c r="A1103" t="inlineStr">
        <is>
          <t>G|ORIG_BAL x ASSET_CLASS / REV_DEBT|contribution_rate|book|5</t>
        </is>
      </c>
      <c r="B1103" t="n">
        <v>3.568310759</v>
      </c>
      <c r="C1103" t="n">
        <v>-2.832261775</v>
      </c>
      <c r="D1103" t="n">
        <v>2.765354283</v>
      </c>
      <c r="E1103" t="n">
        <v>-4.58646829</v>
      </c>
      <c r="F1103" t="n">
        <v>1.99656591</v>
      </c>
      <c r="G1103" t="n">
        <v>-3.864913872</v>
      </c>
      <c r="H1103" t="n">
        <v>3.675093052</v>
      </c>
      <c r="I1103" t="n">
        <v>-3.596194731</v>
      </c>
      <c r="J1103" t="n">
        <v>-0.361583414</v>
      </c>
    </row>
    <row r="1104">
      <c r="A1104" t="inlineStr">
        <is>
          <t>G|ORIG_BAL x ASSET_CLASS / REV_DEBT|contribution_rate|band|5</t>
        </is>
      </c>
      <c r="B1104" t="n">
        <v>4.509008865</v>
      </c>
      <c r="C1104" t="n">
        <v>-2.837776661</v>
      </c>
      <c r="D1104" t="n">
        <v>3.569788874</v>
      </c>
      <c r="E1104" t="n">
        <v>-4.825406475</v>
      </c>
      <c r="F1104" t="n">
        <v>2.69785516</v>
      </c>
      <c r="G1104" t="n">
        <v>-4.013210957</v>
      </c>
      <c r="H1104" t="n">
        <v>4.592179688</v>
      </c>
      <c r="I1104" t="n">
        <v>-3.674708187</v>
      </c>
    </row>
    <row r="1105">
      <c r="A1105" t="inlineStr">
        <is>
          <t>G|ORIG_BAL x ASSET_CLASS / REV_DEBT|contribution_rate|rate|6</t>
        </is>
      </c>
    </row>
    <row r="1106">
      <c r="A1106" t="inlineStr">
        <is>
          <t>G|ORIG_BAL x ASSET_CLASS / REV_DEBT|contribution_rate|book|6</t>
        </is>
      </c>
    </row>
    <row r="1107">
      <c r="A1107" t="inlineStr">
        <is>
          <t>G|ORIG_BAL x ASSET_CLASS / REV_DEBT|contribution_rate|band|6</t>
        </is>
      </c>
    </row>
    <row r="1108">
      <c r="A1108" t="inlineStr">
        <is>
          <t>G|ORIG_BAL x ASSET_CLASS / REV_DEBT|contribution_rate|rate|7</t>
        </is>
      </c>
      <c r="B1108" t="n">
        <v>0.2063243588273211</v>
      </c>
      <c r="C1108" t="n">
        <v>0.1401910493879164</v>
      </c>
      <c r="D1108" t="n">
        <v>0.1987443125027275</v>
      </c>
      <c r="E1108" t="n">
        <v>0.1305203605373888</v>
      </c>
      <c r="F1108" t="n">
        <v>0.1962990421967537</v>
      </c>
      <c r="G1108" t="n">
        <v>0.1372973610633354</v>
      </c>
      <c r="H1108" t="n">
        <v>0.2067573511414864</v>
      </c>
      <c r="I1108" t="n">
        <v>0.1407154652511935</v>
      </c>
      <c r="J1108" t="n">
        <v>0.1695924557349812</v>
      </c>
    </row>
    <row r="1109">
      <c r="A1109" t="inlineStr">
        <is>
          <t>G|ORIG_BAL x ASSET_CLASS / REV_DEBT|contribution_rate|book|7</t>
        </is>
      </c>
      <c r="B1109" t="n">
        <v>3.673190309</v>
      </c>
      <c r="C1109" t="n">
        <v>-2.940140635</v>
      </c>
      <c r="D1109" t="n">
        <v>2.915185677</v>
      </c>
      <c r="E1109" t="n">
        <v>-3.90720952</v>
      </c>
      <c r="F1109" t="n">
        <v>2.670658646</v>
      </c>
      <c r="G1109" t="n">
        <v>-3.229509467</v>
      </c>
      <c r="H1109" t="n">
        <v>3.716489541</v>
      </c>
      <c r="I1109" t="n">
        <v>-2.887699048</v>
      </c>
      <c r="J1109" t="n">
        <v>0</v>
      </c>
    </row>
    <row r="1110">
      <c r="A1110" t="inlineStr">
        <is>
          <t>G|ORIG_BAL x ASSET_CLASS / REV_DEBT|contribution_rate|band|7</t>
        </is>
      </c>
    </row>
    <row r="1111">
      <c r="A1111" t="inlineStr">
        <is>
          <t>G|ORIG_BAL x ASSET_CLASS / REV_DEBT|contribution_rate|meta</t>
        </is>
      </c>
      <c r="B1111" t="inlineStr">
        <is>
          <t>pts</t>
        </is>
      </c>
      <c r="C1111" t="n">
        <v>5.811777474</v>
      </c>
      <c r="D1111" t="n">
        <v>10</v>
      </c>
    </row>
    <row r="1112">
      <c r="A1112" t="inlineStr">
        <is>
          <t>P|0|FICO x CHANNEL|head</t>
        </is>
      </c>
      <c r="B1112" t="inlineStr">
        <is>
          <t>FICO</t>
        </is>
      </c>
      <c r="C1112" t="inlineStr">
        <is>
          <t>CHANNEL</t>
        </is>
      </c>
      <c r="D1112" t="inlineStr">
        <is>
          <t>Loans</t>
        </is>
      </c>
      <c r="E1112" t="inlineStr">
        <is>
          <t>Booked dollars</t>
        </is>
      </c>
      <c r="F1112" t="inlineStr">
        <is>
          <t>High half</t>
        </is>
      </c>
      <c r="H1112" t="inlineStr">
        <is>
          <t>Low half</t>
        </is>
      </c>
    </row>
    <row r="1113">
      <c r="A1113" t="inlineStr">
        <is>
          <t>P|0|FICO x CHANNEL|1</t>
        </is>
      </c>
      <c r="B1113" t="inlineStr">
        <is>
          <t>496 - 653</t>
        </is>
      </c>
      <c r="C1113" t="inlineStr">
        <is>
          <t>Branch</t>
        </is>
      </c>
      <c r="D1113" t="n">
        <v>502</v>
      </c>
      <c r="E1113" t="n">
        <v>16339706.79000001</v>
      </c>
      <c r="F1113" t="n">
        <v>251</v>
      </c>
      <c r="G1113" t="n">
        <v>8045394.000000007</v>
      </c>
      <c r="H1113" t="n">
        <v>251</v>
      </c>
      <c r="I1113" t="n">
        <v>8294312.79</v>
      </c>
    </row>
    <row r="1114">
      <c r="A1114" t="inlineStr">
        <is>
          <t>P|0|FICO x CHANNEL|2</t>
        </is>
      </c>
      <c r="B1114" t="inlineStr">
        <is>
          <t>496 - 653</t>
        </is>
      </c>
      <c r="C1114" t="inlineStr">
        <is>
          <t>Broker</t>
        </is>
      </c>
      <c r="D1114" t="n">
        <v>523</v>
      </c>
      <c r="E1114" t="n">
        <v>17041067.38000001</v>
      </c>
      <c r="F1114" t="n">
        <v>261</v>
      </c>
      <c r="G1114" t="n">
        <v>8288107.580000003</v>
      </c>
      <c r="H1114" t="n">
        <v>262</v>
      </c>
      <c r="I1114" t="n">
        <v>8752959.800000006</v>
      </c>
    </row>
    <row r="1115">
      <c r="A1115" t="inlineStr">
        <is>
          <t>P|0|FICO x CHANNEL|3</t>
        </is>
      </c>
      <c r="B1115" t="inlineStr">
        <is>
          <t>496 - 653</t>
        </is>
      </c>
      <c r="C1115" t="inlineStr">
        <is>
          <t>Online</t>
        </is>
      </c>
      <c r="D1115" t="n">
        <v>531</v>
      </c>
      <c r="E1115" t="n">
        <v>17367178.27</v>
      </c>
      <c r="F1115" t="n">
        <v>265</v>
      </c>
      <c r="G1115" t="n">
        <v>8466411.169999998</v>
      </c>
      <c r="H1115" t="n">
        <v>266</v>
      </c>
      <c r="I1115" t="n">
        <v>8900767.100000001</v>
      </c>
    </row>
    <row r="1116">
      <c r="A1116" t="inlineStr">
        <is>
          <t>P|0|FICO x CHANNEL|4</t>
        </is>
      </c>
      <c r="B1116" t="inlineStr">
        <is>
          <t>654 - 685</t>
        </is>
      </c>
      <c r="C1116" t="inlineStr">
        <is>
          <t>Branch</t>
        </is>
      </c>
      <c r="D1116" t="n">
        <v>503</v>
      </c>
      <c r="E1116" t="n">
        <v>16176090.75999999</v>
      </c>
      <c r="F1116" t="n">
        <v>251</v>
      </c>
      <c r="G1116" t="n">
        <v>7704192.039999998</v>
      </c>
      <c r="H1116" t="n">
        <v>252</v>
      </c>
      <c r="I1116" t="n">
        <v>8471898.719999995</v>
      </c>
    </row>
    <row r="1117">
      <c r="A1117" t="inlineStr">
        <is>
          <t>P|0|FICO x CHANNEL|5</t>
        </is>
      </c>
      <c r="B1117" t="inlineStr">
        <is>
          <t>654 - 685</t>
        </is>
      </c>
      <c r="C1117" t="inlineStr">
        <is>
          <t>Broker</t>
        </is>
      </c>
      <c r="D1117" t="n">
        <v>531</v>
      </c>
      <c r="E1117" t="n">
        <v>17321902.42</v>
      </c>
      <c r="F1117" t="n">
        <v>265</v>
      </c>
      <c r="G1117" t="n">
        <v>8652359.879999997</v>
      </c>
      <c r="H1117" t="n">
        <v>266</v>
      </c>
      <c r="I1117" t="n">
        <v>8669542.540000001</v>
      </c>
    </row>
    <row r="1118">
      <c r="A1118" t="inlineStr">
        <is>
          <t>P|0|FICO x CHANNEL|6</t>
        </is>
      </c>
      <c r="B1118" t="inlineStr">
        <is>
          <t>654 - 685</t>
        </is>
      </c>
      <c r="C1118" t="inlineStr">
        <is>
          <t>Online</t>
        </is>
      </c>
      <c r="D1118" t="n">
        <v>505</v>
      </c>
      <c r="E1118" t="n">
        <v>15851602.5</v>
      </c>
      <c r="F1118" t="n">
        <v>252</v>
      </c>
      <c r="G1118" t="n">
        <v>7627316.480000005</v>
      </c>
      <c r="H1118" t="n">
        <v>253</v>
      </c>
      <c r="I1118" t="n">
        <v>8224286.019999999</v>
      </c>
    </row>
    <row r="1119">
      <c r="A1119" t="inlineStr">
        <is>
          <t>P|0|FICO x CHANNEL|7</t>
        </is>
      </c>
      <c r="B1119" t="inlineStr">
        <is>
          <t>686 - 711</t>
        </is>
      </c>
      <c r="C1119" t="inlineStr">
        <is>
          <t>Branch</t>
        </is>
      </c>
      <c r="D1119" t="n">
        <v>515</v>
      </c>
      <c r="E1119" t="n">
        <v>16839795.27</v>
      </c>
      <c r="F1119" t="n">
        <v>257</v>
      </c>
      <c r="G1119" t="n">
        <v>8275964.539999999</v>
      </c>
      <c r="H1119" t="n">
        <v>258</v>
      </c>
      <c r="I1119" t="n">
        <v>8563830.729999995</v>
      </c>
    </row>
    <row r="1120">
      <c r="A1120" t="inlineStr">
        <is>
          <t>P|0|FICO x CHANNEL|8</t>
        </is>
      </c>
      <c r="B1120" t="inlineStr">
        <is>
          <t>686 - 711</t>
        </is>
      </c>
      <c r="C1120" t="inlineStr">
        <is>
          <t>Broker</t>
        </is>
      </c>
      <c r="D1120" t="n">
        <v>501</v>
      </c>
      <c r="E1120" t="n">
        <v>16516467.51</v>
      </c>
      <c r="F1120" t="n">
        <v>250</v>
      </c>
      <c r="G1120" t="n">
        <v>8314330.489999998</v>
      </c>
      <c r="H1120" t="n">
        <v>251</v>
      </c>
      <c r="I1120" t="n">
        <v>8202137.020000005</v>
      </c>
    </row>
    <row r="1121">
      <c r="A1121" t="inlineStr">
        <is>
          <t>P|0|FICO x CHANNEL|9</t>
        </is>
      </c>
      <c r="B1121" t="inlineStr">
        <is>
          <t>686 - 711</t>
        </is>
      </c>
      <c r="C1121" t="inlineStr">
        <is>
          <t>Online</t>
        </is>
      </c>
      <c r="D1121" t="n">
        <v>546</v>
      </c>
      <c r="E1121" t="n">
        <v>17660164.64000001</v>
      </c>
      <c r="F1121" t="n">
        <v>273</v>
      </c>
      <c r="G1121" t="n">
        <v>9012046.389999999</v>
      </c>
      <c r="H1121" t="n">
        <v>273</v>
      </c>
      <c r="I1121" t="n">
        <v>8648118.250000007</v>
      </c>
    </row>
    <row r="1122">
      <c r="A1122" t="inlineStr">
        <is>
          <t>P|0|FICO x CHANNEL|10</t>
        </is>
      </c>
      <c r="B1122" t="inlineStr">
        <is>
          <t>712 - 745</t>
        </is>
      </c>
      <c r="C1122" t="inlineStr">
        <is>
          <t>Branch</t>
        </is>
      </c>
      <c r="D1122" t="n">
        <v>538</v>
      </c>
      <c r="E1122" t="n">
        <v>16513064.03</v>
      </c>
      <c r="F1122" t="n">
        <v>269</v>
      </c>
      <c r="G1122" t="n">
        <v>8471219.189999999</v>
      </c>
      <c r="H1122" t="n">
        <v>269</v>
      </c>
      <c r="I1122" t="n">
        <v>8041844.839999998</v>
      </c>
    </row>
    <row r="1123">
      <c r="A1123" t="inlineStr">
        <is>
          <t>P|0|FICO x CHANNEL|11</t>
        </is>
      </c>
      <c r="B1123" t="inlineStr">
        <is>
          <t>712 - 745</t>
        </is>
      </c>
      <c r="C1123" t="inlineStr">
        <is>
          <t>Broker</t>
        </is>
      </c>
      <c r="D1123" t="n">
        <v>509</v>
      </c>
      <c r="E1123" t="n">
        <v>16230509.4</v>
      </c>
      <c r="F1123" t="n">
        <v>254</v>
      </c>
      <c r="G1123" t="n">
        <v>8019071.95</v>
      </c>
      <c r="H1123" t="n">
        <v>255</v>
      </c>
      <c r="I1123" t="n">
        <v>8211437.449999999</v>
      </c>
    </row>
    <row r="1124">
      <c r="A1124" t="inlineStr">
        <is>
          <t>P|0|FICO x CHANNEL|12</t>
        </is>
      </c>
      <c r="B1124" t="inlineStr">
        <is>
          <t>712 - 745</t>
        </is>
      </c>
      <c r="C1124" t="inlineStr">
        <is>
          <t>Online</t>
        </is>
      </c>
      <c r="D1124" t="n">
        <v>564</v>
      </c>
      <c r="E1124" t="n">
        <v>18368910.49000001</v>
      </c>
      <c r="F1124" t="n">
        <v>282</v>
      </c>
      <c r="G1124" t="n">
        <v>9087809.570000002</v>
      </c>
      <c r="H1124" t="n">
        <v>282</v>
      </c>
      <c r="I1124" t="n">
        <v>9281100.920000004</v>
      </c>
    </row>
    <row r="1125">
      <c r="A1125" t="inlineStr">
        <is>
          <t>P|0|FICO x CHANNEL|13</t>
        </is>
      </c>
      <c r="B1125" t="inlineStr">
        <is>
          <t>746 - 921</t>
        </is>
      </c>
      <c r="C1125" t="inlineStr">
        <is>
          <t>Branch</t>
        </is>
      </c>
      <c r="D1125" t="n">
        <v>518</v>
      </c>
      <c r="E1125" t="n">
        <v>16450329.83</v>
      </c>
      <c r="F1125" t="n">
        <v>259</v>
      </c>
      <c r="G1125" t="n">
        <v>8314870.610000003</v>
      </c>
      <c r="H1125" t="n">
        <v>259</v>
      </c>
      <c r="I1125" t="n">
        <v>8135459.219999993</v>
      </c>
    </row>
    <row r="1126">
      <c r="A1126" t="inlineStr">
        <is>
          <t>P|0|FICO x CHANNEL|14</t>
        </is>
      </c>
      <c r="B1126" t="inlineStr">
        <is>
          <t>746 - 921</t>
        </is>
      </c>
      <c r="C1126" t="inlineStr">
        <is>
          <t>Broker</t>
        </is>
      </c>
      <c r="D1126" t="n">
        <v>536</v>
      </c>
      <c r="E1126" t="n">
        <v>17135666.28</v>
      </c>
      <c r="F1126" t="n">
        <v>268</v>
      </c>
      <c r="G1126" t="n">
        <v>8093972.680000002</v>
      </c>
      <c r="H1126" t="n">
        <v>268</v>
      </c>
      <c r="I1126" t="n">
        <v>9041693.600000001</v>
      </c>
    </row>
    <row r="1127">
      <c r="A1127" t="inlineStr">
        <is>
          <t>P|0|FICO x CHANNEL|15</t>
        </is>
      </c>
      <c r="B1127" t="inlineStr">
        <is>
          <t>746 - 921</t>
        </is>
      </c>
      <c r="C1127" t="inlineStr">
        <is>
          <t>Online</t>
        </is>
      </c>
      <c r="D1127" t="n">
        <v>517</v>
      </c>
      <c r="E1127" t="n">
        <v>16939748.2</v>
      </c>
      <c r="F1127" t="n">
        <v>258</v>
      </c>
      <c r="G1127" t="n">
        <v>8792490.43</v>
      </c>
      <c r="H1127" t="n">
        <v>259</v>
      </c>
      <c r="I1127" t="n">
        <v>8147257.770000005</v>
      </c>
    </row>
    <row r="1128">
      <c r="A1128" t="inlineStr">
        <is>
          <t>P|0|FICO x CHANNEL|16</t>
        </is>
      </c>
      <c r="B1128" t="inlineStr">
        <is>
          <t>(blank)</t>
        </is>
      </c>
      <c r="C1128" t="inlineStr">
        <is>
          <t>Broker</t>
        </is>
      </c>
      <c r="D1128" t="n">
        <v>1</v>
      </c>
      <c r="E1128" t="n">
        <v>27999.47</v>
      </c>
      <c r="F1128" t="n">
        <v>0</v>
      </c>
      <c r="G1128" t="n">
        <v>0</v>
      </c>
      <c r="H1128" t="n">
        <v>1</v>
      </c>
      <c r="I1128" t="n">
        <v>27999.47</v>
      </c>
    </row>
    <row r="1129">
      <c r="A1129" t="inlineStr">
        <is>
          <t>P|0|FICO x CHANNEL|17</t>
        </is>
      </c>
      <c r="B1129" t="inlineStr">
        <is>
          <t>(marked missing)</t>
        </is>
      </c>
      <c r="C1129" t="inlineStr">
        <is>
          <t>Branch</t>
        </is>
      </c>
      <c r="D1129" t="n">
        <v>51</v>
      </c>
      <c r="E1129" t="n">
        <v>1771003.54</v>
      </c>
      <c r="F1129" t="n">
        <v>25</v>
      </c>
      <c r="G1129" t="n">
        <v>798276.53</v>
      </c>
      <c r="H1129" t="n">
        <v>26</v>
      </c>
      <c r="I1129" t="n">
        <v>972727.01</v>
      </c>
    </row>
    <row r="1130">
      <c r="A1130" t="inlineStr">
        <is>
          <t>P|0|FICO x CHANNEL|18</t>
        </is>
      </c>
      <c r="B1130" t="inlineStr">
        <is>
          <t>(marked missing)</t>
        </is>
      </c>
      <c r="C1130" t="inlineStr">
        <is>
          <t>Broker</t>
        </is>
      </c>
      <c r="D1130" t="n">
        <v>54</v>
      </c>
      <c r="E1130" t="n">
        <v>1668510.01</v>
      </c>
      <c r="F1130" t="n">
        <v>27</v>
      </c>
      <c r="G1130" t="n">
        <v>835771.09</v>
      </c>
      <c r="H1130" t="n">
        <v>27</v>
      </c>
      <c r="I1130" t="n">
        <v>832738.9200000002</v>
      </c>
    </row>
    <row r="1131">
      <c r="A1131" t="inlineStr">
        <is>
          <t>P|0|FICO x CHANNEL|19</t>
        </is>
      </c>
      <c r="B1131" t="inlineStr">
        <is>
          <t>(marked missing)</t>
        </is>
      </c>
      <c r="C1131" t="inlineStr">
        <is>
          <t>Online</t>
        </is>
      </c>
      <c r="D1131" t="n">
        <v>55</v>
      </c>
      <c r="E1131" t="n">
        <v>1848729.24</v>
      </c>
      <c r="F1131" t="n">
        <v>27</v>
      </c>
      <c r="G1131" t="n">
        <v>858062.1400000001</v>
      </c>
      <c r="H1131" t="n">
        <v>28</v>
      </c>
      <c r="I1131" t="n">
        <v>990667.0999999999</v>
      </c>
    </row>
    <row r="1132">
      <c r="A1132" t="inlineStr">
        <is>
          <t>P|0|FICO x CHANNEL|20</t>
        </is>
      </c>
      <c r="B1132" t="inlineStr">
        <is>
          <t>Every pocket</t>
        </is>
      </c>
      <c r="D1132" t="n">
        <v>8000</v>
      </c>
      <c r="E1132" t="n">
        <v>258068446.03</v>
      </c>
      <c r="F1132" t="n">
        <v>3994</v>
      </c>
      <c r="G1132" t="n">
        <v>127657666.76</v>
      </c>
      <c r="H1132" t="n">
        <v>4006</v>
      </c>
      <c r="I1132" t="n">
        <v>130410779.27</v>
      </c>
    </row>
    <row r="1133">
      <c r="A1133" t="inlineStr">
        <is>
          <t>P|0|FICO x CHANNEL|21</t>
        </is>
      </c>
      <c r="B1133" t="inlineStr">
        <is>
          <t>Share of the grid</t>
        </is>
      </c>
      <c r="F1133" t="n">
        <v>0.49925</v>
      </c>
      <c r="G1133" t="n">
        <v>0.4946659257411115</v>
      </c>
      <c r="H1133" t="n">
        <v>0.50075</v>
      </c>
      <c r="I1133" t="n">
        <v>0.5053340742588885</v>
      </c>
    </row>
    <row r="1134">
      <c r="A1134" t="inlineStr">
        <is>
          <t>P|0|FICO x ASSET_CLASS|head</t>
        </is>
      </c>
      <c r="B1134" t="inlineStr">
        <is>
          <t>FICO</t>
        </is>
      </c>
      <c r="C1134" t="inlineStr">
        <is>
          <t>ASSET_CLASS</t>
        </is>
      </c>
      <c r="D1134" t="inlineStr">
        <is>
          <t>Loans</t>
        </is>
      </c>
      <c r="E1134" t="inlineStr">
        <is>
          <t>Booked dollars</t>
        </is>
      </c>
      <c r="F1134" t="inlineStr">
        <is>
          <t>High half</t>
        </is>
      </c>
      <c r="H1134" t="inlineStr">
        <is>
          <t>Low half</t>
        </is>
      </c>
    </row>
    <row r="1135">
      <c r="A1135" t="inlineStr">
        <is>
          <t>P|0|FICO x ASSET_CLASS|1</t>
        </is>
      </c>
      <c r="B1135" t="inlineStr">
        <is>
          <t>496 - 653</t>
        </is>
      </c>
      <c r="C1135" t="inlineStr">
        <is>
          <t>1</t>
        </is>
      </c>
      <c r="D1135" t="n">
        <v>420</v>
      </c>
      <c r="E1135" t="n">
        <v>13469152.5</v>
      </c>
      <c r="F1135" t="n">
        <v>210</v>
      </c>
      <c r="G1135" t="n">
        <v>6424741.749999999</v>
      </c>
      <c r="H1135" t="n">
        <v>210</v>
      </c>
      <c r="I1135" t="n">
        <v>7044410.749999999</v>
      </c>
    </row>
    <row r="1136">
      <c r="A1136" t="inlineStr">
        <is>
          <t>P|0|FICO x ASSET_CLASS|2</t>
        </is>
      </c>
      <c r="B1136" t="inlineStr">
        <is>
          <t>496 - 653</t>
        </is>
      </c>
      <c r="C1136" t="inlineStr">
        <is>
          <t>2</t>
        </is>
      </c>
      <c r="D1136" t="n">
        <v>394</v>
      </c>
      <c r="E1136" t="n">
        <v>13268648.05000001</v>
      </c>
      <c r="F1136" t="n">
        <v>197</v>
      </c>
      <c r="G1136" t="n">
        <v>6499254.050000004</v>
      </c>
      <c r="H1136" t="n">
        <v>197</v>
      </c>
      <c r="I1136" t="n">
        <v>6769394.000000002</v>
      </c>
    </row>
    <row r="1137">
      <c r="A1137" t="inlineStr">
        <is>
          <t>P|0|FICO x ASSET_CLASS|3</t>
        </is>
      </c>
      <c r="B1137" t="inlineStr">
        <is>
          <t>496 - 653</t>
        </is>
      </c>
      <c r="C1137" t="inlineStr">
        <is>
          <t>3</t>
        </is>
      </c>
      <c r="D1137" t="n">
        <v>350</v>
      </c>
      <c r="E1137" t="n">
        <v>11724243.3</v>
      </c>
      <c r="F1137" t="n">
        <v>175</v>
      </c>
      <c r="G1137" t="n">
        <v>5779210.600000001</v>
      </c>
      <c r="H1137" t="n">
        <v>175</v>
      </c>
      <c r="I1137" t="n">
        <v>5945032.699999998</v>
      </c>
    </row>
    <row r="1138">
      <c r="A1138" t="inlineStr">
        <is>
          <t>P|0|FICO x ASSET_CLASS|4</t>
        </is>
      </c>
      <c r="B1138" t="inlineStr">
        <is>
          <t>496 - 653</t>
        </is>
      </c>
      <c r="C1138" t="inlineStr">
        <is>
          <t>4</t>
        </is>
      </c>
      <c r="D1138" t="n">
        <v>392</v>
      </c>
      <c r="E1138" t="n">
        <v>12285908.59</v>
      </c>
      <c r="F1138" t="n">
        <v>196</v>
      </c>
      <c r="G1138" t="n">
        <v>6113110.779999997</v>
      </c>
      <c r="H1138" t="n">
        <v>196</v>
      </c>
      <c r="I1138" t="n">
        <v>6172797.81</v>
      </c>
    </row>
    <row r="1139">
      <c r="A1139" t="inlineStr">
        <is>
          <t>P|0|FICO x ASSET_CLASS|5</t>
        </is>
      </c>
      <c r="B1139" t="inlineStr">
        <is>
          <t>654 - 685</t>
        </is>
      </c>
      <c r="C1139" t="inlineStr">
        <is>
          <t>1</t>
        </is>
      </c>
      <c r="D1139" t="n">
        <v>397</v>
      </c>
      <c r="E1139" t="n">
        <v>12630808.77</v>
      </c>
      <c r="F1139" t="n">
        <v>198</v>
      </c>
      <c r="G1139" t="n">
        <v>6137660.430000001</v>
      </c>
      <c r="H1139" t="n">
        <v>199</v>
      </c>
      <c r="I1139" t="n">
        <v>6493148.339999998</v>
      </c>
    </row>
    <row r="1140">
      <c r="A1140" t="inlineStr">
        <is>
          <t>P|0|FICO x ASSET_CLASS|6</t>
        </is>
      </c>
      <c r="B1140" t="inlineStr">
        <is>
          <t>654 - 685</t>
        </is>
      </c>
      <c r="C1140" t="inlineStr">
        <is>
          <t>2</t>
        </is>
      </c>
      <c r="D1140" t="n">
        <v>355</v>
      </c>
      <c r="E1140" t="n">
        <v>11168462.05</v>
      </c>
      <c r="F1140" t="n">
        <v>177</v>
      </c>
      <c r="G1140" t="n">
        <v>5399760.349999999</v>
      </c>
      <c r="H1140" t="n">
        <v>178</v>
      </c>
      <c r="I1140" t="n">
        <v>5768701.700000001</v>
      </c>
    </row>
    <row r="1141">
      <c r="A1141" t="inlineStr">
        <is>
          <t>P|0|FICO x ASSET_CLASS|7</t>
        </is>
      </c>
      <c r="B1141" t="inlineStr">
        <is>
          <t>654 - 685</t>
        </is>
      </c>
      <c r="C1141" t="inlineStr">
        <is>
          <t>3</t>
        </is>
      </c>
      <c r="D1141" t="n">
        <v>377</v>
      </c>
      <c r="E1141" t="n">
        <v>11987321.02</v>
      </c>
      <c r="F1141" t="n">
        <v>188</v>
      </c>
      <c r="G1141" t="n">
        <v>5784886.36</v>
      </c>
      <c r="H1141" t="n">
        <v>189</v>
      </c>
      <c r="I1141" t="n">
        <v>6202434.659999996</v>
      </c>
    </row>
    <row r="1142">
      <c r="A1142" t="inlineStr">
        <is>
          <t>P|0|FICO x ASSET_CLASS|8</t>
        </is>
      </c>
      <c r="B1142" t="inlineStr">
        <is>
          <t>654 - 685</t>
        </is>
      </c>
      <c r="C1142" t="inlineStr">
        <is>
          <t>4</t>
        </is>
      </c>
      <c r="D1142" t="n">
        <v>410</v>
      </c>
      <c r="E1142" t="n">
        <v>13563003.84</v>
      </c>
      <c r="F1142" t="n">
        <v>205</v>
      </c>
      <c r="G1142" t="n">
        <v>6558477.669999999</v>
      </c>
      <c r="H1142" t="n">
        <v>205</v>
      </c>
      <c r="I1142" t="n">
        <v>7004526.169999996</v>
      </c>
    </row>
    <row r="1143">
      <c r="A1143" t="inlineStr">
        <is>
          <t>P|0|FICO x ASSET_CLASS|9</t>
        </is>
      </c>
      <c r="B1143" t="inlineStr">
        <is>
          <t>686 - 711</t>
        </is>
      </c>
      <c r="C1143" t="inlineStr">
        <is>
          <t>1</t>
        </is>
      </c>
      <c r="D1143" t="n">
        <v>372</v>
      </c>
      <c r="E1143" t="n">
        <v>11800012.44</v>
      </c>
      <c r="F1143" t="n">
        <v>186</v>
      </c>
      <c r="G1143" t="n">
        <v>5940536.829999997</v>
      </c>
      <c r="H1143" t="n">
        <v>186</v>
      </c>
      <c r="I1143" t="n">
        <v>5859475.610000001</v>
      </c>
    </row>
    <row r="1144">
      <c r="A1144" t="inlineStr">
        <is>
          <t>P|0|FICO x ASSET_CLASS|10</t>
        </is>
      </c>
      <c r="B1144" t="inlineStr">
        <is>
          <t>686 - 711</t>
        </is>
      </c>
      <c r="C1144" t="inlineStr">
        <is>
          <t>2</t>
        </is>
      </c>
      <c r="D1144" t="n">
        <v>395</v>
      </c>
      <c r="E1144" t="n">
        <v>12948870.12</v>
      </c>
      <c r="F1144" t="n">
        <v>197</v>
      </c>
      <c r="G1144" t="n">
        <v>6534623.490000002</v>
      </c>
      <c r="H1144" t="n">
        <v>198</v>
      </c>
      <c r="I1144" t="n">
        <v>6414246.630000001</v>
      </c>
    </row>
    <row r="1145">
      <c r="A1145" t="inlineStr">
        <is>
          <t>P|0|FICO x ASSET_CLASS|11</t>
        </is>
      </c>
      <c r="B1145" t="inlineStr">
        <is>
          <t>686 - 711</t>
        </is>
      </c>
      <c r="C1145" t="inlineStr">
        <is>
          <t>3</t>
        </is>
      </c>
      <c r="D1145" t="n">
        <v>388</v>
      </c>
      <c r="E1145" t="n">
        <v>12791047.54</v>
      </c>
      <c r="F1145" t="n">
        <v>194</v>
      </c>
      <c r="G1145" t="n">
        <v>6471625.349999994</v>
      </c>
      <c r="H1145" t="n">
        <v>194</v>
      </c>
      <c r="I1145" t="n">
        <v>6319422.190000005</v>
      </c>
    </row>
    <row r="1146">
      <c r="A1146" t="inlineStr">
        <is>
          <t>P|0|FICO x ASSET_CLASS|12</t>
        </is>
      </c>
      <c r="B1146" t="inlineStr">
        <is>
          <t>686 - 711</t>
        </is>
      </c>
      <c r="C1146" t="inlineStr">
        <is>
          <t>4</t>
        </is>
      </c>
      <c r="D1146" t="n">
        <v>407</v>
      </c>
      <c r="E1146" t="n">
        <v>13476497.32</v>
      </c>
      <c r="F1146" t="n">
        <v>203</v>
      </c>
      <c r="G1146" t="n">
        <v>6546673.569999999</v>
      </c>
      <c r="H1146" t="n">
        <v>204</v>
      </c>
      <c r="I1146" t="n">
        <v>6929823.75</v>
      </c>
    </row>
    <row r="1147">
      <c r="A1147" t="inlineStr">
        <is>
          <t>P|0|FICO x ASSET_CLASS|13</t>
        </is>
      </c>
      <c r="B1147" t="inlineStr">
        <is>
          <t>712 - 745</t>
        </is>
      </c>
      <c r="C1147" t="inlineStr">
        <is>
          <t>1</t>
        </is>
      </c>
      <c r="D1147" t="n">
        <v>361</v>
      </c>
      <c r="E1147" t="n">
        <v>11568157.98</v>
      </c>
      <c r="F1147" t="n">
        <v>180</v>
      </c>
      <c r="G1147" t="n">
        <v>5823424.629999999</v>
      </c>
      <c r="H1147" t="n">
        <v>181</v>
      </c>
      <c r="I1147" t="n">
        <v>5744733.350000001</v>
      </c>
    </row>
    <row r="1148">
      <c r="A1148" t="inlineStr">
        <is>
          <t>P|0|FICO x ASSET_CLASS|14</t>
        </is>
      </c>
      <c r="B1148" t="inlineStr">
        <is>
          <t>712 - 745</t>
        </is>
      </c>
      <c r="C1148" t="inlineStr">
        <is>
          <t>2</t>
        </is>
      </c>
      <c r="D1148" t="n">
        <v>431</v>
      </c>
      <c r="E1148" t="n">
        <v>14091585.41</v>
      </c>
      <c r="F1148" t="n">
        <v>215</v>
      </c>
      <c r="G1148" t="n">
        <v>7136165.940000001</v>
      </c>
      <c r="H1148" t="n">
        <v>216</v>
      </c>
      <c r="I1148" t="n">
        <v>6955419.470000002</v>
      </c>
    </row>
    <row r="1149">
      <c r="A1149" t="inlineStr">
        <is>
          <t>P|0|FICO x ASSET_CLASS|15</t>
        </is>
      </c>
      <c r="B1149" t="inlineStr">
        <is>
          <t>712 - 745</t>
        </is>
      </c>
      <c r="C1149" t="inlineStr">
        <is>
          <t>3</t>
        </is>
      </c>
      <c r="D1149" t="n">
        <v>392</v>
      </c>
      <c r="E1149" t="n">
        <v>12300354.34</v>
      </c>
      <c r="F1149" t="n">
        <v>196</v>
      </c>
      <c r="G1149" t="n">
        <v>6189344.540000006</v>
      </c>
      <c r="H1149" t="n">
        <v>196</v>
      </c>
      <c r="I1149" t="n">
        <v>6111009.799999997</v>
      </c>
    </row>
    <row r="1150">
      <c r="A1150" t="inlineStr">
        <is>
          <t>P|0|FICO x ASSET_CLASS|16</t>
        </is>
      </c>
      <c r="B1150" t="inlineStr">
        <is>
          <t>712 - 745</t>
        </is>
      </c>
      <c r="C1150" t="inlineStr">
        <is>
          <t>4</t>
        </is>
      </c>
      <c r="D1150" t="n">
        <v>427</v>
      </c>
      <c r="E1150" t="n">
        <v>13152386.19</v>
      </c>
      <c r="F1150" t="n">
        <v>213</v>
      </c>
      <c r="G1150" t="n">
        <v>6441826.63</v>
      </c>
      <c r="H1150" t="n">
        <v>214</v>
      </c>
      <c r="I1150" t="n">
        <v>6710559.560000002</v>
      </c>
    </row>
    <row r="1151">
      <c r="A1151" t="inlineStr">
        <is>
          <t>P|0|FICO x ASSET_CLASS|17</t>
        </is>
      </c>
      <c r="B1151" t="inlineStr">
        <is>
          <t>746 - 921</t>
        </is>
      </c>
      <c r="C1151" t="inlineStr">
        <is>
          <t>1</t>
        </is>
      </c>
      <c r="D1151" t="n">
        <v>414</v>
      </c>
      <c r="E1151" t="n">
        <v>13339013.86</v>
      </c>
      <c r="F1151" t="n">
        <v>207</v>
      </c>
      <c r="G1151" t="n">
        <v>6769291.740000004</v>
      </c>
      <c r="H1151" t="n">
        <v>207</v>
      </c>
      <c r="I1151" t="n">
        <v>6569722.119999999</v>
      </c>
    </row>
    <row r="1152">
      <c r="A1152" t="inlineStr">
        <is>
          <t>P|0|FICO x ASSET_CLASS|18</t>
        </is>
      </c>
      <c r="B1152" t="inlineStr">
        <is>
          <t>746 - 921</t>
        </is>
      </c>
      <c r="C1152" t="inlineStr">
        <is>
          <t>2</t>
        </is>
      </c>
      <c r="D1152" t="n">
        <v>399</v>
      </c>
      <c r="E1152" t="n">
        <v>13059938.59</v>
      </c>
      <c r="F1152" t="n">
        <v>199</v>
      </c>
      <c r="G1152" t="n">
        <v>6690405.060000001</v>
      </c>
      <c r="H1152" t="n">
        <v>200</v>
      </c>
      <c r="I1152" t="n">
        <v>6369533.53</v>
      </c>
    </row>
    <row r="1153">
      <c r="A1153" t="inlineStr">
        <is>
          <t>P|0|FICO x ASSET_CLASS|19</t>
        </is>
      </c>
      <c r="B1153" t="inlineStr">
        <is>
          <t>746 - 921</t>
        </is>
      </c>
      <c r="C1153" t="inlineStr">
        <is>
          <t>3</t>
        </is>
      </c>
      <c r="D1153" t="n">
        <v>385</v>
      </c>
      <c r="E1153" t="n">
        <v>12544699.31</v>
      </c>
      <c r="F1153" t="n">
        <v>192</v>
      </c>
      <c r="G1153" t="n">
        <v>6092828.640000002</v>
      </c>
      <c r="H1153" t="n">
        <v>193</v>
      </c>
      <c r="I1153" t="n">
        <v>6451870.670000001</v>
      </c>
    </row>
    <row r="1154">
      <c r="A1154" t="inlineStr">
        <is>
          <t>P|0|FICO x ASSET_CLASS|20</t>
        </is>
      </c>
      <c r="B1154" t="inlineStr">
        <is>
          <t>746 - 921</t>
        </is>
      </c>
      <c r="C1154" t="inlineStr">
        <is>
          <t>4</t>
        </is>
      </c>
      <c r="D1154" t="n">
        <v>373</v>
      </c>
      <c r="E1154" t="n">
        <v>11582092.55</v>
      </c>
      <c r="F1154" t="n">
        <v>186</v>
      </c>
      <c r="G1154" t="n">
        <v>5735136.120000001</v>
      </c>
      <c r="H1154" t="n">
        <v>187</v>
      </c>
      <c r="I1154" t="n">
        <v>5846956.430000003</v>
      </c>
    </row>
    <row r="1155">
      <c r="A1155" t="inlineStr">
        <is>
          <t>P|0|FICO x ASSET_CLASS|21</t>
        </is>
      </c>
      <c r="B1155" t="inlineStr">
        <is>
          <t>(blank)</t>
        </is>
      </c>
      <c r="C1155" t="inlineStr">
        <is>
          <t>2</t>
        </is>
      </c>
      <c r="D1155" t="n">
        <v>1</v>
      </c>
      <c r="E1155" t="n">
        <v>27999.47</v>
      </c>
      <c r="F1155" t="n">
        <v>0</v>
      </c>
      <c r="G1155" t="n">
        <v>0</v>
      </c>
      <c r="H1155" t="n">
        <v>1</v>
      </c>
      <c r="I1155" t="n">
        <v>27999.47</v>
      </c>
    </row>
    <row r="1156">
      <c r="A1156" t="inlineStr">
        <is>
          <t>P|0|FICO x ASSET_CLASS|22</t>
        </is>
      </c>
      <c r="B1156" t="inlineStr">
        <is>
          <t>(marked missing)</t>
        </is>
      </c>
      <c r="C1156" t="inlineStr">
        <is>
          <t>1</t>
        </is>
      </c>
      <c r="D1156" t="n">
        <v>42</v>
      </c>
      <c r="E1156" t="n">
        <v>1515477.86</v>
      </c>
      <c r="F1156" t="n">
        <v>21</v>
      </c>
      <c r="G1156" t="n">
        <v>715161.8900000002</v>
      </c>
      <c r="H1156" t="n">
        <v>21</v>
      </c>
      <c r="I1156" t="n">
        <v>800315.97</v>
      </c>
    </row>
    <row r="1157">
      <c r="A1157" t="inlineStr">
        <is>
          <t>P|0|FICO x ASSET_CLASS|23</t>
        </is>
      </c>
      <c r="B1157" t="inlineStr">
        <is>
          <t>(marked missing)</t>
        </is>
      </c>
      <c r="C1157" t="inlineStr">
        <is>
          <t>2</t>
        </is>
      </c>
      <c r="D1157" t="n">
        <v>36</v>
      </c>
      <c r="E1157" t="n">
        <v>1086599.84</v>
      </c>
      <c r="F1157" t="n">
        <v>18</v>
      </c>
      <c r="G1157" t="n">
        <v>484760.08</v>
      </c>
      <c r="H1157" t="n">
        <v>18</v>
      </c>
      <c r="I1157" t="n">
        <v>601839.76</v>
      </c>
    </row>
    <row r="1158">
      <c r="A1158" t="inlineStr">
        <is>
          <t>P|0|FICO x ASSET_CLASS|24</t>
        </is>
      </c>
      <c r="B1158" t="inlineStr">
        <is>
          <t>(marked missing)</t>
        </is>
      </c>
      <c r="C1158" t="inlineStr">
        <is>
          <t>3</t>
        </is>
      </c>
      <c r="D1158" t="n">
        <v>43</v>
      </c>
      <c r="E1158" t="n">
        <v>1473137.14</v>
      </c>
      <c r="F1158" t="n">
        <v>21</v>
      </c>
      <c r="G1158" t="n">
        <v>682090.99</v>
      </c>
      <c r="H1158" t="n">
        <v>22</v>
      </c>
      <c r="I1158" t="n">
        <v>791046.1499999998</v>
      </c>
    </row>
    <row r="1159">
      <c r="A1159" t="inlineStr">
        <is>
          <t>P|0|FICO x ASSET_CLASS|25</t>
        </is>
      </c>
      <c r="B1159" t="inlineStr">
        <is>
          <t>(marked missing)</t>
        </is>
      </c>
      <c r="C1159" t="inlineStr">
        <is>
          <t>4</t>
        </is>
      </c>
      <c r="D1159" t="n">
        <v>39</v>
      </c>
      <c r="E1159" t="n">
        <v>1213027.95</v>
      </c>
      <c r="F1159" t="n">
        <v>19</v>
      </c>
      <c r="G1159" t="n">
        <v>588775.1299999999</v>
      </c>
      <c r="H1159" t="n">
        <v>20</v>
      </c>
      <c r="I1159" t="n">
        <v>624252.8200000001</v>
      </c>
    </row>
    <row r="1160">
      <c r="A1160" t="inlineStr">
        <is>
          <t>P|0|FICO x ASSET_CLASS|26</t>
        </is>
      </c>
      <c r="B1160" t="inlineStr">
        <is>
          <t>Every pocket</t>
        </is>
      </c>
      <c r="D1160" t="n">
        <v>8000</v>
      </c>
      <c r="E1160" t="n">
        <v>258068446.03</v>
      </c>
      <c r="F1160" t="n">
        <v>3993</v>
      </c>
      <c r="G1160" t="n">
        <v>127539772.62</v>
      </c>
      <c r="H1160" t="n">
        <v>4007</v>
      </c>
      <c r="I1160" t="n">
        <v>130528673.41</v>
      </c>
    </row>
    <row r="1161">
      <c r="A1161" t="inlineStr">
        <is>
          <t>P|0|FICO x ASSET_CLASS|27</t>
        </is>
      </c>
      <c r="B1161" t="inlineStr">
        <is>
          <t>Share of the grid</t>
        </is>
      </c>
      <c r="F1161" t="n">
        <v>0.499125</v>
      </c>
      <c r="G1161" t="n">
        <v>0.4942090929054291</v>
      </c>
      <c r="H1161" t="n">
        <v>0.500875</v>
      </c>
      <c r="I1161" t="n">
        <v>0.5057909070945709</v>
      </c>
    </row>
    <row r="1162">
      <c r="A1162" t="inlineStr">
        <is>
          <t>P|0|ORIG_BAL x CHANNEL|head</t>
        </is>
      </c>
      <c r="B1162" t="inlineStr">
        <is>
          <t>ORIG_BAL</t>
        </is>
      </c>
      <c r="C1162" t="inlineStr">
        <is>
          <t>CHANNEL</t>
        </is>
      </c>
      <c r="D1162" t="inlineStr">
        <is>
          <t>Loans</t>
        </is>
      </c>
      <c r="E1162" t="inlineStr">
        <is>
          <t>Booked dollars</t>
        </is>
      </c>
      <c r="F1162" t="inlineStr">
        <is>
          <t>High half</t>
        </is>
      </c>
      <c r="H1162" t="inlineStr">
        <is>
          <t>Low half</t>
        </is>
      </c>
    </row>
    <row r="1163">
      <c r="A1163" t="inlineStr">
        <is>
          <t>P|0|ORIG_BAL x CHANNEL|1</t>
        </is>
      </c>
      <c r="B1163" t="inlineStr">
        <is>
          <t>5,005 - 15,448</t>
        </is>
      </c>
      <c r="C1163" t="inlineStr">
        <is>
          <t>Branch</t>
        </is>
      </c>
      <c r="D1163" t="n">
        <v>542</v>
      </c>
      <c r="E1163" t="n">
        <v>5471077.52</v>
      </c>
      <c r="F1163" t="n">
        <v>271</v>
      </c>
      <c r="G1163" t="n">
        <v>2719515.59</v>
      </c>
      <c r="H1163" t="n">
        <v>271</v>
      </c>
      <c r="I1163" t="n">
        <v>2751561.930000001</v>
      </c>
    </row>
    <row r="1164">
      <c r="A1164" t="inlineStr">
        <is>
          <t>P|0|ORIG_BAL x CHANNEL|2</t>
        </is>
      </c>
      <c r="B1164" t="inlineStr">
        <is>
          <t>5,005 - 15,448</t>
        </is>
      </c>
      <c r="C1164" t="inlineStr">
        <is>
          <t>Broker</t>
        </is>
      </c>
      <c r="D1164" t="n">
        <v>514</v>
      </c>
      <c r="E1164" t="n">
        <v>5250097.43</v>
      </c>
      <c r="F1164" t="n">
        <v>257</v>
      </c>
      <c r="G1164" t="n">
        <v>2640920.879999998</v>
      </c>
      <c r="H1164" t="n">
        <v>257</v>
      </c>
      <c r="I1164" t="n">
        <v>2609176.550000002</v>
      </c>
    </row>
    <row r="1165">
      <c r="A1165" t="inlineStr">
        <is>
          <t>P|0|ORIG_BAL x CHANNEL|3</t>
        </is>
      </c>
      <c r="B1165" t="inlineStr">
        <is>
          <t>5,005 - 15,448</t>
        </is>
      </c>
      <c r="C1165" t="inlineStr">
        <is>
          <t>Online</t>
        </is>
      </c>
      <c r="D1165" t="n">
        <v>544</v>
      </c>
      <c r="E1165" t="n">
        <v>5511902.470000003</v>
      </c>
      <c r="F1165" t="n">
        <v>272</v>
      </c>
      <c r="G1165" t="n">
        <v>2787906.930000001</v>
      </c>
      <c r="H1165" t="n">
        <v>272</v>
      </c>
      <c r="I1165" t="n">
        <v>2723995.540000001</v>
      </c>
    </row>
    <row r="1166">
      <c r="A1166" t="inlineStr">
        <is>
          <t>P|0|ORIG_BAL x CHANNEL|4</t>
        </is>
      </c>
      <c r="B1166" t="inlineStr">
        <is>
          <t>15,449 - 26,323</t>
        </is>
      </c>
      <c r="C1166" t="inlineStr">
        <is>
          <t>Branch</t>
        </is>
      </c>
      <c r="D1166" t="n">
        <v>525</v>
      </c>
      <c r="E1166" t="n">
        <v>11003092.27</v>
      </c>
      <c r="F1166" t="n">
        <v>262</v>
      </c>
      <c r="G1166" t="n">
        <v>5535698.499999996</v>
      </c>
      <c r="H1166" t="n">
        <v>263</v>
      </c>
      <c r="I1166" t="n">
        <v>5467393.77</v>
      </c>
    </row>
    <row r="1167">
      <c r="A1167" t="inlineStr">
        <is>
          <t>P|0|ORIG_BAL x CHANNEL|5</t>
        </is>
      </c>
      <c r="B1167" t="inlineStr">
        <is>
          <t>15,449 - 26,323</t>
        </is>
      </c>
      <c r="C1167" t="inlineStr">
        <is>
          <t>Broker</t>
        </is>
      </c>
      <c r="D1167" t="n">
        <v>537</v>
      </c>
      <c r="E1167" t="n">
        <v>11248028.79</v>
      </c>
      <c r="F1167" t="n">
        <v>268</v>
      </c>
      <c r="G1167" t="n">
        <v>5613968.139999999</v>
      </c>
      <c r="H1167" t="n">
        <v>269</v>
      </c>
      <c r="I1167" t="n">
        <v>5634060.650000003</v>
      </c>
    </row>
    <row r="1168">
      <c r="A1168" t="inlineStr">
        <is>
          <t>P|0|ORIG_BAL x CHANNEL|6</t>
        </is>
      </c>
      <c r="B1168" t="inlineStr">
        <is>
          <t>15,449 - 26,323</t>
        </is>
      </c>
      <c r="C1168" t="inlineStr">
        <is>
          <t>Online</t>
        </is>
      </c>
      <c r="D1168" t="n">
        <v>538</v>
      </c>
      <c r="E1168" t="n">
        <v>11158749.76</v>
      </c>
      <c r="F1168" t="n">
        <v>269</v>
      </c>
      <c r="G1168" t="n">
        <v>5584949.309999994</v>
      </c>
      <c r="H1168" t="n">
        <v>269</v>
      </c>
      <c r="I1168" t="n">
        <v>5573800.450000004</v>
      </c>
    </row>
    <row r="1169">
      <c r="A1169" t="inlineStr">
        <is>
          <t>P|0|ORIG_BAL x CHANNEL|7</t>
        </is>
      </c>
      <c r="B1169" t="inlineStr">
        <is>
          <t>26,324 - 37,950</t>
        </is>
      </c>
      <c r="C1169" t="inlineStr">
        <is>
          <t>Branch</t>
        </is>
      </c>
      <c r="D1169" t="n">
        <v>518</v>
      </c>
      <c r="E1169" t="n">
        <v>16587370.03</v>
      </c>
      <c r="F1169" t="n">
        <v>259</v>
      </c>
      <c r="G1169" t="n">
        <v>8313610.080000003</v>
      </c>
      <c r="H1169" t="n">
        <v>259</v>
      </c>
      <c r="I1169" t="n">
        <v>8273759.95</v>
      </c>
    </row>
    <row r="1170">
      <c r="A1170" t="inlineStr">
        <is>
          <t>P|0|ORIG_BAL x CHANNEL|8</t>
        </is>
      </c>
      <c r="B1170" t="inlineStr">
        <is>
          <t>26,324 - 37,950</t>
        </is>
      </c>
      <c r="C1170" t="inlineStr">
        <is>
          <t>Broker</t>
        </is>
      </c>
      <c r="D1170" t="n">
        <v>553</v>
      </c>
      <c r="E1170" t="n">
        <v>17868104.62</v>
      </c>
      <c r="F1170" t="n">
        <v>276</v>
      </c>
      <c r="G1170" t="n">
        <v>8912663.560000001</v>
      </c>
      <c r="H1170" t="n">
        <v>277</v>
      </c>
      <c r="I1170" t="n">
        <v>8955441.059999997</v>
      </c>
    </row>
    <row r="1171">
      <c r="A1171" t="inlineStr">
        <is>
          <t>P|0|ORIG_BAL x CHANNEL|9</t>
        </is>
      </c>
      <c r="B1171" t="inlineStr">
        <is>
          <t>26,324 - 37,950</t>
        </is>
      </c>
      <c r="C1171" t="inlineStr">
        <is>
          <t>Online</t>
        </is>
      </c>
      <c r="D1171" t="n">
        <v>528</v>
      </c>
      <c r="E1171" t="n">
        <v>16906793.01000001</v>
      </c>
      <c r="F1171" t="n">
        <v>264</v>
      </c>
      <c r="G1171" t="n">
        <v>8450954.170000004</v>
      </c>
      <c r="H1171" t="n">
        <v>264</v>
      </c>
      <c r="I1171" t="n">
        <v>8455838.840000004</v>
      </c>
    </row>
    <row r="1172">
      <c r="A1172" t="inlineStr">
        <is>
          <t>P|0|ORIG_BAL x CHANNEL|10</t>
        </is>
      </c>
      <c r="B1172" t="inlineStr">
        <is>
          <t>37,951 - 49,151</t>
        </is>
      </c>
      <c r="C1172" t="inlineStr">
        <is>
          <t>Branch</t>
        </is>
      </c>
      <c r="D1172" t="n">
        <v>526</v>
      </c>
      <c r="E1172" t="n">
        <v>22956050.95999999</v>
      </c>
      <c r="F1172" t="n">
        <v>263</v>
      </c>
      <c r="G1172" t="n">
        <v>11421415.50999999</v>
      </c>
      <c r="H1172" t="n">
        <v>263</v>
      </c>
      <c r="I1172" t="n">
        <v>11534635.45</v>
      </c>
    </row>
    <row r="1173">
      <c r="A1173" t="inlineStr">
        <is>
          <t>P|0|ORIG_BAL x CHANNEL|11</t>
        </is>
      </c>
      <c r="B1173" t="inlineStr">
        <is>
          <t>37,951 - 49,151</t>
        </is>
      </c>
      <c r="C1173" t="inlineStr">
        <is>
          <t>Broker</t>
        </is>
      </c>
      <c r="D1173" t="n">
        <v>531</v>
      </c>
      <c r="E1173" t="n">
        <v>23078023.54000001</v>
      </c>
      <c r="F1173" t="n">
        <v>265</v>
      </c>
      <c r="G1173" t="n">
        <v>11540524.97</v>
      </c>
      <c r="H1173" t="n">
        <v>266</v>
      </c>
      <c r="I1173" t="n">
        <v>11537498.57000001</v>
      </c>
    </row>
    <row r="1174">
      <c r="A1174" t="inlineStr">
        <is>
          <t>P|0|ORIG_BAL x CHANNEL|12</t>
        </is>
      </c>
      <c r="B1174" t="inlineStr">
        <is>
          <t>37,951 - 49,151</t>
        </is>
      </c>
      <c r="C1174" t="inlineStr">
        <is>
          <t>Online</t>
        </is>
      </c>
      <c r="D1174" t="n">
        <v>543</v>
      </c>
      <c r="E1174" t="n">
        <v>23663785.19</v>
      </c>
      <c r="F1174" t="n">
        <v>271</v>
      </c>
      <c r="G1174" t="n">
        <v>11745476.41999999</v>
      </c>
      <c r="H1174" t="n">
        <v>272</v>
      </c>
      <c r="I1174" t="n">
        <v>11918308.77000001</v>
      </c>
    </row>
    <row r="1175">
      <c r="A1175" t="inlineStr">
        <is>
          <t>P|0|ORIG_BAL x CHANNEL|13</t>
        </is>
      </c>
      <c r="B1175" t="inlineStr">
        <is>
          <t>49,152 - 59,984</t>
        </is>
      </c>
      <c r="C1175" t="inlineStr">
        <is>
          <t>Branch</t>
        </is>
      </c>
      <c r="D1175" t="n">
        <v>515</v>
      </c>
      <c r="E1175" t="n">
        <v>28072399.44</v>
      </c>
      <c r="F1175" t="n">
        <v>257</v>
      </c>
      <c r="G1175" t="n">
        <v>14049379.33</v>
      </c>
      <c r="H1175" t="n">
        <v>258</v>
      </c>
      <c r="I1175" t="n">
        <v>14023020.11</v>
      </c>
    </row>
    <row r="1176">
      <c r="A1176" t="inlineStr">
        <is>
          <t>P|0|ORIG_BAL x CHANNEL|14</t>
        </is>
      </c>
      <c r="B1176" t="inlineStr">
        <is>
          <t>49,152 - 59,984</t>
        </is>
      </c>
      <c r="C1176" t="inlineStr">
        <is>
          <t>Broker</t>
        </is>
      </c>
      <c r="D1176" t="n">
        <v>520</v>
      </c>
      <c r="E1176" t="n">
        <v>28497868.09</v>
      </c>
      <c r="F1176" t="n">
        <v>260</v>
      </c>
      <c r="G1176" t="n">
        <v>14242330</v>
      </c>
      <c r="H1176" t="n">
        <v>260</v>
      </c>
      <c r="I1176" t="n">
        <v>14255538.09</v>
      </c>
    </row>
    <row r="1177">
      <c r="A1177" t="inlineStr">
        <is>
          <t>P|0|ORIG_BAL x CHANNEL|15</t>
        </is>
      </c>
      <c r="B1177" t="inlineStr">
        <is>
          <t>49,152 - 59,984</t>
        </is>
      </c>
      <c r="C1177" t="inlineStr">
        <is>
          <t>Online</t>
        </is>
      </c>
      <c r="D1177" t="n">
        <v>565</v>
      </c>
      <c r="E1177" t="n">
        <v>30795102.91</v>
      </c>
      <c r="F1177" t="n">
        <v>282</v>
      </c>
      <c r="G1177" t="n">
        <v>15366264.48</v>
      </c>
      <c r="H1177" t="n">
        <v>283</v>
      </c>
      <c r="I1177" t="n">
        <v>15428838.43</v>
      </c>
    </row>
    <row r="1178">
      <c r="A1178" t="inlineStr">
        <is>
          <t>P|0|ORIG_BAL x CHANNEL|16</t>
        </is>
      </c>
      <c r="B1178" t="inlineStr">
        <is>
          <t>(blank)</t>
        </is>
      </c>
      <c r="C1178" t="inlineStr">
        <is>
          <t>Branch</t>
        </is>
      </c>
      <c r="D1178" t="n">
        <v>1</v>
      </c>
      <c r="E1178" t="n">
        <v>0</v>
      </c>
      <c r="F1178" t="n">
        <v>0</v>
      </c>
      <c r="G1178" t="n">
        <v>0</v>
      </c>
      <c r="H1178" t="n">
        <v>1</v>
      </c>
      <c r="I1178" t="n">
        <v>0</v>
      </c>
    </row>
    <row r="1179">
      <c r="A1179" t="inlineStr">
        <is>
          <t>P|0|ORIG_BAL x CHANNEL|17</t>
        </is>
      </c>
      <c r="B1179" t="inlineStr">
        <is>
          <t>Every pocket</t>
        </is>
      </c>
      <c r="D1179" t="n">
        <v>8000</v>
      </c>
      <c r="E1179" t="n">
        <v>258068446.03</v>
      </c>
      <c r="F1179" t="n">
        <v>3996</v>
      </c>
      <c r="G1179" t="n">
        <v>128925577.87</v>
      </c>
      <c r="H1179" t="n">
        <v>4004</v>
      </c>
      <c r="I1179" t="n">
        <v>129142868.16</v>
      </c>
    </row>
    <row r="1180">
      <c r="A1180" t="inlineStr">
        <is>
          <t>P|0|ORIG_BAL x CHANNEL|18</t>
        </is>
      </c>
      <c r="B1180" t="inlineStr">
        <is>
          <t>Share of the grid</t>
        </is>
      </c>
      <c r="F1180" t="n">
        <v>0.4995</v>
      </c>
      <c r="G1180" t="n">
        <v>0.4995790064741685</v>
      </c>
      <c r="H1180" t="n">
        <v>0.5004999999999999</v>
      </c>
      <c r="I1180" t="n">
        <v>0.5004209935258315</v>
      </c>
    </row>
    <row r="1181">
      <c r="A1181" t="inlineStr">
        <is>
          <t>P|0|ORIG_BAL x ASSET_CLASS|head</t>
        </is>
      </c>
      <c r="B1181" t="inlineStr">
        <is>
          <t>ORIG_BAL</t>
        </is>
      </c>
      <c r="C1181" t="inlineStr">
        <is>
          <t>ASSET_CLASS</t>
        </is>
      </c>
      <c r="D1181" t="inlineStr">
        <is>
          <t>Loans</t>
        </is>
      </c>
      <c r="E1181" t="inlineStr">
        <is>
          <t>Booked dollars</t>
        </is>
      </c>
      <c r="F1181" t="inlineStr">
        <is>
          <t>High half</t>
        </is>
      </c>
      <c r="H1181" t="inlineStr">
        <is>
          <t>Low half</t>
        </is>
      </c>
    </row>
    <row r="1182">
      <c r="A1182" t="inlineStr">
        <is>
          <t>P|0|ORIG_BAL x ASSET_CLASS|1</t>
        </is>
      </c>
      <c r="B1182" t="inlineStr">
        <is>
          <t>5,005 - 15,448</t>
        </is>
      </c>
      <c r="C1182" t="inlineStr">
        <is>
          <t>1</t>
        </is>
      </c>
      <c r="D1182" t="n">
        <v>417</v>
      </c>
      <c r="E1182" t="n">
        <v>4250568.400000001</v>
      </c>
      <c r="F1182" t="n">
        <v>208</v>
      </c>
      <c r="G1182" t="n">
        <v>2150732.31</v>
      </c>
      <c r="H1182" t="n">
        <v>209</v>
      </c>
      <c r="I1182" t="n">
        <v>2099836.090000002</v>
      </c>
    </row>
    <row r="1183">
      <c r="A1183" t="inlineStr">
        <is>
          <t>P|0|ORIG_BAL x ASSET_CLASS|2</t>
        </is>
      </c>
      <c r="B1183" t="inlineStr">
        <is>
          <t>5,005 - 15,448</t>
        </is>
      </c>
      <c r="C1183" t="inlineStr">
        <is>
          <t>2</t>
        </is>
      </c>
      <c r="D1183" t="n">
        <v>404</v>
      </c>
      <c r="E1183" t="n">
        <v>4165898.809999999</v>
      </c>
      <c r="F1183" t="n">
        <v>202</v>
      </c>
      <c r="G1183" t="n">
        <v>2126363.319999999</v>
      </c>
      <c r="H1183" t="n">
        <v>202</v>
      </c>
      <c r="I1183" t="n">
        <v>2039535.49</v>
      </c>
    </row>
    <row r="1184">
      <c r="A1184" t="inlineStr">
        <is>
          <t>P|0|ORIG_BAL x ASSET_CLASS|3</t>
        </is>
      </c>
      <c r="B1184" t="inlineStr">
        <is>
          <t>5,005 - 15,448</t>
        </is>
      </c>
      <c r="C1184" t="inlineStr">
        <is>
          <t>3</t>
        </is>
      </c>
      <c r="D1184" t="n">
        <v>354</v>
      </c>
      <c r="E1184" t="n">
        <v>3545372.239999999</v>
      </c>
      <c r="F1184" t="n">
        <v>177</v>
      </c>
      <c r="G1184" t="n">
        <v>1766364.65</v>
      </c>
      <c r="H1184" t="n">
        <v>177</v>
      </c>
      <c r="I1184" t="n">
        <v>1779007.59</v>
      </c>
    </row>
    <row r="1185">
      <c r="A1185" t="inlineStr">
        <is>
          <t>P|0|ORIG_BAL x ASSET_CLASS|4</t>
        </is>
      </c>
      <c r="B1185" t="inlineStr">
        <is>
          <t>5,005 - 15,448</t>
        </is>
      </c>
      <c r="C1185" t="inlineStr">
        <is>
          <t>4</t>
        </is>
      </c>
      <c r="D1185" t="n">
        <v>425</v>
      </c>
      <c r="E1185" t="n">
        <v>4271237.970000003</v>
      </c>
      <c r="F1185" t="n">
        <v>212</v>
      </c>
      <c r="G1185" t="n">
        <v>2106304.450000001</v>
      </c>
      <c r="H1185" t="n">
        <v>213</v>
      </c>
      <c r="I1185" t="n">
        <v>2164933.520000001</v>
      </c>
    </row>
    <row r="1186">
      <c r="A1186" t="inlineStr">
        <is>
          <t>P|0|ORIG_BAL x ASSET_CLASS|5</t>
        </is>
      </c>
      <c r="B1186" t="inlineStr">
        <is>
          <t>15,449 - 26,323</t>
        </is>
      </c>
      <c r="C1186" t="inlineStr">
        <is>
          <t>1</t>
        </is>
      </c>
      <c r="D1186" t="n">
        <v>404</v>
      </c>
      <c r="E1186" t="n">
        <v>8396724.670000002</v>
      </c>
      <c r="F1186" t="n">
        <v>202</v>
      </c>
      <c r="G1186" t="n">
        <v>4197573.82</v>
      </c>
      <c r="H1186" t="n">
        <v>202</v>
      </c>
      <c r="I1186" t="n">
        <v>4199150.850000001</v>
      </c>
    </row>
    <row r="1187">
      <c r="A1187" t="inlineStr">
        <is>
          <t>P|0|ORIG_BAL x ASSET_CLASS|6</t>
        </is>
      </c>
      <c r="B1187" t="inlineStr">
        <is>
          <t>15,449 - 26,323</t>
        </is>
      </c>
      <c r="C1187" t="inlineStr">
        <is>
          <t>2</t>
        </is>
      </c>
      <c r="D1187" t="n">
        <v>356</v>
      </c>
      <c r="E1187" t="n">
        <v>7506879.639999999</v>
      </c>
      <c r="F1187" t="n">
        <v>178</v>
      </c>
      <c r="G1187" t="n">
        <v>3781633.390000001</v>
      </c>
      <c r="H1187" t="n">
        <v>178</v>
      </c>
      <c r="I1187" t="n">
        <v>3725246.249999998</v>
      </c>
    </row>
    <row r="1188">
      <c r="A1188" t="inlineStr">
        <is>
          <t>P|0|ORIG_BAL x ASSET_CLASS|7</t>
        </is>
      </c>
      <c r="B1188" t="inlineStr">
        <is>
          <t>15,449 - 26,323</t>
        </is>
      </c>
      <c r="C1188" t="inlineStr">
        <is>
          <t>3</t>
        </is>
      </c>
      <c r="D1188" t="n">
        <v>427</v>
      </c>
      <c r="E1188" t="n">
        <v>8813109.200000003</v>
      </c>
      <c r="F1188" t="n">
        <v>213</v>
      </c>
      <c r="G1188" t="n">
        <v>4416449.409999999</v>
      </c>
      <c r="H1188" t="n">
        <v>214</v>
      </c>
      <c r="I1188" t="n">
        <v>4396659.790000003</v>
      </c>
    </row>
    <row r="1189">
      <c r="A1189" t="inlineStr">
        <is>
          <t>P|0|ORIG_BAL x ASSET_CLASS|8</t>
        </is>
      </c>
      <c r="B1189" t="inlineStr">
        <is>
          <t>15,449 - 26,323</t>
        </is>
      </c>
      <c r="C1189" t="inlineStr">
        <is>
          <t>4</t>
        </is>
      </c>
      <c r="D1189" t="n">
        <v>413</v>
      </c>
      <c r="E1189" t="n">
        <v>8693157.310000002</v>
      </c>
      <c r="F1189" t="n">
        <v>206</v>
      </c>
      <c r="G1189" t="n">
        <v>4350334.53</v>
      </c>
      <c r="H1189" t="n">
        <v>207</v>
      </c>
      <c r="I1189" t="n">
        <v>4342822.780000002</v>
      </c>
    </row>
    <row r="1190">
      <c r="A1190" t="inlineStr">
        <is>
          <t>P|0|ORIG_BAL x ASSET_CLASS|9</t>
        </is>
      </c>
      <c r="B1190" t="inlineStr">
        <is>
          <t>26,324 - 37,950</t>
        </is>
      </c>
      <c r="C1190" t="inlineStr">
        <is>
          <t>1</t>
        </is>
      </c>
      <c r="D1190" t="n">
        <v>388</v>
      </c>
      <c r="E1190" t="n">
        <v>12442793.77</v>
      </c>
      <c r="F1190" t="n">
        <v>194</v>
      </c>
      <c r="G1190" t="n">
        <v>6222109.339999998</v>
      </c>
      <c r="H1190" t="n">
        <v>194</v>
      </c>
      <c r="I1190" t="n">
        <v>6220684.429999999</v>
      </c>
    </row>
    <row r="1191">
      <c r="A1191" t="inlineStr">
        <is>
          <t>P|0|ORIG_BAL x ASSET_CLASS|10</t>
        </is>
      </c>
      <c r="B1191" t="inlineStr">
        <is>
          <t>26,324 - 37,950</t>
        </is>
      </c>
      <c r="C1191" t="inlineStr">
        <is>
          <t>2</t>
        </is>
      </c>
      <c r="D1191" t="n">
        <v>432</v>
      </c>
      <c r="E1191" t="n">
        <v>13969830.53</v>
      </c>
      <c r="F1191" t="n">
        <v>216</v>
      </c>
      <c r="G1191" t="n">
        <v>6971062.450000002</v>
      </c>
      <c r="H1191" t="n">
        <v>216</v>
      </c>
      <c r="I1191" t="n">
        <v>6998768.080000004</v>
      </c>
    </row>
    <row r="1192">
      <c r="A1192" t="inlineStr">
        <is>
          <t>P|0|ORIG_BAL x ASSET_CLASS|11</t>
        </is>
      </c>
      <c r="B1192" t="inlineStr">
        <is>
          <t>26,324 - 37,950</t>
        </is>
      </c>
      <c r="C1192" t="inlineStr">
        <is>
          <t>3</t>
        </is>
      </c>
      <c r="D1192" t="n">
        <v>367</v>
      </c>
      <c r="E1192" t="n">
        <v>11737978.50000001</v>
      </c>
      <c r="F1192" t="n">
        <v>183</v>
      </c>
      <c r="G1192" t="n">
        <v>5805033.150000005</v>
      </c>
      <c r="H1192" t="n">
        <v>184</v>
      </c>
      <c r="I1192" t="n">
        <v>5932945.350000001</v>
      </c>
    </row>
    <row r="1193">
      <c r="A1193" t="inlineStr">
        <is>
          <t>P|0|ORIG_BAL x ASSET_CLASS|12</t>
        </is>
      </c>
      <c r="B1193" t="inlineStr">
        <is>
          <t>26,324 - 37,950</t>
        </is>
      </c>
      <c r="C1193" t="inlineStr">
        <is>
          <t>4</t>
        </is>
      </c>
      <c r="D1193" t="n">
        <v>412</v>
      </c>
      <c r="E1193" t="n">
        <v>13211664.86</v>
      </c>
      <c r="F1193" t="n">
        <v>206</v>
      </c>
      <c r="G1193" t="n">
        <v>6682168.149999998</v>
      </c>
      <c r="H1193" t="n">
        <v>206</v>
      </c>
      <c r="I1193" t="n">
        <v>6529496.709999999</v>
      </c>
    </row>
    <row r="1194">
      <c r="A1194" t="inlineStr">
        <is>
          <t>P|0|ORIG_BAL x ASSET_CLASS|13</t>
        </is>
      </c>
      <c r="B1194" t="inlineStr">
        <is>
          <t>37,951 - 49,151</t>
        </is>
      </c>
      <c r="C1194" t="inlineStr">
        <is>
          <t>1</t>
        </is>
      </c>
      <c r="D1194" t="n">
        <v>384</v>
      </c>
      <c r="E1194" t="n">
        <v>16710070.1</v>
      </c>
      <c r="F1194" t="n">
        <v>192</v>
      </c>
      <c r="G1194" t="n">
        <v>8302943.920000002</v>
      </c>
      <c r="H1194" t="n">
        <v>192</v>
      </c>
      <c r="I1194" t="n">
        <v>8407126.180000002</v>
      </c>
    </row>
    <row r="1195">
      <c r="A1195" t="inlineStr">
        <is>
          <t>P|0|ORIG_BAL x ASSET_CLASS|14</t>
        </is>
      </c>
      <c r="B1195" t="inlineStr">
        <is>
          <t>37,951 - 49,151</t>
        </is>
      </c>
      <c r="C1195" t="inlineStr">
        <is>
          <t>2</t>
        </is>
      </c>
      <c r="D1195" t="n">
        <v>420</v>
      </c>
      <c r="E1195" t="n">
        <v>18298742.53000001</v>
      </c>
      <c r="F1195" t="n">
        <v>210</v>
      </c>
      <c r="G1195" t="n">
        <v>9126271.180000005</v>
      </c>
      <c r="H1195" t="n">
        <v>210</v>
      </c>
      <c r="I1195" t="n">
        <v>9172471.350000003</v>
      </c>
    </row>
    <row r="1196">
      <c r="A1196" t="inlineStr">
        <is>
          <t>P|0|ORIG_BAL x ASSET_CLASS|15</t>
        </is>
      </c>
      <c r="B1196" t="inlineStr">
        <is>
          <t>37,951 - 49,151</t>
        </is>
      </c>
      <c r="C1196" t="inlineStr">
        <is>
          <t>3</t>
        </is>
      </c>
      <c r="D1196" t="n">
        <v>382</v>
      </c>
      <c r="E1196" t="n">
        <v>16623742.22</v>
      </c>
      <c r="F1196" t="n">
        <v>191</v>
      </c>
      <c r="G1196" t="n">
        <v>8260335.200000007</v>
      </c>
      <c r="H1196" t="n">
        <v>191</v>
      </c>
      <c r="I1196" t="n">
        <v>8363407.019999998</v>
      </c>
    </row>
    <row r="1197">
      <c r="A1197" t="inlineStr">
        <is>
          <t>P|0|ORIG_BAL x ASSET_CLASS|16</t>
        </is>
      </c>
      <c r="B1197" t="inlineStr">
        <is>
          <t>37,951 - 49,151</t>
        </is>
      </c>
      <c r="C1197" t="inlineStr">
        <is>
          <t>4</t>
        </is>
      </c>
      <c r="D1197" t="n">
        <v>414</v>
      </c>
      <c r="E1197" t="n">
        <v>18065304.84</v>
      </c>
      <c r="F1197" t="n">
        <v>207</v>
      </c>
      <c r="G1197" t="n">
        <v>9028423.590000002</v>
      </c>
      <c r="H1197" t="n">
        <v>207</v>
      </c>
      <c r="I1197" t="n">
        <v>9036881.250000002</v>
      </c>
    </row>
    <row r="1198">
      <c r="A1198" t="inlineStr">
        <is>
          <t>P|0|ORIG_BAL x ASSET_CLASS|17</t>
        </is>
      </c>
      <c r="B1198" t="inlineStr">
        <is>
          <t>49,152 - 59,984</t>
        </is>
      </c>
      <c r="C1198" t="inlineStr">
        <is>
          <t>1</t>
        </is>
      </c>
      <c r="D1198" t="n">
        <v>413</v>
      </c>
      <c r="E1198" t="n">
        <v>22522466.47</v>
      </c>
      <c r="F1198" t="n">
        <v>206</v>
      </c>
      <c r="G1198" t="n">
        <v>11220774.03</v>
      </c>
      <c r="H1198" t="n">
        <v>207</v>
      </c>
      <c r="I1198" t="n">
        <v>11301692.44</v>
      </c>
    </row>
    <row r="1199">
      <c r="A1199" t="inlineStr">
        <is>
          <t>P|0|ORIG_BAL x ASSET_CLASS|18</t>
        </is>
      </c>
      <c r="B1199" t="inlineStr">
        <is>
          <t>49,152 - 59,984</t>
        </is>
      </c>
      <c r="C1199" t="inlineStr">
        <is>
          <t>2</t>
        </is>
      </c>
      <c r="D1199" t="n">
        <v>398</v>
      </c>
      <c r="E1199" t="n">
        <v>21710752.02000001</v>
      </c>
      <c r="F1199" t="n">
        <v>199</v>
      </c>
      <c r="G1199" t="n">
        <v>10838135.96</v>
      </c>
      <c r="H1199" t="n">
        <v>199</v>
      </c>
      <c r="I1199" t="n">
        <v>10872616.06000001</v>
      </c>
    </row>
    <row r="1200">
      <c r="A1200" t="inlineStr">
        <is>
          <t>P|0|ORIG_BAL x ASSET_CLASS|19</t>
        </is>
      </c>
      <c r="B1200" t="inlineStr">
        <is>
          <t>49,152 - 59,984</t>
        </is>
      </c>
      <c r="C1200" t="inlineStr">
        <is>
          <t>3</t>
        </is>
      </c>
      <c r="D1200" t="n">
        <v>405</v>
      </c>
      <c r="E1200" t="n">
        <v>22100600.49</v>
      </c>
      <c r="F1200" t="n">
        <v>202</v>
      </c>
      <c r="G1200" t="n">
        <v>11000785.6</v>
      </c>
      <c r="H1200" t="n">
        <v>203</v>
      </c>
      <c r="I1200" t="n">
        <v>11099814.89</v>
      </c>
    </row>
    <row r="1201">
      <c r="A1201" t="inlineStr">
        <is>
          <t>P|0|ORIG_BAL x ASSET_CLASS|20</t>
        </is>
      </c>
      <c r="B1201" t="inlineStr">
        <is>
          <t>49,152 - 59,984</t>
        </is>
      </c>
      <c r="C1201" t="inlineStr">
        <is>
          <t>4</t>
        </is>
      </c>
      <c r="D1201" t="n">
        <v>384</v>
      </c>
      <c r="E1201" t="n">
        <v>21031551.45999999</v>
      </c>
      <c r="F1201" t="n">
        <v>192</v>
      </c>
      <c r="G1201" t="n">
        <v>10568346.19</v>
      </c>
      <c r="H1201" t="n">
        <v>192</v>
      </c>
      <c r="I1201" t="n">
        <v>10463205.27</v>
      </c>
    </row>
    <row r="1202">
      <c r="A1202" t="inlineStr">
        <is>
          <t>P|0|ORIG_BAL x ASSET_CLASS|21</t>
        </is>
      </c>
      <c r="B1202" t="inlineStr">
        <is>
          <t>(blank)</t>
        </is>
      </c>
      <c r="C1202" t="inlineStr">
        <is>
          <t>2</t>
        </is>
      </c>
      <c r="D1202" t="n">
        <v>1</v>
      </c>
      <c r="E1202" t="n">
        <v>0</v>
      </c>
      <c r="F1202" t="n">
        <v>0</v>
      </c>
      <c r="G1202" t="n">
        <v>0</v>
      </c>
      <c r="H1202" t="n">
        <v>1</v>
      </c>
      <c r="I1202" t="n">
        <v>0</v>
      </c>
    </row>
    <row r="1203">
      <c r="A1203" t="inlineStr">
        <is>
          <t>P|0|ORIG_BAL x ASSET_CLASS|22</t>
        </is>
      </c>
      <c r="B1203" t="inlineStr">
        <is>
          <t>Every pocket</t>
        </is>
      </c>
      <c r="D1203" t="n">
        <v>8000</v>
      </c>
      <c r="E1203" t="n">
        <v>258068446.03</v>
      </c>
      <c r="F1203" t="n">
        <v>3996</v>
      </c>
      <c r="G1203" t="n">
        <v>128922144.64</v>
      </c>
      <c r="H1203" t="n">
        <v>4004</v>
      </c>
      <c r="I1203" t="n">
        <v>129146301.39</v>
      </c>
    </row>
    <row r="1204">
      <c r="A1204" t="inlineStr">
        <is>
          <t>P|0|ORIG_BAL x ASSET_CLASS|23</t>
        </is>
      </c>
      <c r="B1204" t="inlineStr">
        <is>
          <t>Share of the grid</t>
        </is>
      </c>
      <c r="F1204" t="n">
        <v>0.4995</v>
      </c>
      <c r="G1204" t="n">
        <v>0.4995657029105102</v>
      </c>
      <c r="H1204" t="n">
        <v>0.5004999999999999</v>
      </c>
      <c r="I1204" t="n">
        <v>0.5004342970894898</v>
      </c>
    </row>
    <row r="1205">
      <c r="A1205" t="inlineStr">
        <is>
          <t>P|0|FICO x CHANNEL / REV_DEBT|say</t>
        </is>
      </c>
      <c r="B1205" t="inlineStr">
        <is>
          <t>Counted on the two-way grids: pick one without the split.</t>
        </is>
      </c>
    </row>
    <row r="1206">
      <c r="A1206" t="inlineStr">
        <is>
          <t>P|0|FICO x ASSET_CLASS / REV_DEBT|say</t>
        </is>
      </c>
      <c r="B1206" t="inlineStr">
        <is>
          <t>Counted on the two-way grids: pick one without the split.</t>
        </is>
      </c>
    </row>
    <row r="1207">
      <c r="A1207" t="inlineStr">
        <is>
          <t>P|0|ORIG_BAL x CHANNEL / REV_DEBT|say</t>
        </is>
      </c>
      <c r="B1207" t="inlineStr">
        <is>
          <t>Counted on the two-way grids: pick one without the split.</t>
        </is>
      </c>
    </row>
    <row r="1208">
      <c r="A1208" t="inlineStr">
        <is>
          <t>P|0|ORIG_BAL x ASSET_CLASS / REV_DEBT|say</t>
        </is>
      </c>
      <c r="B1208" t="inlineStr">
        <is>
          <t>Counted on the two-way grids: pick one without the split.</t>
        </is>
      </c>
    </row>
    <row r="1209">
      <c r="A1209" t="inlineStr">
        <is>
          <t>S|FICO x CHANNEL|chip</t>
        </is>
      </c>
      <c r="B1209" t="inlineStr">
        <is>
          <t>Holds FICO fixed</t>
        </is>
      </c>
      <c r="C1209" t="n">
        <v>1</v>
      </c>
      <c r="D1209" t="inlineStr">
        <is>
          <t>This grid holds FICO fixed (REV_DEBT's correlation with it: -0.53). It doesn't hold ORIG_BAL fixed (REV_DEBT's correlation with it: -0.02).</t>
        </is>
      </c>
    </row>
    <row r="1210">
      <c r="A1210" t="inlineStr">
        <is>
          <t>S|FICO x CHANNEL|rows</t>
        </is>
      </c>
      <c r="B1210" t="inlineStr">
        <is>
          <t>496 - 653</t>
        </is>
      </c>
      <c r="C1210" t="inlineStr">
        <is>
          <t>654 - 685</t>
        </is>
      </c>
      <c r="D1210" t="inlineStr">
        <is>
          <t>686 - 711</t>
        </is>
      </c>
      <c r="E1210" t="inlineStr">
        <is>
          <t>712 - 745</t>
        </is>
      </c>
      <c r="F1210" t="inlineStr">
        <is>
          <t>746 - 921</t>
        </is>
      </c>
      <c r="G1210" t="inlineStr">
        <is>
          <t>(blank)</t>
        </is>
      </c>
      <c r="H1210" t="inlineStr">
        <is>
          <t>(marked missing)</t>
        </is>
      </c>
    </row>
    <row r="1211">
      <c r="A1211" t="inlineStr">
        <is>
          <t>S|FICO x CHANNEL|cols</t>
        </is>
      </c>
      <c r="B1211" t="inlineStr">
        <is>
          <t>Branch</t>
        </is>
      </c>
      <c r="C1211" t="inlineStr">
        <is>
          <t>Broker</t>
        </is>
      </c>
      <c r="D1211" t="inlineStr">
        <is>
          <t>Online</t>
        </is>
      </c>
    </row>
    <row r="1212">
      <c r="A1212" t="inlineStr">
        <is>
          <t>S|FICO x CHANNEL|sum|1</t>
        </is>
      </c>
      <c r="B1212" t="inlineStr">
        <is>
          <t>Bad loans</t>
        </is>
      </c>
      <c r="C1212" t="n">
        <v>15</v>
      </c>
      <c r="D1212" t="inlineStr">
        <is>
          <t>14 of 15</t>
        </is>
      </c>
      <c r="E1212" t="n">
        <v>2.019464784591171</v>
      </c>
      <c r="F1212" t="n">
        <v>0.1167472674597528</v>
      </c>
      <c r="G1212" t="inlineStr">
        <is>
          <t>x</t>
        </is>
      </c>
      <c r="H1212" t="n">
        <v>2.496847944332674e-18</v>
      </c>
      <c r="I1212" t="n">
        <v>2.185966842963063</v>
      </c>
      <c r="J1212" t="n">
        <v>1.049944497339189e-18</v>
      </c>
      <c r="K1212" t="n">
        <v>0.1627518626521472</v>
      </c>
    </row>
    <row r="1213">
      <c r="A1213" t="inlineStr">
        <is>
          <t>S|FICO x CHANNEL|outcome_loans|meta</t>
        </is>
      </c>
      <c r="B1213" t="inlineStr">
        <is>
          <t>x</t>
        </is>
      </c>
      <c r="C1213" t="n">
        <v>3.2</v>
      </c>
    </row>
    <row r="1214">
      <c r="A1214" t="inlineStr">
        <is>
          <t>S|FICO x CHANNEL|outcome_loans|v|1</t>
        </is>
      </c>
      <c r="B1214" t="n">
        <v>2.390438247011952</v>
      </c>
      <c r="C1214" t="n">
        <v>2.667323481116584</v>
      </c>
      <c r="D1214" t="n">
        <v>1.625157232704403</v>
      </c>
    </row>
    <row r="1215">
      <c r="A1215" t="inlineStr">
        <is>
          <t>S|FICO x CHANNEL|outcome_loans|p|1</t>
        </is>
      </c>
      <c r="B1215" t="n">
        <v>0.007563794039478861</v>
      </c>
      <c r="C1215" t="n">
        <v>4.717050704113425e-08</v>
      </c>
      <c r="D1215" t="n">
        <v>0.1280141921229804</v>
      </c>
    </row>
    <row r="1216">
      <c r="A1216" t="inlineStr">
        <is>
          <t>S|FICO x CHANNEL|outcome_loans|v|2</t>
        </is>
      </c>
      <c r="B1216" t="n">
        <v>1.37387292933529</v>
      </c>
      <c r="C1216" t="n">
        <v>2.920068610634649</v>
      </c>
      <c r="D1216" t="n">
        <v>2.239621489621489</v>
      </c>
    </row>
    <row r="1217">
      <c r="A1217" t="inlineStr">
        <is>
          <t>S|FICO x CHANNEL|outcome_loans|p|2</t>
        </is>
      </c>
      <c r="B1217" t="n">
        <v>0.3350759515593689</v>
      </c>
      <c r="C1217" t="n">
        <v>0.003990225632581774</v>
      </c>
      <c r="D1217" t="n">
        <v>0.028641821567314</v>
      </c>
    </row>
    <row r="1218">
      <c r="A1218" t="inlineStr">
        <is>
          <t>S|FICO x CHANNEL|outcome_loans|v|3</t>
        </is>
      </c>
      <c r="B1218" t="n">
        <v>2.119325551232166</v>
      </c>
      <c r="C1218" t="n">
        <v>1.896444444444444</v>
      </c>
      <c r="D1218" t="n">
        <v>3.2</v>
      </c>
    </row>
    <row r="1219">
      <c r="A1219" t="inlineStr">
        <is>
          <t>S|FICO x CHANNEL|outcome_loans|p|3</t>
        </is>
      </c>
      <c r="B1219" t="n">
        <v>0.126764756456848</v>
      </c>
      <c r="C1219" t="n">
        <v>0.1429861087179962</v>
      </c>
      <c r="D1219" t="n">
        <v>0.003078183544636021</v>
      </c>
    </row>
    <row r="1220">
      <c r="A1220" t="inlineStr">
        <is>
          <t>S|FICO x CHANNEL|outcome_loans|v|4</t>
        </is>
      </c>
      <c r="B1220" t="n">
        <v>2.142857142857143</v>
      </c>
      <c r="C1220" t="n">
        <v>0.7808398950131233</v>
      </c>
      <c r="D1220" t="n">
        <v>1.578947368421053</v>
      </c>
    </row>
    <row r="1221">
      <c r="A1221" t="inlineStr">
        <is>
          <t>S|FICO x CHANNEL|outcome_loans|p|4</t>
        </is>
      </c>
      <c r="B1221" t="n">
        <v>0.1359681779072464</v>
      </c>
      <c r="C1221" t="n">
        <v>0.6611030415229938</v>
      </c>
      <c r="D1221" t="n">
        <v>0.1429861087179962</v>
      </c>
    </row>
    <row r="1222">
      <c r="A1222" t="inlineStr">
        <is>
          <t>S|FICO x CHANNEL|outcome_loans|v|5</t>
        </is>
      </c>
      <c r="B1222" t="n">
        <v>1.3</v>
      </c>
      <c r="C1222" t="n">
        <v>2.333333333333333</v>
      </c>
      <c r="D1222" t="n">
        <v>1.11541774332472</v>
      </c>
    </row>
    <row r="1223">
      <c r="A1223" t="inlineStr">
        <is>
          <t>S|FICO x CHANNEL|outcome_loans|p|5</t>
        </is>
      </c>
      <c r="B1223" t="n">
        <v>0.6025735643627224</v>
      </c>
      <c r="C1223" t="n">
        <v>0.1280141921229804</v>
      </c>
      <c r="D1223" t="n">
        <v>0.8085150982737671</v>
      </c>
    </row>
    <row r="1224">
      <c r="A1224" t="inlineStr">
        <is>
          <t>S|FICO x CHANNEL|outcome_loans|v|6</t>
        </is>
      </c>
    </row>
    <row r="1225">
      <c r="A1225" t="inlineStr">
        <is>
          <t>S|FICO x CHANNEL|outcome_loans|p|6</t>
        </is>
      </c>
    </row>
    <row r="1226">
      <c r="A1226" t="inlineStr">
        <is>
          <t>S|FICO x CHANNEL|outcome_loans|v|7</t>
        </is>
      </c>
    </row>
    <row r="1227">
      <c r="A1227" t="inlineStr">
        <is>
          <t>S|FICO x CHANNEL|outcome_loans|p|7</t>
        </is>
      </c>
    </row>
    <row r="1228">
      <c r="A1228" t="inlineStr">
        <is>
          <t>S|FICO x CHANNEL|sum|2</t>
        </is>
      </c>
      <c r="B1228" t="inlineStr">
        <is>
          <t>Bad dollars</t>
        </is>
      </c>
      <c r="C1228" t="n">
        <v>15</v>
      </c>
      <c r="D1228" t="inlineStr">
        <is>
          <t>15 of 15</t>
        </is>
      </c>
      <c r="E1228" t="n">
        <v>2.136595516286344</v>
      </c>
      <c r="F1228" t="n">
        <v>0.135759539873089</v>
      </c>
      <c r="G1228" t="inlineStr">
        <is>
          <t>x</t>
        </is>
      </c>
      <c r="H1228" t="n">
        <v>9.999000099990002e-05</v>
      </c>
      <c r="L1228" t="inlineStr">
        <is>
          <t>not tested: dollar rate</t>
        </is>
      </c>
    </row>
    <row r="1229">
      <c r="A1229" t="inlineStr">
        <is>
          <t>S|FICO x CHANNEL|outcome_booked|meta</t>
        </is>
      </c>
      <c r="B1229" t="inlineStr">
        <is>
          <t>x</t>
        </is>
      </c>
      <c r="C1229" t="n">
        <v>3.823393178758546</v>
      </c>
    </row>
    <row r="1230">
      <c r="A1230" t="inlineStr">
        <is>
          <t>S|FICO x CHANNEL|outcome_booked|v|1</t>
        </is>
      </c>
      <c r="B1230" t="n">
        <v>2.837054044224876</v>
      </c>
      <c r="C1230" t="n">
        <v>2.112711659091492</v>
      </c>
      <c r="D1230" t="n">
        <v>2.046427315637201</v>
      </c>
    </row>
    <row r="1231">
      <c r="A1231" t="inlineStr">
        <is>
          <t>S|FICO x CHANNEL|outcome_booked|p|1</t>
        </is>
      </c>
      <c r="B1231" t="n">
        <v>0.004999500049995001</v>
      </c>
      <c r="C1231" t="n">
        <v>0.00224977502249775</v>
      </c>
      <c r="D1231" t="n">
        <v>0.04074592540745926</v>
      </c>
    </row>
    <row r="1232">
      <c r="A1232" t="inlineStr">
        <is>
          <t>S|FICO x CHANNEL|outcome_booked|v|2</t>
        </is>
      </c>
      <c r="B1232" t="n">
        <v>1.583578458661409</v>
      </c>
      <c r="C1232" t="n">
        <v>3.823393178758546</v>
      </c>
      <c r="D1232" t="n">
        <v>2.802319890180129</v>
      </c>
    </row>
    <row r="1233">
      <c r="A1233" t="inlineStr">
        <is>
          <t>S|FICO x CHANNEL|outcome_booked|p|2</t>
        </is>
      </c>
      <c r="B1233" t="n">
        <v>0.1938556144385561</v>
      </c>
      <c r="C1233" t="n">
        <v>0.00224977502249775</v>
      </c>
      <c r="D1233" t="n">
        <v>0.0134986501349865</v>
      </c>
    </row>
    <row r="1234">
      <c r="A1234" t="inlineStr">
        <is>
          <t>S|FICO x CHANNEL|outcome_booked|v|3</t>
        </is>
      </c>
      <c r="B1234" t="n">
        <v>2.392101283757253</v>
      </c>
      <c r="C1234" t="n">
        <v>2.688638815287214</v>
      </c>
      <c r="D1234" t="n">
        <v>2.6145159901931</v>
      </c>
    </row>
    <row r="1235">
      <c r="A1235" t="inlineStr">
        <is>
          <t>S|FICO x CHANNEL|outcome_booked|p|3</t>
        </is>
      </c>
      <c r="B1235" t="n">
        <v>0.07079292070792921</v>
      </c>
      <c r="C1235" t="n">
        <v>0.07079292070792921</v>
      </c>
      <c r="D1235" t="n">
        <v>0.0245975402459754</v>
      </c>
    </row>
    <row r="1236">
      <c r="A1236" t="inlineStr">
        <is>
          <t>S|FICO x CHANNEL|outcome_booked|v|4</t>
        </is>
      </c>
      <c r="B1236" t="n">
        <v>2.675269964025</v>
      </c>
      <c r="C1236" t="n">
        <v>1.115345245475558</v>
      </c>
      <c r="D1236" t="n">
        <v>1.71891167374926</v>
      </c>
    </row>
    <row r="1237">
      <c r="A1237" t="inlineStr">
        <is>
          <t>S|FICO x CHANNEL|outcome_booked|p|4</t>
        </is>
      </c>
      <c r="B1237" t="n">
        <v>0.07079292070792921</v>
      </c>
      <c r="C1237" t="n">
        <v>0.9023740483094548</v>
      </c>
      <c r="D1237" t="n">
        <v>0.1160338511603385</v>
      </c>
    </row>
    <row r="1238">
      <c r="A1238" t="inlineStr">
        <is>
          <t>S|FICO x CHANNEL|outcome_booked|v|5</t>
        </is>
      </c>
      <c r="B1238" t="n">
        <v>1.170565266063442</v>
      </c>
      <c r="C1238" t="n">
        <v>2.82435954850734</v>
      </c>
      <c r="D1238" t="n">
        <v>1.007527736380514</v>
      </c>
    </row>
    <row r="1239">
      <c r="A1239" t="inlineStr">
        <is>
          <t>S|FICO x CHANNEL|outcome_booked|p|5</t>
        </is>
      </c>
      <c r="B1239" t="n">
        <v>0.8505303315822264</v>
      </c>
      <c r="C1239" t="n">
        <v>0.07079292070792921</v>
      </c>
      <c r="D1239" t="n">
        <v>0.9901009899010099</v>
      </c>
    </row>
    <row r="1240">
      <c r="A1240" t="inlineStr">
        <is>
          <t>S|FICO x CHANNEL|outcome_booked|v|6</t>
        </is>
      </c>
    </row>
    <row r="1241">
      <c r="A1241" t="inlineStr">
        <is>
          <t>S|FICO x CHANNEL|outcome_booked|p|6</t>
        </is>
      </c>
    </row>
    <row r="1242">
      <c r="A1242" t="inlineStr">
        <is>
          <t>S|FICO x CHANNEL|outcome_booked|v|7</t>
        </is>
      </c>
    </row>
    <row r="1243">
      <c r="A1243" t="inlineStr">
        <is>
          <t>S|FICO x CHANNEL|outcome_booked|p|7</t>
        </is>
      </c>
    </row>
    <row r="1244">
      <c r="A1244" t="inlineStr">
        <is>
          <t>S|FICO x CHANNEL|sum|3</t>
        </is>
      </c>
      <c r="B1244" t="inlineStr">
        <is>
          <t>Charge-offs</t>
        </is>
      </c>
      <c r="C1244" t="n">
        <v>15</v>
      </c>
      <c r="D1244" t="inlineStr">
        <is>
          <t>14 of 15</t>
        </is>
      </c>
      <c r="E1244" t="n">
        <v>2.134844569447182</v>
      </c>
      <c r="F1244" t="n">
        <v>0.1401084240703813</v>
      </c>
      <c r="G1244" t="inlineStr">
        <is>
          <t>x</t>
        </is>
      </c>
      <c r="H1244" t="n">
        <v>9.999000099990002e-05</v>
      </c>
      <c r="L1244" t="inlineStr">
        <is>
          <t>not tested: dollar rate</t>
        </is>
      </c>
    </row>
    <row r="1245">
      <c r="A1245" t="inlineStr">
        <is>
          <t>S|FICO x CHANNEL|gco_rate|meta</t>
        </is>
      </c>
      <c r="B1245" t="inlineStr">
        <is>
          <t>x</t>
        </is>
      </c>
      <c r="C1245" t="n">
        <v>3.39004368795525</v>
      </c>
    </row>
    <row r="1246">
      <c r="A1246" t="inlineStr">
        <is>
          <t>S|FICO x CHANNEL|gco_rate|v|1</t>
        </is>
      </c>
      <c r="B1246" t="n">
        <v>3.021260818887773</v>
      </c>
      <c r="C1246" t="n">
        <v>2.056146620443203</v>
      </c>
      <c r="D1246" t="n">
        <v>2.040242491854293</v>
      </c>
    </row>
    <row r="1247">
      <c r="A1247" t="inlineStr">
        <is>
          <t>S|FICO x CHANNEL|gco_rate|p|1</t>
        </is>
      </c>
      <c r="B1247" t="n">
        <v>0.002999700029997001</v>
      </c>
      <c r="C1247" t="n">
        <v>0.002999700029997001</v>
      </c>
      <c r="D1247" t="n">
        <v>0.05420886482780294</v>
      </c>
    </row>
    <row r="1248">
      <c r="A1248" t="inlineStr">
        <is>
          <t>S|FICO x CHANNEL|gco_rate|v|2</t>
        </is>
      </c>
      <c r="B1248" t="n">
        <v>1.395250705684369</v>
      </c>
      <c r="C1248" t="n">
        <v>3.39004368795525</v>
      </c>
      <c r="D1248" t="n">
        <v>3.010582188823962</v>
      </c>
    </row>
    <row r="1249">
      <c r="A1249" t="inlineStr">
        <is>
          <t>S|FICO x CHANNEL|gco_rate|p|2</t>
        </is>
      </c>
      <c r="B1249" t="n">
        <v>0.4122087791220878</v>
      </c>
      <c r="C1249" t="n">
        <v>0.007999200079992002</v>
      </c>
      <c r="D1249" t="n">
        <v>0.008699130086991299</v>
      </c>
    </row>
    <row r="1250">
      <c r="A1250" t="inlineStr">
        <is>
          <t>S|FICO x CHANNEL|gco_rate|v|3</t>
        </is>
      </c>
      <c r="B1250" t="n">
        <v>2.266364578586636</v>
      </c>
      <c r="C1250" t="n">
        <v>3.060904029054909</v>
      </c>
      <c r="D1250" t="n">
        <v>3.316818139216518</v>
      </c>
    </row>
    <row r="1251">
      <c r="A1251" t="inlineStr">
        <is>
          <t>S|FICO x CHANNEL|gco_rate|p|3</t>
        </is>
      </c>
      <c r="B1251" t="n">
        <v>0.1070892910708929</v>
      </c>
      <c r="C1251" t="n">
        <v>0.05420886482780294</v>
      </c>
      <c r="D1251" t="n">
        <v>0.008699130086991299</v>
      </c>
    </row>
    <row r="1252">
      <c r="A1252" t="inlineStr">
        <is>
          <t>S|FICO x CHANNEL|gco_rate|v|4</t>
        </is>
      </c>
      <c r="B1252" t="n">
        <v>2.753611238467011</v>
      </c>
      <c r="C1252" t="n">
        <v>1.021212979186134</v>
      </c>
      <c r="D1252" t="n">
        <v>1.638338104855639</v>
      </c>
    </row>
    <row r="1253">
      <c r="A1253" t="inlineStr">
        <is>
          <t>S|FICO x CHANNEL|gco_rate|p|4</t>
        </is>
      </c>
      <c r="B1253" t="n">
        <v>0.0761590507615905</v>
      </c>
      <c r="C1253" t="n">
        <v>0.9702029797020298</v>
      </c>
      <c r="D1253" t="n">
        <v>0.1760278517602785</v>
      </c>
    </row>
    <row r="1254">
      <c r="A1254" t="inlineStr">
        <is>
          <t>S|FICO x CHANNEL|gco_rate|v|5</t>
        </is>
      </c>
      <c r="B1254" t="n">
        <v>1.30114580901923</v>
      </c>
      <c r="C1254" t="n">
        <v>3.092860133214165</v>
      </c>
      <c r="D1254" t="n">
        <v>0.8884801295143825</v>
      </c>
    </row>
    <row r="1255">
      <c r="A1255" t="inlineStr">
        <is>
          <t>S|FICO x CHANNEL|gco_rate|p|5</t>
        </is>
      </c>
      <c r="B1255" t="n">
        <v>0.6697407182358688</v>
      </c>
      <c r="C1255" t="n">
        <v>0.05868163183681632</v>
      </c>
      <c r="D1255" t="n">
        <v>0.8845901124173298</v>
      </c>
    </row>
    <row r="1256">
      <c r="A1256" t="inlineStr">
        <is>
          <t>S|FICO x CHANNEL|gco_rate|v|6</t>
        </is>
      </c>
    </row>
    <row r="1257">
      <c r="A1257" t="inlineStr">
        <is>
          <t>S|FICO x CHANNEL|gco_rate|p|6</t>
        </is>
      </c>
    </row>
    <row r="1258">
      <c r="A1258" t="inlineStr">
        <is>
          <t>S|FICO x CHANNEL|gco_rate|v|7</t>
        </is>
      </c>
    </row>
    <row r="1259">
      <c r="A1259" t="inlineStr">
        <is>
          <t>S|FICO x CHANNEL|gco_rate|p|7</t>
        </is>
      </c>
    </row>
    <row r="1260">
      <c r="A1260" t="inlineStr">
        <is>
          <t>S|FICO x CHANNEL|sum|4</t>
        </is>
      </c>
      <c r="B1260" t="inlineStr">
        <is>
          <t>Kept after losses</t>
        </is>
      </c>
      <c r="C1260" t="n">
        <v>15</v>
      </c>
      <c r="D1260" t="inlineStr">
        <is>
          <t>13 of 15</t>
        </is>
      </c>
      <c r="E1260" t="n">
        <v>-2.781770558287653</v>
      </c>
      <c r="F1260" t="n">
        <v>0.4417531077406432</v>
      </c>
      <c r="G1260" t="inlineStr">
        <is>
          <t>pts</t>
        </is>
      </c>
      <c r="H1260" t="n">
        <v>9.999000099990002e-05</v>
      </c>
      <c r="L1260" t="inlineStr">
        <is>
          <t>not tested: dollar rate</t>
        </is>
      </c>
    </row>
    <row r="1261">
      <c r="A1261" t="inlineStr">
        <is>
          <t>S|FICO x CHANNEL|ranr_rate|meta</t>
        </is>
      </c>
      <c r="B1261" t="inlineStr">
        <is>
          <t>pts</t>
        </is>
      </c>
      <c r="C1261" t="n">
        <v>9.654670725000001</v>
      </c>
    </row>
    <row r="1262">
      <c r="A1262" t="inlineStr">
        <is>
          <t>S|FICO x CHANNEL|ranr_rate|v|1</t>
        </is>
      </c>
      <c r="B1262" t="n">
        <v>-3.140547396</v>
      </c>
      <c r="C1262" t="n">
        <v>-9.654670725000001</v>
      </c>
      <c r="D1262" t="n">
        <v>-4.533645194</v>
      </c>
    </row>
    <row r="1263">
      <c r="A1263" t="inlineStr">
        <is>
          <t>S|FICO x CHANNEL|ranr_rate|p|1</t>
        </is>
      </c>
      <c r="B1263" t="n">
        <v>0.2694730526947305</v>
      </c>
      <c r="C1263" t="n">
        <v>0.0014998500149985</v>
      </c>
      <c r="D1263" t="n">
        <v>0.09074092590740925</v>
      </c>
    </row>
    <row r="1264">
      <c r="A1264" t="inlineStr">
        <is>
          <t>S|FICO x CHANNEL|ranr_rate|v|2</t>
        </is>
      </c>
      <c r="B1264" t="n">
        <v>-1.506011091</v>
      </c>
      <c r="C1264" t="n">
        <v>-4.549511681</v>
      </c>
      <c r="D1264" t="n">
        <v>-4.519098576</v>
      </c>
    </row>
    <row r="1265">
      <c r="A1265" t="inlineStr">
        <is>
          <t>S|FICO x CHANNEL|ranr_rate|p|2</t>
        </is>
      </c>
      <c r="B1265" t="n">
        <v>0.5929407059294071</v>
      </c>
      <c r="C1265" t="n">
        <v>0.050994900509949</v>
      </c>
      <c r="D1265" t="n">
        <v>0.050994900509949</v>
      </c>
    </row>
    <row r="1266">
      <c r="A1266" t="inlineStr">
        <is>
          <t>S|FICO x CHANNEL|ranr_rate|v|3</t>
        </is>
      </c>
      <c r="B1266" t="n">
        <v>-0.713976086</v>
      </c>
      <c r="C1266" t="n">
        <v>-2.187977163</v>
      </c>
      <c r="D1266" t="n">
        <v>-5.540988095</v>
      </c>
    </row>
    <row r="1267">
      <c r="A1267" t="inlineStr">
        <is>
          <t>S|FICO x CHANNEL|ranr_rate|p|3</t>
        </is>
      </c>
      <c r="B1267" t="n">
        <v>0.6722789259535584</v>
      </c>
      <c r="C1267" t="n">
        <v>0.2575456740040282</v>
      </c>
      <c r="D1267" t="n">
        <v>0.0224977502249775</v>
      </c>
    </row>
    <row r="1268">
      <c r="A1268" t="inlineStr">
        <is>
          <t>S|FICO x CHANNEL|ranr_rate|v|4</t>
        </is>
      </c>
      <c r="B1268" t="n">
        <v>-2.876077008</v>
      </c>
      <c r="C1268" t="n">
        <v>0.982658734</v>
      </c>
      <c r="D1268" t="n">
        <v>-2.312847343</v>
      </c>
    </row>
    <row r="1269">
      <c r="A1269" t="inlineStr">
        <is>
          <t>S|FICO x CHANNEL|ranr_rate|p|4</t>
        </is>
      </c>
      <c r="B1269" t="n">
        <v>0.05729427057294271</v>
      </c>
      <c r="C1269" t="n">
        <v>0.5929407059294071</v>
      </c>
      <c r="D1269" t="n">
        <v>0.2694730526947305</v>
      </c>
    </row>
    <row r="1270">
      <c r="A1270" t="inlineStr">
        <is>
          <t>S|FICO x CHANNEL|ranr_rate|v|5</t>
        </is>
      </c>
      <c r="B1270" t="n">
        <v>-0.423783898</v>
      </c>
      <c r="C1270" t="n">
        <v>-1.004623283</v>
      </c>
      <c r="D1270" t="n">
        <v>0.468203304</v>
      </c>
    </row>
    <row r="1271">
      <c r="A1271" t="inlineStr">
        <is>
          <t>S|FICO x CHANNEL|ranr_rate|p|5</t>
        </is>
      </c>
      <c r="B1271" t="n">
        <v>0.6970302969703029</v>
      </c>
      <c r="C1271" t="n">
        <v>0.4415558444155584</v>
      </c>
      <c r="D1271" t="n">
        <v>0.6749325067493251</v>
      </c>
    </row>
    <row r="1272">
      <c r="A1272" t="inlineStr">
        <is>
          <t>S|FICO x CHANNEL|ranr_rate|v|6</t>
        </is>
      </c>
    </row>
    <row r="1273">
      <c r="A1273" t="inlineStr">
        <is>
          <t>S|FICO x CHANNEL|ranr_rate|p|6</t>
        </is>
      </c>
    </row>
    <row r="1274">
      <c r="A1274" t="inlineStr">
        <is>
          <t>S|FICO x CHANNEL|ranr_rate|v|7</t>
        </is>
      </c>
    </row>
    <row r="1275">
      <c r="A1275" t="inlineStr">
        <is>
          <t>S|FICO x CHANNEL|ranr_rate|p|7</t>
        </is>
      </c>
    </row>
    <row r="1276">
      <c r="A1276" t="inlineStr">
        <is>
          <t>S|FICO x CHANNEL|sum|5</t>
        </is>
      </c>
      <c r="B1276" t="inlineStr">
        <is>
          <t>Earned before losses</t>
        </is>
      </c>
      <c r="C1276" t="n">
        <v>15</v>
      </c>
      <c r="D1276" t="inlineStr">
        <is>
          <t>5 of 15</t>
        </is>
      </c>
      <c r="E1276" t="n">
        <v>0.25526352085259</v>
      </c>
      <c r="F1276" t="n">
        <v>0.2380200493567914</v>
      </c>
      <c r="G1276" t="inlineStr">
        <is>
          <t>pts</t>
        </is>
      </c>
      <c r="H1276" t="n">
        <v>0.2923707629237076</v>
      </c>
      <c r="L1276" t="inlineStr">
        <is>
          <t>not tested: dollar rate</t>
        </is>
      </c>
    </row>
    <row r="1277">
      <c r="A1277" t="inlineStr">
        <is>
          <t>S|FICO x CHANNEL|contribution_rate|meta</t>
        </is>
      </c>
      <c r="B1277" t="inlineStr">
        <is>
          <t>pts</t>
        </is>
      </c>
      <c r="C1277" t="n">
        <v>2.311910949</v>
      </c>
    </row>
    <row r="1278">
      <c r="A1278" t="inlineStr">
        <is>
          <t>S|FICO x CHANNEL|contribution_rate|v|1</t>
        </is>
      </c>
      <c r="B1278" t="n">
        <v>2.311910949</v>
      </c>
      <c r="C1278" t="n">
        <v>0.231501303</v>
      </c>
      <c r="D1278" t="n">
        <v>-0.793525319</v>
      </c>
    </row>
    <row r="1279">
      <c r="A1279" t="inlineStr">
        <is>
          <t>S|FICO x CHANNEL|contribution_rate|p|1</t>
        </is>
      </c>
      <c r="B1279" t="n">
        <v>0.4788271172882712</v>
      </c>
      <c r="C1279" t="n">
        <v>0.9564043595640436</v>
      </c>
      <c r="D1279" t="n">
        <v>0.8643635636436355</v>
      </c>
    </row>
    <row r="1280">
      <c r="A1280" t="inlineStr">
        <is>
          <t>S|FICO x CHANNEL|contribution_rate|v|2</t>
        </is>
      </c>
      <c r="B1280" t="n">
        <v>0.159009923</v>
      </c>
      <c r="C1280" t="n">
        <v>0.054325048</v>
      </c>
      <c r="D1280" t="n">
        <v>-0.073279254</v>
      </c>
    </row>
    <row r="1281">
      <c r="A1281" t="inlineStr">
        <is>
          <t>S|FICO x CHANNEL|contribution_rate|p|2</t>
        </is>
      </c>
      <c r="B1281" t="n">
        <v>0.9564043595640436</v>
      </c>
      <c r="C1281" t="n">
        <v>0.9564043595640436</v>
      </c>
      <c r="D1281" t="n">
        <v>0.9564043595640436</v>
      </c>
    </row>
    <row r="1282">
      <c r="A1282" t="inlineStr">
        <is>
          <t>S|FICO x CHANNEL|contribution_rate|v|3</t>
        </is>
      </c>
      <c r="B1282" t="n">
        <v>1.172585838</v>
      </c>
      <c r="C1282" t="n">
        <v>0.482896272</v>
      </c>
      <c r="D1282" t="n">
        <v>-0.944149688</v>
      </c>
    </row>
    <row r="1283">
      <c r="A1283" t="inlineStr">
        <is>
          <t>S|FICO x CHANNEL|contribution_rate|p|3</t>
        </is>
      </c>
      <c r="B1283" t="n">
        <v>0.4788271172882712</v>
      </c>
      <c r="C1283" t="n">
        <v>0.8643635636436355</v>
      </c>
      <c r="D1283" t="n">
        <v>0.7816718328167184</v>
      </c>
    </row>
    <row r="1284">
      <c r="A1284" t="inlineStr">
        <is>
          <t>S|FICO x CHANNEL|contribution_rate|v|4</t>
        </is>
      </c>
      <c r="B1284" t="n">
        <v>-0.732797417</v>
      </c>
      <c r="C1284" t="n">
        <v>1.026238704</v>
      </c>
      <c r="D1284" t="n">
        <v>-0.121014007</v>
      </c>
    </row>
    <row r="1285">
      <c r="A1285" t="inlineStr">
        <is>
          <t>S|FICO x CHANNEL|contribution_rate|p|4</t>
        </is>
      </c>
      <c r="B1285" t="n">
        <v>0.5579442055794421</v>
      </c>
      <c r="C1285" t="n">
        <v>0.4788271172882712</v>
      </c>
      <c r="D1285" t="n">
        <v>0.9564043595640436</v>
      </c>
    </row>
    <row r="1286">
      <c r="A1286" t="inlineStr">
        <is>
          <t>S|FICO x CHANNEL|contribution_rate|v|5</t>
        </is>
      </c>
      <c r="B1286" t="n">
        <v>0.166768863</v>
      </c>
      <c r="C1286" t="n">
        <v>0.892181244</v>
      </c>
      <c r="D1286" t="n">
        <v>0.258504672</v>
      </c>
    </row>
    <row r="1287">
      <c r="A1287" t="inlineStr">
        <is>
          <t>S|FICO x CHANNEL|contribution_rate|p|5</t>
        </is>
      </c>
      <c r="B1287" t="n">
        <v>0.8643635636436355</v>
      </c>
      <c r="C1287" t="n">
        <v>0.05249475052494751</v>
      </c>
      <c r="D1287" t="n">
        <v>0.8294170582941706</v>
      </c>
    </row>
    <row r="1288">
      <c r="A1288" t="inlineStr">
        <is>
          <t>S|FICO x CHANNEL|contribution_rate|v|6</t>
        </is>
      </c>
    </row>
    <row r="1289">
      <c r="A1289" t="inlineStr">
        <is>
          <t>S|FICO x CHANNEL|contribution_rate|p|6</t>
        </is>
      </c>
    </row>
    <row r="1290">
      <c r="A1290" t="inlineStr">
        <is>
          <t>S|FICO x CHANNEL|contribution_rate|v|7</t>
        </is>
      </c>
    </row>
    <row r="1291">
      <c r="A1291" t="inlineStr">
        <is>
          <t>S|FICO x CHANNEL|contribution_rate|p|7</t>
        </is>
      </c>
    </row>
    <row r="1292">
      <c r="A1292" t="inlineStr">
        <is>
          <t>S|FICO x ASSET_CLASS|chip</t>
        </is>
      </c>
      <c r="B1292" t="inlineStr">
        <is>
          <t>Holds FICO fixed</t>
        </is>
      </c>
      <c r="C1292" t="n">
        <v>1</v>
      </c>
      <c r="D1292" t="inlineStr">
        <is>
          <t>This grid holds FICO fixed (REV_DEBT's correlation with it: -0.53). It doesn't hold ORIG_BAL fixed (REV_DEBT's correlation with it: -0.02).</t>
        </is>
      </c>
    </row>
    <row r="1293">
      <c r="A1293" t="inlineStr">
        <is>
          <t>S|FICO x ASSET_CLASS|rows</t>
        </is>
      </c>
      <c r="B1293" t="inlineStr">
        <is>
          <t>496 - 653</t>
        </is>
      </c>
      <c r="C1293" t="inlineStr">
        <is>
          <t>654 - 685</t>
        </is>
      </c>
      <c r="D1293" t="inlineStr">
        <is>
          <t>686 - 711</t>
        </is>
      </c>
      <c r="E1293" t="inlineStr">
        <is>
          <t>712 - 745</t>
        </is>
      </c>
      <c r="F1293" t="inlineStr">
        <is>
          <t>746 - 921</t>
        </is>
      </c>
      <c r="G1293" t="inlineStr">
        <is>
          <t>(blank)</t>
        </is>
      </c>
      <c r="H1293" t="inlineStr">
        <is>
          <t>(marked missing)</t>
        </is>
      </c>
    </row>
    <row r="1294">
      <c r="A1294" t="inlineStr">
        <is>
          <t>S|FICO x ASSET_CLASS|cols</t>
        </is>
      </c>
      <c r="B1294" t="inlineStr">
        <is>
          <t>1</t>
        </is>
      </c>
      <c r="C1294" t="inlineStr">
        <is>
          <t>2</t>
        </is>
      </c>
      <c r="D1294" t="inlineStr">
        <is>
          <t>3</t>
        </is>
      </c>
      <c r="E1294" t="inlineStr">
        <is>
          <t>4</t>
        </is>
      </c>
    </row>
    <row r="1295">
      <c r="A1295" t="inlineStr">
        <is>
          <t>S|FICO x ASSET_CLASS|sum|1</t>
        </is>
      </c>
      <c r="B1295" t="inlineStr">
        <is>
          <t>Bad loans</t>
        </is>
      </c>
      <c r="C1295" t="n">
        <v>20</v>
      </c>
      <c r="D1295" t="inlineStr">
        <is>
          <t>19 of 20</t>
        </is>
      </c>
      <c r="E1295" t="n">
        <v>1.988828784793321</v>
      </c>
      <c r="F1295" t="n">
        <v>0.1158934612035807</v>
      </c>
      <c r="G1295" t="inlineStr">
        <is>
          <t>x</t>
        </is>
      </c>
      <c r="H1295" t="n">
        <v>1.435627385604294e-17</v>
      </c>
      <c r="I1295" t="n">
        <v>2.140255061185253</v>
      </c>
      <c r="J1295" t="n">
        <v>7.313444762252427e-18</v>
      </c>
      <c r="K1295" t="n">
        <v>0.5593017242731861</v>
      </c>
    </row>
    <row r="1296">
      <c r="A1296" t="inlineStr">
        <is>
          <t>S|FICO x ASSET_CLASS|outcome_loans|meta</t>
        </is>
      </c>
      <c r="B1296" t="inlineStr">
        <is>
          <t>x</t>
        </is>
      </c>
      <c r="C1296" t="n">
        <v>4</v>
      </c>
    </row>
    <row r="1297">
      <c r="A1297" t="inlineStr">
        <is>
          <t>S|FICO x ASSET_CLASS|outcome_loans|v|1</t>
        </is>
      </c>
      <c r="B1297" t="n">
        <v>3.071428571428571</v>
      </c>
      <c r="C1297" t="n">
        <v>1.923519458544839</v>
      </c>
      <c r="D1297" t="n">
        <v>1.944444444444445</v>
      </c>
      <c r="E1297" t="n">
        <v>2.076923076923077</v>
      </c>
    </row>
    <row r="1298">
      <c r="A1298" t="inlineStr">
        <is>
          <t>S|FICO x ASSET_CLASS|outcome_loans|p|1</t>
        </is>
      </c>
      <c r="B1298" t="n">
        <v>0.0007200872900120622</v>
      </c>
      <c r="C1298" t="n">
        <v>0.05844150221548819</v>
      </c>
      <c r="D1298" t="n">
        <v>0.03670121295310715</v>
      </c>
      <c r="E1298" t="n">
        <v>0.004498576805593726</v>
      </c>
    </row>
    <row r="1299">
      <c r="A1299" t="inlineStr">
        <is>
          <t>S|FICO x ASSET_CLASS|outcome_loans|v|2</t>
        </is>
      </c>
      <c r="B1299" t="n">
        <v>2.763888888888889</v>
      </c>
      <c r="C1299" t="n">
        <v>3.218079096045198</v>
      </c>
      <c r="D1299" t="n">
        <v>1.591755319148936</v>
      </c>
      <c r="E1299" t="n">
        <v>1.666666666666667</v>
      </c>
    </row>
    <row r="1300">
      <c r="A1300" t="inlineStr">
        <is>
          <t>S|FICO x ASSET_CLASS|outcome_loans|p|2</t>
        </is>
      </c>
      <c r="B1300" t="n">
        <v>0.03008710830303832</v>
      </c>
      <c r="C1300" t="n">
        <v>0.03670121295310715</v>
      </c>
      <c r="D1300" t="n">
        <v>0.3070895513164122</v>
      </c>
      <c r="E1300" t="n">
        <v>0.1186978713619715</v>
      </c>
    </row>
    <row r="1301">
      <c r="A1301" t="inlineStr">
        <is>
          <t>S|FICO x ASSET_CLASS|outcome_loans|v|3</t>
        </is>
      </c>
      <c r="B1301" t="n">
        <v>4</v>
      </c>
      <c r="C1301" t="n">
        <v>1.00507614213198</v>
      </c>
      <c r="D1301" t="n">
        <v>3.5</v>
      </c>
      <c r="E1301" t="n">
        <v>2.311330049261084</v>
      </c>
    </row>
    <row r="1302">
      <c r="A1302" t="inlineStr">
        <is>
          <t>S|FICO x ASSET_CLASS|outcome_loans|p|3</t>
        </is>
      </c>
      <c r="B1302" t="n">
        <v>0.02903737774739866</v>
      </c>
      <c r="C1302" t="n">
        <v>0.9917514890405433</v>
      </c>
      <c r="D1302" t="n">
        <v>0.01843124246700526</v>
      </c>
      <c r="E1302" t="n">
        <v>0.04381665178608417</v>
      </c>
    </row>
    <row r="1303">
      <c r="A1303" t="inlineStr">
        <is>
          <t>S|FICO x ASSET_CLASS|outcome_loans|v|4</t>
        </is>
      </c>
      <c r="B1303" t="n">
        <v>1.608888888888889</v>
      </c>
      <c r="C1303" t="n">
        <v>1.227906976744186</v>
      </c>
      <c r="D1303" t="n">
        <v>1.375</v>
      </c>
      <c r="E1303" t="n">
        <v>1.507042253521127</v>
      </c>
    </row>
    <row r="1304">
      <c r="A1304" t="inlineStr">
        <is>
          <t>S|FICO x ASSET_CLASS|outcome_loans|p|4</t>
        </is>
      </c>
      <c r="B1304" t="n">
        <v>0.5214662492669693</v>
      </c>
      <c r="C1304" t="n">
        <v>0.710401149007723</v>
      </c>
      <c r="D1304" t="n">
        <v>0.565250230433251</v>
      </c>
      <c r="E1304" t="n">
        <v>0.3254289500042237</v>
      </c>
    </row>
    <row r="1305">
      <c r="A1305" t="inlineStr">
        <is>
          <t>S|FICO x ASSET_CLASS|outcome_loans|v|5</t>
        </is>
      </c>
      <c r="B1305" t="n">
        <v>0.875</v>
      </c>
      <c r="C1305" t="n">
        <v>3.015075376884422</v>
      </c>
      <c r="D1305" t="n">
        <v>1.675347222222222</v>
      </c>
      <c r="E1305" t="n">
        <v>1.508064516129032</v>
      </c>
    </row>
    <row r="1306">
      <c r="A1306" t="inlineStr">
        <is>
          <t>S|FICO x ASSET_CLASS|outcome_loans|p|5</t>
        </is>
      </c>
      <c r="B1306" t="n">
        <v>0.8342577021612321</v>
      </c>
      <c r="C1306" t="n">
        <v>0.08041967100885238</v>
      </c>
      <c r="D1306" t="n">
        <v>0.4314873533710765</v>
      </c>
      <c r="E1306" t="n">
        <v>0.5287269701902589</v>
      </c>
    </row>
    <row r="1307">
      <c r="A1307" t="inlineStr">
        <is>
          <t>S|FICO x ASSET_CLASS|outcome_loans|v|6</t>
        </is>
      </c>
    </row>
    <row r="1308">
      <c r="A1308" t="inlineStr">
        <is>
          <t>S|FICO x ASSET_CLASS|outcome_loans|p|6</t>
        </is>
      </c>
    </row>
    <row r="1309">
      <c r="A1309" t="inlineStr">
        <is>
          <t>S|FICO x ASSET_CLASS|outcome_loans|v|7</t>
        </is>
      </c>
    </row>
    <row r="1310">
      <c r="A1310" t="inlineStr">
        <is>
          <t>S|FICO x ASSET_CLASS|outcome_loans|p|7</t>
        </is>
      </c>
    </row>
    <row r="1311">
      <c r="A1311" t="inlineStr">
        <is>
          <t>S|FICO x ASSET_CLASS|sum|2</t>
        </is>
      </c>
      <c r="B1311" t="inlineStr">
        <is>
          <t>Bad dollars</t>
        </is>
      </c>
      <c r="C1311" t="n">
        <v>20</v>
      </c>
      <c r="D1311" t="inlineStr">
        <is>
          <t>19 of 20</t>
        </is>
      </c>
      <c r="E1311" t="n">
        <v>2.074909727596779</v>
      </c>
      <c r="F1311" t="n">
        <v>0.1334769245819931</v>
      </c>
      <c r="G1311" t="inlineStr">
        <is>
          <t>x</t>
        </is>
      </c>
      <c r="H1311" t="n">
        <v>9.999000099990002e-05</v>
      </c>
      <c r="L1311" t="inlineStr">
        <is>
          <t>not tested: dollar rate</t>
        </is>
      </c>
    </row>
    <row r="1312">
      <c r="A1312" t="inlineStr">
        <is>
          <t>S|FICO x ASSET_CLASS|outcome_booked|meta</t>
        </is>
      </c>
      <c r="B1312" t="inlineStr">
        <is>
          <t>x</t>
        </is>
      </c>
      <c r="C1312" t="n">
        <v>5.378498556850761</v>
      </c>
    </row>
    <row r="1313">
      <c r="A1313" t="inlineStr">
        <is>
          <t>S|FICO x ASSET_CLASS|outcome_booked|v|1</t>
        </is>
      </c>
      <c r="B1313" t="n">
        <v>2.166061675944702</v>
      </c>
      <c r="C1313" t="n">
        <v>1.79540325976972</v>
      </c>
      <c r="D1313" t="n">
        <v>2.069493999703971</v>
      </c>
      <c r="E1313" t="n">
        <v>2.108893226444141</v>
      </c>
    </row>
    <row r="1314">
      <c r="A1314" t="inlineStr">
        <is>
          <t>S|FICO x ASSET_CLASS|outcome_booked|p|1</t>
        </is>
      </c>
      <c r="B1314" t="n">
        <v>0.03099690030996901</v>
      </c>
      <c r="C1314" t="n">
        <v>0.129259801292598</v>
      </c>
      <c r="D1314" t="n">
        <v>0.035996400359964</v>
      </c>
      <c r="E1314" t="n">
        <v>0.017998200179982</v>
      </c>
    </row>
    <row r="1315">
      <c r="A1315" t="inlineStr">
        <is>
          <t>S|FICO x ASSET_CLASS|outcome_booked|v|2</t>
        </is>
      </c>
      <c r="B1315" t="n">
        <v>3.488172382613637</v>
      </c>
      <c r="C1315" t="n">
        <v>5.378498556850761</v>
      </c>
      <c r="D1315" t="n">
        <v>1.542354822662216</v>
      </c>
      <c r="E1315" t="n">
        <v>2.300386962946007</v>
      </c>
    </row>
    <row r="1316">
      <c r="A1316" t="inlineStr">
        <is>
          <t>S|FICO x ASSET_CLASS|outcome_booked|p|2</t>
        </is>
      </c>
      <c r="B1316" t="n">
        <v>0.02199780021997801</v>
      </c>
      <c r="C1316" t="n">
        <v>0.021331200213312</v>
      </c>
      <c r="D1316" t="n">
        <v>0.3642492893567786</v>
      </c>
      <c r="E1316" t="n">
        <v>0.03099690030996901</v>
      </c>
    </row>
    <row r="1317">
      <c r="A1317" t="inlineStr">
        <is>
          <t>S|FICO x ASSET_CLASS|outcome_booked|v|3</t>
        </is>
      </c>
      <c r="B1317" t="n">
        <v>3.664138249188353</v>
      </c>
      <c r="C1317" t="n">
        <v>1.026153448190504</v>
      </c>
      <c r="D1317" t="n">
        <v>3.112388153818426</v>
      </c>
      <c r="E1317" t="n">
        <v>3.233132730913857</v>
      </c>
    </row>
    <row r="1318">
      <c r="A1318" t="inlineStr">
        <is>
          <t>S|FICO x ASSET_CLASS|outcome_booked|p|3</t>
        </is>
      </c>
      <c r="B1318" t="n">
        <v>0.035996400359964</v>
      </c>
      <c r="C1318" t="n">
        <v>0.9645035496450355</v>
      </c>
      <c r="D1318" t="n">
        <v>0.03777400037774</v>
      </c>
      <c r="E1318" t="n">
        <v>0.021331200213312</v>
      </c>
    </row>
    <row r="1319">
      <c r="A1319" t="inlineStr">
        <is>
          <t>S|FICO x ASSET_CLASS|outcome_booked|v|4</t>
        </is>
      </c>
      <c r="B1319" t="n">
        <v>1.775825650950306</v>
      </c>
      <c r="C1319" t="n">
        <v>1.188924309093781</v>
      </c>
      <c r="D1319" t="n">
        <v>2.172290986406012</v>
      </c>
      <c r="E1319" t="n">
        <v>1.787614157195644</v>
      </c>
    </row>
    <row r="1320">
      <c r="A1320" t="inlineStr">
        <is>
          <t>S|FICO x ASSET_CLASS|outcome_booked|p|4</t>
        </is>
      </c>
      <c r="B1320" t="n">
        <v>0.4936839649368396</v>
      </c>
      <c r="C1320" t="n">
        <v>0.8109189081091891</v>
      </c>
      <c r="D1320" t="n">
        <v>0.2216701406782399</v>
      </c>
      <c r="E1320" t="n">
        <v>0.1894810518948105</v>
      </c>
    </row>
    <row r="1321">
      <c r="A1321" t="inlineStr">
        <is>
          <t>S|FICO x ASSET_CLASS|outcome_booked|v|5</t>
        </is>
      </c>
      <c r="B1321" t="n">
        <v>0.7043040997078243</v>
      </c>
      <c r="C1321" t="n">
        <v>3.728423284762105</v>
      </c>
      <c r="D1321" t="n">
        <v>1.113474045991105</v>
      </c>
      <c r="E1321" t="n">
        <v>1.563666745009654</v>
      </c>
    </row>
    <row r="1322">
      <c r="A1322" t="inlineStr">
        <is>
          <t>S|FICO x ASSET_CLASS|outcome_booked|p|5</t>
        </is>
      </c>
      <c r="B1322" t="n">
        <v>0.6357011357687761</v>
      </c>
      <c r="C1322" t="n">
        <v>0.0591940805919408</v>
      </c>
      <c r="D1322" t="n">
        <v>0.8949631352654208</v>
      </c>
      <c r="E1322" t="n">
        <v>0.5768173182681732</v>
      </c>
    </row>
    <row r="1323">
      <c r="A1323" t="inlineStr">
        <is>
          <t>S|FICO x ASSET_CLASS|outcome_booked|v|6</t>
        </is>
      </c>
    </row>
    <row r="1324">
      <c r="A1324" t="inlineStr">
        <is>
          <t>S|FICO x ASSET_CLASS|outcome_booked|p|6</t>
        </is>
      </c>
    </row>
    <row r="1325">
      <c r="A1325" t="inlineStr">
        <is>
          <t>S|FICO x ASSET_CLASS|outcome_booked|v|7</t>
        </is>
      </c>
    </row>
    <row r="1326">
      <c r="A1326" t="inlineStr">
        <is>
          <t>S|FICO x ASSET_CLASS|outcome_booked|p|7</t>
        </is>
      </c>
    </row>
    <row r="1327">
      <c r="A1327" t="inlineStr">
        <is>
          <t>S|FICO x ASSET_CLASS|sum|3</t>
        </is>
      </c>
      <c r="B1327" t="inlineStr">
        <is>
          <t>Charge-offs</t>
        </is>
      </c>
      <c r="C1327" t="n">
        <v>20</v>
      </c>
      <c r="D1327" t="inlineStr">
        <is>
          <t>17 of 20</t>
        </is>
      </c>
      <c r="E1327" t="n">
        <v>2.063583214395868</v>
      </c>
      <c r="F1327" t="n">
        <v>0.1375091506822468</v>
      </c>
      <c r="G1327" t="inlineStr">
        <is>
          <t>x</t>
        </is>
      </c>
      <c r="H1327" t="n">
        <v>9.999000099990002e-05</v>
      </c>
      <c r="L1327" t="inlineStr">
        <is>
          <t>not tested: dollar rate</t>
        </is>
      </c>
    </row>
    <row r="1328">
      <c r="A1328" t="inlineStr">
        <is>
          <t>S|FICO x ASSET_CLASS|gco_rate|meta</t>
        </is>
      </c>
      <c r="B1328" t="inlineStr">
        <is>
          <t>x</t>
        </is>
      </c>
      <c r="C1328" t="n">
        <v>5.33448111333087</v>
      </c>
    </row>
    <row r="1329">
      <c r="A1329" t="inlineStr">
        <is>
          <t>S|FICO x ASSET_CLASS|gco_rate|v|1</t>
        </is>
      </c>
      <c r="B1329" t="n">
        <v>2.071586939798578</v>
      </c>
      <c r="C1329" t="n">
        <v>1.979481057408103</v>
      </c>
      <c r="D1329" t="n">
        <v>1.963611976556267</v>
      </c>
      <c r="E1329" t="n">
        <v>2.049076581336151</v>
      </c>
    </row>
    <row r="1330">
      <c r="A1330" t="inlineStr">
        <is>
          <t>S|FICO x ASSET_CLASS|gco_rate|p|1</t>
        </is>
      </c>
      <c r="B1330" t="n">
        <v>0.04742382904566685</v>
      </c>
      <c r="C1330" t="n">
        <v>0.09679032096790322</v>
      </c>
      <c r="D1330" t="n">
        <v>0.06299370062993701</v>
      </c>
      <c r="E1330" t="n">
        <v>0.021997800219978</v>
      </c>
    </row>
    <row r="1331">
      <c r="A1331" t="inlineStr">
        <is>
          <t>S|FICO x ASSET_CLASS|gco_rate|v|2</t>
        </is>
      </c>
      <c r="B1331" t="n">
        <v>3.020509247038869</v>
      </c>
      <c r="C1331" t="n">
        <v>5.33448111333087</v>
      </c>
      <c r="D1331" t="n">
        <v>1.673277539391525</v>
      </c>
      <c r="E1331" t="n">
        <v>1.932963950043307</v>
      </c>
    </row>
    <row r="1332">
      <c r="A1332" t="inlineStr">
        <is>
          <t>S|FICO x ASSET_CLASS|gco_rate|p|2</t>
        </is>
      </c>
      <c r="B1332" t="n">
        <v>0.04742382904566685</v>
      </c>
      <c r="C1332" t="n">
        <v>0.021997800219978</v>
      </c>
      <c r="D1332" t="n">
        <v>0.2890480182750956</v>
      </c>
      <c r="E1332" t="n">
        <v>0.09679032096790322</v>
      </c>
    </row>
    <row r="1333">
      <c r="A1333" t="inlineStr">
        <is>
          <t>S|FICO x ASSET_CLASS|gco_rate|v|3</t>
        </is>
      </c>
      <c r="B1333" t="n">
        <v>4.640573960874494</v>
      </c>
      <c r="C1333" t="n">
        <v>0.9291469585097325</v>
      </c>
      <c r="D1333" t="n">
        <v>3.881754008891695</v>
      </c>
      <c r="E1333" t="n">
        <v>3.45620267409265</v>
      </c>
    </row>
    <row r="1334">
      <c r="A1334" t="inlineStr">
        <is>
          <t>S|FICO x ASSET_CLASS|gco_rate|p|3</t>
        </is>
      </c>
      <c r="B1334" t="n">
        <v>0.0295970402959704</v>
      </c>
      <c r="C1334" t="n">
        <v>0.9512732937232592</v>
      </c>
      <c r="D1334" t="n">
        <v>0.0295970402959704</v>
      </c>
      <c r="E1334" t="n">
        <v>0.021997800219978</v>
      </c>
    </row>
    <row r="1335">
      <c r="A1335" t="inlineStr">
        <is>
          <t>S|FICO x ASSET_CLASS|gco_rate|v|4</t>
        </is>
      </c>
      <c r="B1335" t="n">
        <v>2.172683649451671</v>
      </c>
      <c r="C1335" t="n">
        <v>0.9733291827396774</v>
      </c>
      <c r="D1335" t="n">
        <v>1.620353559403515</v>
      </c>
      <c r="E1335" t="n">
        <v>1.889879959811998</v>
      </c>
    </row>
    <row r="1336">
      <c r="A1336" t="inlineStr">
        <is>
          <t>S|FICO x ASSET_CLASS|gco_rate|p|4</t>
        </is>
      </c>
      <c r="B1336" t="n">
        <v>0.3626780179124944</v>
      </c>
      <c r="C1336" t="n">
        <v>0.9606039396060394</v>
      </c>
      <c r="D1336" t="n">
        <v>0.4273322667733226</v>
      </c>
      <c r="E1336" t="n">
        <v>0.157317601573176</v>
      </c>
    </row>
    <row r="1337">
      <c r="A1337" t="inlineStr">
        <is>
          <t>S|FICO x ASSET_CLASS|gco_rate|v|5</t>
        </is>
      </c>
      <c r="B1337" t="n">
        <v>0.7873724803561184</v>
      </c>
      <c r="C1337" t="n">
        <v>3.07618848208327</v>
      </c>
      <c r="D1337" t="n">
        <v>1.211914384988608</v>
      </c>
      <c r="E1337" t="n">
        <v>1.942966523358816</v>
      </c>
    </row>
    <row r="1338">
      <c r="A1338" t="inlineStr">
        <is>
          <t>S|FICO x ASSET_CLASS|gco_rate|p|5</t>
        </is>
      </c>
      <c r="B1338" t="n">
        <v>0.8005081844756701</v>
      </c>
      <c r="C1338" t="n">
        <v>0.104171401041714</v>
      </c>
      <c r="D1338" t="n">
        <v>0.826361808263618</v>
      </c>
      <c r="E1338" t="n">
        <v>0.3823617638236177</v>
      </c>
    </row>
    <row r="1339">
      <c r="A1339" t="inlineStr">
        <is>
          <t>S|FICO x ASSET_CLASS|gco_rate|v|6</t>
        </is>
      </c>
    </row>
    <row r="1340">
      <c r="A1340" t="inlineStr">
        <is>
          <t>S|FICO x ASSET_CLASS|gco_rate|p|6</t>
        </is>
      </c>
    </row>
    <row r="1341">
      <c r="A1341" t="inlineStr">
        <is>
          <t>S|FICO x ASSET_CLASS|gco_rate|v|7</t>
        </is>
      </c>
    </row>
    <row r="1342">
      <c r="A1342" t="inlineStr">
        <is>
          <t>S|FICO x ASSET_CLASS|gco_rate|p|7</t>
        </is>
      </c>
    </row>
    <row r="1343">
      <c r="A1343" t="inlineStr">
        <is>
          <t>S|FICO x ASSET_CLASS|sum|4</t>
        </is>
      </c>
      <c r="B1343" t="inlineStr">
        <is>
          <t>Kept after losses</t>
        </is>
      </c>
      <c r="C1343" t="n">
        <v>20</v>
      </c>
      <c r="D1343" t="inlineStr">
        <is>
          <t>16 of 20</t>
        </is>
      </c>
      <c r="E1343" t="n">
        <v>-2.512375397438543</v>
      </c>
      <c r="F1343" t="n">
        <v>0.4428724052719103</v>
      </c>
      <c r="G1343" t="inlineStr">
        <is>
          <t>pts</t>
        </is>
      </c>
      <c r="H1343" t="n">
        <v>9.999000099990002e-05</v>
      </c>
      <c r="L1343" t="inlineStr">
        <is>
          <t>not tested: dollar rate</t>
        </is>
      </c>
    </row>
    <row r="1344">
      <c r="A1344" t="inlineStr">
        <is>
          <t>S|FICO x ASSET_CLASS|ranr_rate|meta</t>
        </is>
      </c>
      <c r="B1344" t="inlineStr">
        <is>
          <t>pts</t>
        </is>
      </c>
      <c r="C1344" t="n">
        <v>7.060948817</v>
      </c>
    </row>
    <row r="1345">
      <c r="A1345" t="inlineStr">
        <is>
          <t>S|FICO x ASSET_CLASS|ranr_rate|v|1</t>
        </is>
      </c>
      <c r="B1345" t="n">
        <v>-3.644764901</v>
      </c>
      <c r="C1345" t="n">
        <v>-4.247462031</v>
      </c>
      <c r="D1345" t="n">
        <v>-7.060948817</v>
      </c>
      <c r="E1345" t="n">
        <v>-5.160804708</v>
      </c>
    </row>
    <row r="1346">
      <c r="A1346" t="inlineStr">
        <is>
          <t>S|FICO x ASSET_CLASS|ranr_rate|p|1</t>
        </is>
      </c>
      <c r="B1346" t="n">
        <v>0.2838049528380495</v>
      </c>
      <c r="C1346" t="n">
        <v>0.210645602106456</v>
      </c>
      <c r="D1346" t="n">
        <v>0.113988601139886</v>
      </c>
      <c r="E1346" t="n">
        <v>0.210645602106456</v>
      </c>
    </row>
    <row r="1347">
      <c r="A1347" t="inlineStr">
        <is>
          <t>S|FICO x ASSET_CLASS|ranr_rate|v|2</t>
        </is>
      </c>
      <c r="B1347" t="n">
        <v>-4.462202336</v>
      </c>
      <c r="C1347" t="n">
        <v>-4.11552327</v>
      </c>
      <c r="D1347" t="n">
        <v>-1.801962063</v>
      </c>
      <c r="E1347" t="n">
        <v>-3.426098101</v>
      </c>
    </row>
    <row r="1348">
      <c r="A1348" t="inlineStr">
        <is>
          <t>S|FICO x ASSET_CLASS|ranr_rate|p|2</t>
        </is>
      </c>
      <c r="B1348" t="n">
        <v>0.113988601139886</v>
      </c>
      <c r="C1348" t="n">
        <v>0.1967803219678032</v>
      </c>
      <c r="D1348" t="n">
        <v>0.5864746858647469</v>
      </c>
      <c r="E1348" t="n">
        <v>0.2633736626337366</v>
      </c>
    </row>
    <row r="1349">
      <c r="A1349" t="inlineStr">
        <is>
          <t>S|FICO x ASSET_CLASS|ranr_rate|v|3</t>
        </is>
      </c>
      <c r="B1349" t="n">
        <v>-3.572895861</v>
      </c>
      <c r="C1349" t="n">
        <v>0.369719642</v>
      </c>
      <c r="D1349" t="n">
        <v>-3.833662026</v>
      </c>
      <c r="E1349" t="n">
        <v>-4.422516845</v>
      </c>
    </row>
    <row r="1350">
      <c r="A1350" t="inlineStr">
        <is>
          <t>S|FICO x ASSET_CLASS|ranr_rate|p|3</t>
        </is>
      </c>
      <c r="B1350" t="n">
        <v>0.210645602106456</v>
      </c>
      <c r="C1350" t="n">
        <v>0.7995200479952005</v>
      </c>
      <c r="D1350" t="n">
        <v>0.1654834516548345</v>
      </c>
      <c r="E1350" t="n">
        <v>0.113988601139886</v>
      </c>
    </row>
    <row r="1351">
      <c r="A1351" t="inlineStr">
        <is>
          <t>S|FICO x ASSET_CLASS|ranr_rate|v|4</t>
        </is>
      </c>
      <c r="B1351" t="n">
        <v>-1.363079506</v>
      </c>
      <c r="C1351" t="n">
        <v>0.481430313</v>
      </c>
      <c r="D1351" t="n">
        <v>-0.377729855</v>
      </c>
      <c r="E1351" t="n">
        <v>-2.70184872</v>
      </c>
    </row>
    <row r="1352">
      <c r="A1352" t="inlineStr">
        <is>
          <t>S|FICO x ASSET_CLASS|ranr_rate|p|4</t>
        </is>
      </c>
      <c r="B1352" t="n">
        <v>0.5864746858647469</v>
      </c>
      <c r="C1352" t="n">
        <v>0.7995200479952005</v>
      </c>
      <c r="D1352" t="n">
        <v>0.7995200479952005</v>
      </c>
      <c r="E1352" t="n">
        <v>0.272700002727</v>
      </c>
    </row>
    <row r="1353">
      <c r="A1353" t="inlineStr">
        <is>
          <t>S|FICO x ASSET_CLASS|ranr_rate|v|5</t>
        </is>
      </c>
      <c r="B1353" t="n">
        <v>0.937882521</v>
      </c>
      <c r="C1353" t="n">
        <v>-2.576128551</v>
      </c>
      <c r="D1353" t="n">
        <v>0.483706262</v>
      </c>
      <c r="E1353" t="n">
        <v>-0.624638424</v>
      </c>
    </row>
    <row r="1354">
      <c r="A1354" t="inlineStr">
        <is>
          <t>S|FICO x ASSET_CLASS|ranr_rate|p|5</t>
        </is>
      </c>
      <c r="B1354" t="n">
        <v>0.5864746858647469</v>
      </c>
      <c r="C1354" t="n">
        <v>0.204979502049795</v>
      </c>
      <c r="D1354" t="n">
        <v>0.759571101713358</v>
      </c>
      <c r="E1354" t="n">
        <v>0.7078042195780422</v>
      </c>
    </row>
    <row r="1355">
      <c r="A1355" t="inlineStr">
        <is>
          <t>S|FICO x ASSET_CLASS|ranr_rate|v|6</t>
        </is>
      </c>
    </row>
    <row r="1356">
      <c r="A1356" t="inlineStr">
        <is>
          <t>S|FICO x ASSET_CLASS|ranr_rate|p|6</t>
        </is>
      </c>
    </row>
    <row r="1357">
      <c r="A1357" t="inlineStr">
        <is>
          <t>S|FICO x ASSET_CLASS|ranr_rate|v|7</t>
        </is>
      </c>
    </row>
    <row r="1358">
      <c r="A1358" t="inlineStr">
        <is>
          <t>S|FICO x ASSET_CLASS|ranr_rate|p|7</t>
        </is>
      </c>
    </row>
    <row r="1359">
      <c r="A1359" t="inlineStr">
        <is>
          <t>S|FICO x ASSET_CLASS|sum|5</t>
        </is>
      </c>
      <c r="B1359" t="inlineStr">
        <is>
          <t>Earned before losses</t>
        </is>
      </c>
      <c r="C1359" t="n">
        <v>20</v>
      </c>
      <c r="D1359" t="inlineStr">
        <is>
          <t>5 of 20</t>
        </is>
      </c>
      <c r="E1359" t="n">
        <v>0.4034783141030177</v>
      </c>
      <c r="F1359" t="n">
        <v>0.2415797251743257</v>
      </c>
      <c r="G1359" t="inlineStr">
        <is>
          <t>pts</t>
        </is>
      </c>
      <c r="H1359" t="n">
        <v>0.0993900609939006</v>
      </c>
      <c r="L1359" t="inlineStr">
        <is>
          <t>not tested: dollar rate</t>
        </is>
      </c>
    </row>
    <row r="1360">
      <c r="A1360" t="inlineStr">
        <is>
          <t>S|FICO x ASSET_CLASS|contribution_rate|meta</t>
        </is>
      </c>
      <c r="B1360" t="inlineStr">
        <is>
          <t>pts</t>
        </is>
      </c>
      <c r="C1360" t="n">
        <v>3.328766073</v>
      </c>
    </row>
    <row r="1361">
      <c r="A1361" t="inlineStr">
        <is>
          <t>S|FICO x ASSET_CLASS|contribution_rate|v|1</t>
        </is>
      </c>
      <c r="B1361" t="n">
        <v>1.570994634</v>
      </c>
      <c r="C1361" t="n">
        <v>-0.315214104</v>
      </c>
      <c r="D1361" t="n">
        <v>-1.80689241</v>
      </c>
      <c r="E1361" t="n">
        <v>3.328766073</v>
      </c>
    </row>
    <row r="1362">
      <c r="A1362" t="inlineStr">
        <is>
          <t>S|FICO x ASSET_CLASS|contribution_rate|p|1</t>
        </is>
      </c>
      <c r="B1362" t="n">
        <v>0.8755124487551245</v>
      </c>
      <c r="C1362" t="n">
        <v>0.8755124487551245</v>
      </c>
      <c r="D1362" t="n">
        <v>0.8755124487551245</v>
      </c>
      <c r="E1362" t="n">
        <v>0.4199580041995801</v>
      </c>
    </row>
    <row r="1363">
      <c r="A1363" t="inlineStr">
        <is>
          <t>S|FICO x ASSET_CLASS|contribution_rate|v|2</t>
        </is>
      </c>
      <c r="B1363" t="n">
        <v>-1.135610217</v>
      </c>
      <c r="C1363" t="n">
        <v>0.394308129</v>
      </c>
      <c r="D1363" t="n">
        <v>0.690401631</v>
      </c>
      <c r="E1363" t="n">
        <v>0.705176704</v>
      </c>
    </row>
    <row r="1364">
      <c r="A1364" t="inlineStr">
        <is>
          <t>S|FICO x ASSET_CLASS|contribution_rate|p|2</t>
        </is>
      </c>
      <c r="B1364" t="n">
        <v>0.8755124487551245</v>
      </c>
      <c r="C1364" t="n">
        <v>0.8755124487551245</v>
      </c>
      <c r="D1364" t="n">
        <v>0.8755124487551245</v>
      </c>
      <c r="E1364" t="n">
        <v>0.8755124487551245</v>
      </c>
    </row>
    <row r="1365">
      <c r="A1365" t="inlineStr">
        <is>
          <t>S|FICO x ASSET_CLASS|contribution_rate|v|3</t>
        </is>
      </c>
      <c r="B1365" t="n">
        <v>0.9232556159999999</v>
      </c>
      <c r="C1365" t="n">
        <v>0.232258727</v>
      </c>
      <c r="D1365" t="n">
        <v>0.197006805</v>
      </c>
      <c r="E1365" t="n">
        <v>-0.159687827</v>
      </c>
    </row>
    <row r="1366">
      <c r="A1366" t="inlineStr">
        <is>
          <t>S|FICO x ASSET_CLASS|contribution_rate|p|3</t>
        </is>
      </c>
      <c r="B1366" t="n">
        <v>0.8755124487551245</v>
      </c>
      <c r="C1366" t="n">
        <v>0.8755124487551245</v>
      </c>
      <c r="D1366" t="n">
        <v>0.8755124487551245</v>
      </c>
      <c r="E1366" t="n">
        <v>0.8755124487551245</v>
      </c>
    </row>
    <row r="1367">
      <c r="A1367" t="inlineStr">
        <is>
          <t>S|FICO x ASSET_CLASS|contribution_rate|v|4</t>
        </is>
      </c>
      <c r="B1367" t="n">
        <v>0.476553276</v>
      </c>
      <c r="C1367" t="n">
        <v>0.410233215</v>
      </c>
      <c r="D1367" t="n">
        <v>0.720398947</v>
      </c>
      <c r="E1367" t="n">
        <v>0.149315555</v>
      </c>
    </row>
    <row r="1368">
      <c r="A1368" t="inlineStr">
        <is>
          <t>S|FICO x ASSET_CLASS|contribution_rate|p|4</t>
        </is>
      </c>
      <c r="B1368" t="n">
        <v>0.8755124487551245</v>
      </c>
      <c r="C1368" t="n">
        <v>0.8755124487551245</v>
      </c>
      <c r="D1368" t="n">
        <v>0.8755124487551245</v>
      </c>
      <c r="E1368" t="n">
        <v>0.8755124487551245</v>
      </c>
    </row>
    <row r="1369">
      <c r="A1369" t="inlineStr">
        <is>
          <t>S|FICO x ASSET_CLASS|contribution_rate|v|5</t>
        </is>
      </c>
      <c r="B1369" t="n">
        <v>0.497815237</v>
      </c>
      <c r="C1369" t="n">
        <v>-0.131759105</v>
      </c>
      <c r="D1369" t="n">
        <v>0.807039638</v>
      </c>
      <c r="E1369" t="n">
        <v>0.518327285</v>
      </c>
    </row>
    <row r="1370">
      <c r="A1370" t="inlineStr">
        <is>
          <t>S|FICO x ASSET_CLASS|contribution_rate|p|5</t>
        </is>
      </c>
      <c r="B1370" t="n">
        <v>0.787921207879212</v>
      </c>
      <c r="C1370" t="n">
        <v>0.8755124487551245</v>
      </c>
      <c r="D1370" t="n">
        <v>0.335966403359664</v>
      </c>
      <c r="E1370" t="n">
        <v>0.787921207879212</v>
      </c>
    </row>
    <row r="1371">
      <c r="A1371" t="inlineStr">
        <is>
          <t>S|FICO x ASSET_CLASS|contribution_rate|v|6</t>
        </is>
      </c>
    </row>
    <row r="1372">
      <c r="A1372" t="inlineStr">
        <is>
          <t>S|FICO x ASSET_CLASS|contribution_rate|p|6</t>
        </is>
      </c>
    </row>
    <row r="1373">
      <c r="A1373" t="inlineStr">
        <is>
          <t>S|FICO x ASSET_CLASS|contribution_rate|v|7</t>
        </is>
      </c>
    </row>
    <row r="1374">
      <c r="A1374" t="inlineStr">
        <is>
          <t>S|FICO x ASSET_CLASS|contribution_rate|p|7</t>
        </is>
      </c>
    </row>
    <row r="1375">
      <c r="A1375" t="inlineStr">
        <is>
          <t>S|ORIG_BAL x CHANNEL|chip</t>
        </is>
      </c>
      <c r="B1375" t="inlineStr">
        <is>
          <t>Doesn't hold FICO fixed</t>
        </is>
      </c>
      <c r="C1375" t="n">
        <v>0</v>
      </c>
      <c r="D1375" t="inlineStr">
        <is>
          <t>This grid holds ORIG_BAL fixed (REV_DEBT's correlation with it: -0.02). It doesn't hold FICO fixed (REV_DEBT's correlation with it: -0.53).</t>
        </is>
      </c>
    </row>
    <row r="1376">
      <c r="A1376" t="inlineStr">
        <is>
          <t>S|ORIG_BAL x CHANNEL|rows</t>
        </is>
      </c>
      <c r="B1376" t="inlineStr">
        <is>
          <t>5,005 - 15,448</t>
        </is>
      </c>
      <c r="C1376" t="inlineStr">
        <is>
          <t>15,449 - 26,323</t>
        </is>
      </c>
      <c r="D1376" t="inlineStr">
        <is>
          <t>26,324 - 37,950</t>
        </is>
      </c>
      <c r="E1376" t="inlineStr">
        <is>
          <t>37,951 - 49,151</t>
        </is>
      </c>
      <c r="F1376" t="inlineStr">
        <is>
          <t>49,152 - 59,984</t>
        </is>
      </c>
      <c r="G1376" t="inlineStr">
        <is>
          <t>(blank)</t>
        </is>
      </c>
    </row>
    <row r="1377">
      <c r="A1377" t="inlineStr">
        <is>
          <t>S|ORIG_BAL x CHANNEL|cols</t>
        </is>
      </c>
      <c r="B1377" t="inlineStr">
        <is>
          <t>Branch</t>
        </is>
      </c>
      <c r="C1377" t="inlineStr">
        <is>
          <t>Broker</t>
        </is>
      </c>
      <c r="D1377" t="inlineStr">
        <is>
          <t>Online</t>
        </is>
      </c>
    </row>
    <row r="1378">
      <c r="A1378" t="inlineStr">
        <is>
          <t>S|ORIG_BAL x CHANNEL|sum|1</t>
        </is>
      </c>
      <c r="B1378" t="inlineStr">
        <is>
          <t>Bad loans</t>
        </is>
      </c>
      <c r="C1378" t="n">
        <v>15</v>
      </c>
      <c r="D1378" t="inlineStr">
        <is>
          <t>15 of 15</t>
        </is>
      </c>
      <c r="E1378" t="n">
        <v>2.562741702467562</v>
      </c>
      <c r="F1378" t="n">
        <v>0.1388450165462352</v>
      </c>
      <c r="G1378" t="inlineStr">
        <is>
          <t>x</t>
        </is>
      </c>
      <c r="H1378" t="n">
        <v>2.180936620079164e-29</v>
      </c>
      <c r="I1378" t="n">
        <v>2.76150358326881</v>
      </c>
      <c r="J1378" t="n">
        <v>5.551241192088891e-30</v>
      </c>
      <c r="K1378" t="n">
        <v>0.2655502152455566</v>
      </c>
    </row>
    <row r="1379">
      <c r="A1379" t="inlineStr">
        <is>
          <t>S|ORIG_BAL x CHANNEL|outcome_loans|meta</t>
        </is>
      </c>
      <c r="B1379" t="inlineStr">
        <is>
          <t>x</t>
        </is>
      </c>
      <c r="C1379" t="n">
        <v>5.854468599033817</v>
      </c>
    </row>
    <row r="1380">
      <c r="A1380" t="inlineStr">
        <is>
          <t>S|ORIG_BAL x CHANNEL|outcome_loans|v|1</t>
        </is>
      </c>
      <c r="B1380" t="n">
        <v>1.916666666666667</v>
      </c>
      <c r="C1380" t="n">
        <v>4.374999999999999</v>
      </c>
      <c r="D1380" t="n">
        <v>2</v>
      </c>
    </row>
    <row r="1381">
      <c r="A1381" t="inlineStr">
        <is>
          <t>S|ORIG_BAL x CHANNEL|outcome_loans|p|1</t>
        </is>
      </c>
      <c r="B1381" t="n">
        <v>0.06818695463534342</v>
      </c>
      <c r="C1381" t="n">
        <v>0.0001273440718708824</v>
      </c>
      <c r="D1381" t="n">
        <v>0.02933734236401261</v>
      </c>
    </row>
    <row r="1382">
      <c r="A1382" t="inlineStr">
        <is>
          <t>S|ORIG_BAL x CHANNEL|outcome_loans|v|2</t>
        </is>
      </c>
      <c r="B1382" t="n">
        <v>1.472264631043257</v>
      </c>
      <c r="C1382" t="n">
        <v>2.715978928884987</v>
      </c>
      <c r="D1382" t="n">
        <v>1.882352941176471</v>
      </c>
    </row>
    <row r="1383">
      <c r="A1383" t="inlineStr">
        <is>
          <t>S|ORIG_BAL x CHANNEL|outcome_loans|p|2</t>
        </is>
      </c>
      <c r="B1383" t="n">
        <v>0.227955598286411</v>
      </c>
      <c r="C1383" t="n">
        <v>0.0003894566716297742</v>
      </c>
      <c r="D1383" t="n">
        <v>0.03354287207616564</v>
      </c>
    </row>
    <row r="1384">
      <c r="A1384" t="inlineStr">
        <is>
          <t>S|ORIG_BAL x CHANNEL|outcome_loans|v|3</t>
        </is>
      </c>
      <c r="B1384" t="n">
        <v>1.756782945736434</v>
      </c>
      <c r="C1384" t="n">
        <v>5.854468599033817</v>
      </c>
      <c r="D1384" t="n">
        <v>4.142857142857142</v>
      </c>
    </row>
    <row r="1385">
      <c r="A1385" t="inlineStr">
        <is>
          <t>S|ORIG_BAL x CHANNEL|outcome_loans|p|3</t>
        </is>
      </c>
      <c r="B1385" t="n">
        <v>0.1103039830165727</v>
      </c>
      <c r="C1385" t="n">
        <v>3.556377944947592e-05</v>
      </c>
      <c r="D1385" t="n">
        <v>0.0003894566716297742</v>
      </c>
    </row>
    <row r="1386">
      <c r="A1386" t="inlineStr">
        <is>
          <t>S|ORIG_BAL x CHANNEL|outcome_loans|v|4</t>
        </is>
      </c>
      <c r="B1386" t="n">
        <v>3.666666666666666</v>
      </c>
      <c r="C1386" t="n">
        <v>2.509433962264151</v>
      </c>
      <c r="D1386" t="n">
        <v>2.31620777746239</v>
      </c>
    </row>
    <row r="1387">
      <c r="A1387" t="inlineStr">
        <is>
          <t>S|ORIG_BAL x CHANNEL|outcome_loans|p|4</t>
        </is>
      </c>
      <c r="B1387" t="n">
        <v>0.0003894566716297742</v>
      </c>
      <c r="C1387" t="n">
        <v>0.003350243658876367</v>
      </c>
      <c r="D1387" t="n">
        <v>0.01245515139776851</v>
      </c>
    </row>
    <row r="1388">
      <c r="A1388" t="inlineStr">
        <is>
          <t>S|ORIG_BAL x CHANNEL|outcome_loans|v|5</t>
        </is>
      </c>
      <c r="B1388" t="n">
        <v>2.844357976653697</v>
      </c>
      <c r="C1388" t="n">
        <v>3.4</v>
      </c>
      <c r="D1388" t="n">
        <v>1.775504637206765</v>
      </c>
    </row>
    <row r="1389">
      <c r="A1389" t="inlineStr">
        <is>
          <t>S|ORIG_BAL x CHANNEL|outcome_loans|p|5</t>
        </is>
      </c>
      <c r="B1389" t="n">
        <v>0.02933734236401261</v>
      </c>
      <c r="C1389" t="n">
        <v>0.0003894566716297742</v>
      </c>
      <c r="D1389" t="n">
        <v>0.09579316851761208</v>
      </c>
    </row>
    <row r="1390">
      <c r="A1390" t="inlineStr">
        <is>
          <t>S|ORIG_BAL x CHANNEL|outcome_loans|v|6</t>
        </is>
      </c>
    </row>
    <row r="1391">
      <c r="A1391" t="inlineStr">
        <is>
          <t>S|ORIG_BAL x CHANNEL|outcome_loans|p|6</t>
        </is>
      </c>
    </row>
    <row r="1392">
      <c r="A1392" t="inlineStr">
        <is>
          <t>S|ORIG_BAL x CHANNEL|sum|2</t>
        </is>
      </c>
      <c r="B1392" t="inlineStr">
        <is>
          <t>Bad dollars</t>
        </is>
      </c>
      <c r="C1392" t="n">
        <v>15</v>
      </c>
      <c r="D1392" t="inlineStr">
        <is>
          <t>15 of 15</t>
        </is>
      </c>
      <c r="E1392" t="n">
        <v>2.620459017729385</v>
      </c>
      <c r="F1392" t="n">
        <v>0.1584737842360152</v>
      </c>
      <c r="G1392" t="inlineStr">
        <is>
          <t>x</t>
        </is>
      </c>
      <c r="H1392" t="n">
        <v>9.999000099990002e-05</v>
      </c>
      <c r="L1392" t="inlineStr">
        <is>
          <t>not tested: dollar rate</t>
        </is>
      </c>
    </row>
    <row r="1393">
      <c r="A1393" t="inlineStr">
        <is>
          <t>S|ORIG_BAL x CHANNEL|outcome_booked|meta</t>
        </is>
      </c>
      <c r="B1393" t="inlineStr">
        <is>
          <t>x</t>
        </is>
      </c>
      <c r="C1393" t="n">
        <v>5.853690362175043</v>
      </c>
    </row>
    <row r="1394">
      <c r="A1394" t="inlineStr">
        <is>
          <t>S|ORIG_BAL x CHANNEL|outcome_booked|v|1</t>
        </is>
      </c>
      <c r="B1394" t="n">
        <v>1.717512678663912</v>
      </c>
      <c r="C1394" t="n">
        <v>3.796317930924125</v>
      </c>
      <c r="D1394" t="n">
        <v>1.682843790693015</v>
      </c>
    </row>
    <row r="1395">
      <c r="A1395" t="inlineStr">
        <is>
          <t>S|ORIG_BAL x CHANNEL|outcome_booked|p|1</t>
        </is>
      </c>
      <c r="B1395" t="n">
        <v>0.1362720870770066</v>
      </c>
      <c r="C1395" t="n">
        <v>0.0002999700029997001</v>
      </c>
      <c r="D1395" t="n">
        <v>0.1086814395483529</v>
      </c>
    </row>
    <row r="1396">
      <c r="A1396" t="inlineStr">
        <is>
          <t>S|ORIG_BAL x CHANNEL|outcome_booked|v|2</t>
        </is>
      </c>
      <c r="B1396" t="n">
        <v>1.335554080744721</v>
      </c>
      <c r="C1396" t="n">
        <v>2.752712892409215</v>
      </c>
      <c r="D1396" t="n">
        <v>1.82022392117608</v>
      </c>
    </row>
    <row r="1397">
      <c r="A1397" t="inlineStr">
        <is>
          <t>S|ORIG_BAL x CHANNEL|outcome_booked|p|2</t>
        </is>
      </c>
      <c r="B1397" t="n">
        <v>0.3743625637436256</v>
      </c>
      <c r="C1397" t="n">
        <v>0.0002999700029997001</v>
      </c>
      <c r="D1397" t="n">
        <v>0.04634536546345365</v>
      </c>
    </row>
    <row r="1398">
      <c r="A1398" t="inlineStr">
        <is>
          <t>S|ORIG_BAL x CHANNEL|outcome_booked|v|3</t>
        </is>
      </c>
      <c r="B1398" t="n">
        <v>1.861533137643081</v>
      </c>
      <c r="C1398" t="n">
        <v>5.853690362175043</v>
      </c>
      <c r="D1398" t="n">
        <v>4.10639594574465</v>
      </c>
    </row>
    <row r="1399">
      <c r="A1399" t="inlineStr">
        <is>
          <t>S|ORIG_BAL x CHANNEL|outcome_booked|p|3</t>
        </is>
      </c>
      <c r="B1399" t="n">
        <v>0.09749025097490251</v>
      </c>
      <c r="C1399" t="n">
        <v>0.0002999700029997001</v>
      </c>
      <c r="D1399" t="n">
        <v>0.0007499250074992501</v>
      </c>
    </row>
    <row r="1400">
      <c r="A1400" t="inlineStr">
        <is>
          <t>S|ORIG_BAL x CHANNEL|outcome_booked|v|4</t>
        </is>
      </c>
      <c r="B1400" t="n">
        <v>3.790594938570157</v>
      </c>
      <c r="C1400" t="n">
        <v>2.534781041308185</v>
      </c>
      <c r="D1400" t="n">
        <v>2.383687737743468</v>
      </c>
    </row>
    <row r="1401">
      <c r="A1401" t="inlineStr">
        <is>
          <t>S|ORIG_BAL x CHANNEL|outcome_booked|p|4</t>
        </is>
      </c>
      <c r="B1401" t="n">
        <v>0.0002999700029997001</v>
      </c>
      <c r="C1401" t="n">
        <v>0.002142642878569286</v>
      </c>
      <c r="D1401" t="n">
        <v>0.008061693830616938</v>
      </c>
    </row>
    <row r="1402">
      <c r="A1402" t="inlineStr">
        <is>
          <t>S|ORIG_BAL x CHANNEL|outcome_booked|v|5</t>
        </is>
      </c>
      <c r="B1402" t="n">
        <v>2.787408277392239</v>
      </c>
      <c r="C1402" t="n">
        <v>3.439580882408289</v>
      </c>
      <c r="D1402" t="n">
        <v>1.775269923517915</v>
      </c>
    </row>
    <row r="1403">
      <c r="A1403" t="inlineStr">
        <is>
          <t>S|ORIG_BAL x CHANNEL|outcome_booked|p|5</t>
        </is>
      </c>
      <c r="B1403" t="n">
        <v>0.038662800386628</v>
      </c>
      <c r="C1403" t="n">
        <v>0.0002999700029997001</v>
      </c>
      <c r="D1403" t="n">
        <v>0.1071142885711429</v>
      </c>
    </row>
    <row r="1404">
      <c r="A1404" t="inlineStr">
        <is>
          <t>S|ORIG_BAL x CHANNEL|outcome_booked|v|6</t>
        </is>
      </c>
    </row>
    <row r="1405">
      <c r="A1405" t="inlineStr">
        <is>
          <t>S|ORIG_BAL x CHANNEL|outcome_booked|p|6</t>
        </is>
      </c>
    </row>
    <row r="1406">
      <c r="A1406" t="inlineStr">
        <is>
          <t>S|ORIG_BAL x CHANNEL|sum|3</t>
        </is>
      </c>
      <c r="B1406" t="inlineStr">
        <is>
          <t>Charge-offs</t>
        </is>
      </c>
      <c r="C1406" t="n">
        <v>15</v>
      </c>
      <c r="D1406" t="inlineStr">
        <is>
          <t>15 of 15</t>
        </is>
      </c>
      <c r="E1406" t="n">
        <v>2.655679526822122</v>
      </c>
      <c r="F1406" t="n">
        <v>0.1654089974819247</v>
      </c>
      <c r="G1406" t="inlineStr">
        <is>
          <t>x</t>
        </is>
      </c>
      <c r="H1406" t="n">
        <v>9.999000099990002e-05</v>
      </c>
      <c r="L1406" t="inlineStr">
        <is>
          <t>not tested: dollar rate</t>
        </is>
      </c>
    </row>
    <row r="1407">
      <c r="A1407" t="inlineStr">
        <is>
          <t>S|ORIG_BAL x CHANNEL|gco_rate|meta</t>
        </is>
      </c>
      <c r="B1407" t="inlineStr">
        <is>
          <t>x</t>
        </is>
      </c>
      <c r="C1407" t="n">
        <v>6.790046905767424</v>
      </c>
    </row>
    <row r="1408">
      <c r="A1408" t="inlineStr">
        <is>
          <t>S|ORIG_BAL x CHANNEL|gco_rate|v|1</t>
        </is>
      </c>
      <c r="B1408" t="n">
        <v>1.670407485329596</v>
      </c>
      <c r="C1408" t="n">
        <v>4.015993585670977</v>
      </c>
      <c r="D1408" t="n">
        <v>1.520850714645698</v>
      </c>
    </row>
    <row r="1409">
      <c r="A1409" t="inlineStr">
        <is>
          <t>S|ORIG_BAL x CHANNEL|gco_rate|p|1</t>
        </is>
      </c>
      <c r="B1409" t="n">
        <v>0.1828663287517402</v>
      </c>
      <c r="C1409" t="n">
        <v>0.0003749625037496251</v>
      </c>
      <c r="D1409" t="n">
        <v>0.2190852343337095</v>
      </c>
    </row>
    <row r="1410">
      <c r="A1410" t="inlineStr">
        <is>
          <t>S|ORIG_BAL x CHANNEL|gco_rate|v|2</t>
        </is>
      </c>
      <c r="B1410" t="n">
        <v>1.407986991292175</v>
      </c>
      <c r="C1410" t="n">
        <v>3.012895356375494</v>
      </c>
      <c r="D1410" t="n">
        <v>1.903550006573434</v>
      </c>
    </row>
    <row r="1411">
      <c r="A1411" t="inlineStr">
        <is>
          <t>S|ORIG_BAL x CHANNEL|gco_rate|p|2</t>
        </is>
      </c>
      <c r="B1411" t="n">
        <v>0.3074692530746925</v>
      </c>
      <c r="C1411" t="n">
        <v>0.0003749625037496251</v>
      </c>
      <c r="D1411" t="n">
        <v>0.0431956804319568</v>
      </c>
    </row>
    <row r="1412">
      <c r="A1412" t="inlineStr">
        <is>
          <t>S|ORIG_BAL x CHANNEL|gco_rate|v|3</t>
        </is>
      </c>
      <c r="B1412" t="n">
        <v>1.721112550252144</v>
      </c>
      <c r="C1412" t="n">
        <v>6.790046905767424</v>
      </c>
      <c r="D1412" t="n">
        <v>3.684149092409648</v>
      </c>
    </row>
    <row r="1413">
      <c r="A1413" t="inlineStr">
        <is>
          <t>S|ORIG_BAL x CHANNEL|gco_rate|p|3</t>
        </is>
      </c>
      <c r="B1413" t="n">
        <v>0.150984901509849</v>
      </c>
      <c r="C1413" t="n">
        <v>0.0003749625037496251</v>
      </c>
      <c r="D1413" t="n">
        <v>0.0014998500149985</v>
      </c>
    </row>
    <row r="1414">
      <c r="A1414" t="inlineStr">
        <is>
          <t>S|ORIG_BAL x CHANNEL|gco_rate|v|4</t>
        </is>
      </c>
      <c r="B1414" t="n">
        <v>3.953160323157455</v>
      </c>
      <c r="C1414" t="n">
        <v>2.561455027959584</v>
      </c>
      <c r="D1414" t="n">
        <v>2.53131697958191</v>
      </c>
    </row>
    <row r="1415">
      <c r="A1415" t="inlineStr">
        <is>
          <t>S|ORIG_BAL x CHANNEL|gco_rate|p|4</t>
        </is>
      </c>
      <c r="B1415" t="n">
        <v>0.0003749625037496251</v>
      </c>
      <c r="C1415" t="n">
        <v>0.002356907166426215</v>
      </c>
      <c r="D1415" t="n">
        <v>0.007499250074992501</v>
      </c>
    </row>
    <row r="1416">
      <c r="A1416" t="inlineStr">
        <is>
          <t>S|ORIG_BAL x CHANNEL|gco_rate|v|5</t>
        </is>
      </c>
      <c r="B1416" t="n">
        <v>2.251898981054597</v>
      </c>
      <c r="C1416" t="n">
        <v>3.098805754693533</v>
      </c>
      <c r="D1416" t="n">
        <v>2.183557997318433</v>
      </c>
    </row>
    <row r="1417">
      <c r="A1417" t="inlineStr">
        <is>
          <t>S|ORIG_BAL x CHANNEL|gco_rate|p|5</t>
        </is>
      </c>
      <c r="B1417" t="n">
        <v>0.09353610093536101</v>
      </c>
      <c r="C1417" t="n">
        <v>0.0005999400059994002</v>
      </c>
      <c r="D1417" t="n">
        <v>0.0431956804319568</v>
      </c>
    </row>
    <row r="1418">
      <c r="A1418" t="inlineStr">
        <is>
          <t>S|ORIG_BAL x CHANNEL|gco_rate|v|6</t>
        </is>
      </c>
    </row>
    <row r="1419">
      <c r="A1419" t="inlineStr">
        <is>
          <t>S|ORIG_BAL x CHANNEL|gco_rate|p|6</t>
        </is>
      </c>
    </row>
    <row r="1420">
      <c r="A1420" t="inlineStr">
        <is>
          <t>S|ORIG_BAL x CHANNEL|sum|4</t>
        </is>
      </c>
      <c r="B1420" t="inlineStr">
        <is>
          <t>Kept after losses</t>
        </is>
      </c>
      <c r="C1420" t="n">
        <v>15</v>
      </c>
      <c r="D1420" t="inlineStr">
        <is>
          <t>1 of 15</t>
        </is>
      </c>
      <c r="E1420" t="n">
        <v>2.78146842830353</v>
      </c>
      <c r="F1420" t="n">
        <v>0.4557446385746116</v>
      </c>
      <c r="G1420" t="inlineStr">
        <is>
          <t>pts</t>
        </is>
      </c>
      <c r="H1420" t="n">
        <v>9.999000099990002e-05</v>
      </c>
      <c r="L1420" t="inlineStr">
        <is>
          <t>not tested: dollar rate</t>
        </is>
      </c>
    </row>
    <row r="1421">
      <c r="A1421" t="inlineStr">
        <is>
          <t>S|ORIG_BAL x CHANNEL|ranr_rate|meta</t>
        </is>
      </c>
      <c r="B1421" t="inlineStr">
        <is>
          <t>pts</t>
        </is>
      </c>
      <c r="C1421" t="n">
        <v>6.212266123</v>
      </c>
    </row>
    <row r="1422">
      <c r="A1422" t="inlineStr">
        <is>
          <t>S|ORIG_BAL x CHANNEL|ranr_rate|v|1</t>
        </is>
      </c>
      <c r="B1422" t="n">
        <v>4.484201672</v>
      </c>
      <c r="C1422" t="n">
        <v>1.25279792</v>
      </c>
      <c r="D1422" t="n">
        <v>2.772266487</v>
      </c>
    </row>
    <row r="1423">
      <c r="A1423" t="inlineStr">
        <is>
          <t>S|ORIG_BAL x CHANNEL|ranr_rate|p|1</t>
        </is>
      </c>
      <c r="B1423" t="n">
        <v>0.0164983501649835</v>
      </c>
      <c r="C1423" t="n">
        <v>0.526793474498704</v>
      </c>
      <c r="D1423" t="n">
        <v>0.2032296770322968</v>
      </c>
    </row>
    <row r="1424">
      <c r="A1424" t="inlineStr">
        <is>
          <t>S|ORIG_BAL x CHANNEL|ranr_rate|v|2</t>
        </is>
      </c>
      <c r="B1424" t="n">
        <v>6.212266123</v>
      </c>
      <c r="C1424" t="n">
        <v>0.506558926</v>
      </c>
      <c r="D1424" t="n">
        <v>4.498490933</v>
      </c>
    </row>
    <row r="1425">
      <c r="A1425" t="inlineStr">
        <is>
          <t>S|ORIG_BAL x CHANNEL|ranr_rate|p|2</t>
        </is>
      </c>
      <c r="B1425" t="n">
        <v>0.003999600039996001</v>
      </c>
      <c r="C1425" t="n">
        <v>0.8143185681431857</v>
      </c>
      <c r="D1425" t="n">
        <v>0.03839616038396161</v>
      </c>
    </row>
    <row r="1426">
      <c r="A1426" t="inlineStr">
        <is>
          <t>S|ORIG_BAL x CHANNEL|ranr_rate|v|3</t>
        </is>
      </c>
      <c r="B1426" t="n">
        <v>5.058582363</v>
      </c>
      <c r="C1426" t="n">
        <v>-1.144072839</v>
      </c>
      <c r="D1426" t="n">
        <v>0.387048066</v>
      </c>
    </row>
    <row r="1427">
      <c r="A1427" t="inlineStr">
        <is>
          <t>S|ORIG_BAL x CHANNEL|ranr_rate|p|3</t>
        </is>
      </c>
      <c r="B1427" t="n">
        <v>0.003999600039996001</v>
      </c>
      <c r="C1427" t="n">
        <v>0.526793474498704</v>
      </c>
      <c r="D1427" t="n">
        <v>0.8143185681431857</v>
      </c>
    </row>
    <row r="1428">
      <c r="A1428" t="inlineStr">
        <is>
          <t>S|ORIG_BAL x CHANNEL|ranr_rate|v|4</t>
        </is>
      </c>
      <c r="B1428" t="n">
        <v>1.886770273</v>
      </c>
      <c r="C1428" t="n">
        <v>2.377039589</v>
      </c>
      <c r="D1428" t="n">
        <v>2.609246078</v>
      </c>
    </row>
    <row r="1429">
      <c r="A1429" t="inlineStr">
        <is>
          <t>S|ORIG_BAL x CHANNEL|ranr_rate|p|4</t>
        </is>
      </c>
      <c r="B1429" t="n">
        <v>0.356964303569643</v>
      </c>
      <c r="C1429" t="n">
        <v>0.2344265573442656</v>
      </c>
      <c r="D1429" t="n">
        <v>0.2244775522447755</v>
      </c>
    </row>
    <row r="1430">
      <c r="A1430" t="inlineStr">
        <is>
          <t>S|ORIG_BAL x CHANNEL|ranr_rate|v|5</t>
        </is>
      </c>
      <c r="B1430" t="n">
        <v>5.052511138</v>
      </c>
      <c r="C1430" t="n">
        <v>3.063878798</v>
      </c>
      <c r="D1430" t="n">
        <v>2.839592278</v>
      </c>
    </row>
    <row r="1431">
      <c r="A1431" t="inlineStr">
        <is>
          <t>S|ORIG_BAL x CHANNEL|ranr_rate|p|5</t>
        </is>
      </c>
      <c r="B1431" t="n">
        <v>0.003999600039996001</v>
      </c>
      <c r="C1431" t="n">
        <v>0.1147385261473853</v>
      </c>
      <c r="D1431" t="n">
        <v>0.1281300441384433</v>
      </c>
    </row>
    <row r="1432">
      <c r="A1432" t="inlineStr">
        <is>
          <t>S|ORIG_BAL x CHANNEL|ranr_rate|v|6</t>
        </is>
      </c>
    </row>
    <row r="1433">
      <c r="A1433" t="inlineStr">
        <is>
          <t>S|ORIG_BAL x CHANNEL|ranr_rate|p|6</t>
        </is>
      </c>
    </row>
    <row r="1434">
      <c r="A1434" t="inlineStr">
        <is>
          <t>S|ORIG_BAL x CHANNEL|sum|5</t>
        </is>
      </c>
      <c r="B1434" t="inlineStr">
        <is>
          <t>Earned before losses</t>
        </is>
      </c>
      <c r="C1434" t="n">
        <v>15</v>
      </c>
      <c r="D1434" t="inlineStr">
        <is>
          <t>0 of 15</t>
        </is>
      </c>
      <c r="E1434" t="n">
        <v>6.553224932051134</v>
      </c>
      <c r="F1434" t="n">
        <v>0.3091607570345432</v>
      </c>
      <c r="G1434" t="inlineStr">
        <is>
          <t>pts</t>
        </is>
      </c>
      <c r="H1434" t="n">
        <v>9.999000099990002e-05</v>
      </c>
      <c r="L1434" t="inlineStr">
        <is>
          <t>not tested: dollar rate</t>
        </is>
      </c>
    </row>
    <row r="1435">
      <c r="A1435" t="inlineStr">
        <is>
          <t>S|ORIG_BAL x CHANNEL|contribution_rate|meta</t>
        </is>
      </c>
      <c r="B1435" t="inlineStr">
        <is>
          <t>pts</t>
        </is>
      </c>
      <c r="C1435" t="n">
        <v>8.098296643999999</v>
      </c>
    </row>
    <row r="1436">
      <c r="A1436" t="inlineStr">
        <is>
          <t>S|ORIG_BAL x CHANNEL|contribution_rate|v|1</t>
        </is>
      </c>
      <c r="B1436" t="n">
        <v>6.266410194</v>
      </c>
      <c r="C1436" t="n">
        <v>6.742556656</v>
      </c>
      <c r="D1436" t="n">
        <v>4.548984493</v>
      </c>
    </row>
    <row r="1437">
      <c r="A1437" t="inlineStr">
        <is>
          <t>S|ORIG_BAL x CHANNEL|contribution_rate|p|1</t>
        </is>
      </c>
      <c r="B1437" t="n">
        <v>9.999000099990002e-05</v>
      </c>
      <c r="C1437" t="n">
        <v>9.999000099990002e-05</v>
      </c>
      <c r="D1437" t="n">
        <v>9.999000099990002e-05</v>
      </c>
    </row>
    <row r="1438">
      <c r="A1438" t="inlineStr">
        <is>
          <t>S|ORIG_BAL x CHANNEL|contribution_rate|v|2</t>
        </is>
      </c>
      <c r="B1438" t="n">
        <v>7.582774297</v>
      </c>
      <c r="C1438" t="n">
        <v>7.332892419</v>
      </c>
      <c r="D1438" t="n">
        <v>7.653853525</v>
      </c>
    </row>
    <row r="1439">
      <c r="A1439" t="inlineStr">
        <is>
          <t>S|ORIG_BAL x CHANNEL|contribution_rate|p|2</t>
        </is>
      </c>
      <c r="B1439" t="n">
        <v>9.999000099990002e-05</v>
      </c>
      <c r="C1439" t="n">
        <v>9.999000099990002e-05</v>
      </c>
      <c r="D1439" t="n">
        <v>9.999000099990002e-05</v>
      </c>
    </row>
    <row r="1440">
      <c r="A1440" t="inlineStr">
        <is>
          <t>S|ORIG_BAL x CHANNEL|contribution_rate|v|3</t>
        </is>
      </c>
      <c r="B1440" t="n">
        <v>6.922328377</v>
      </c>
      <c r="C1440" t="n">
        <v>4.900355017</v>
      </c>
      <c r="D1440" t="n">
        <v>4.554259113</v>
      </c>
    </row>
    <row r="1441">
      <c r="A1441" t="inlineStr">
        <is>
          <t>S|ORIG_BAL x CHANNEL|contribution_rate|p|3</t>
        </is>
      </c>
      <c r="B1441" t="n">
        <v>9.999000099990002e-05</v>
      </c>
      <c r="C1441" t="n">
        <v>9.999000099990002e-05</v>
      </c>
      <c r="D1441" t="n">
        <v>9.999000099990002e-05</v>
      </c>
    </row>
    <row r="1442">
      <c r="A1442" t="inlineStr">
        <is>
          <t>S|ORIG_BAL x CHANNEL|contribution_rate|v|4</t>
        </is>
      </c>
      <c r="B1442" t="n">
        <v>7.097477695</v>
      </c>
      <c r="C1442" t="n">
        <v>6.876464129</v>
      </c>
      <c r="D1442" t="n">
        <v>6.568709693</v>
      </c>
    </row>
    <row r="1443">
      <c r="A1443" t="inlineStr">
        <is>
          <t>S|ORIG_BAL x CHANNEL|contribution_rate|p|4</t>
        </is>
      </c>
      <c r="B1443" t="n">
        <v>9.999000099990002e-05</v>
      </c>
      <c r="C1443" t="n">
        <v>9.999000099990002e-05</v>
      </c>
      <c r="D1443" t="n">
        <v>9.999000099990002e-05</v>
      </c>
    </row>
    <row r="1444">
      <c r="A1444" t="inlineStr">
        <is>
          <t>S|ORIG_BAL x CHANNEL|contribution_rate|v|5</t>
        </is>
      </c>
      <c r="B1444" t="n">
        <v>6.809841703</v>
      </c>
      <c r="C1444" t="n">
        <v>8.098296643999999</v>
      </c>
      <c r="D1444" t="n">
        <v>5.411850206</v>
      </c>
    </row>
    <row r="1445">
      <c r="A1445" t="inlineStr">
        <is>
          <t>S|ORIG_BAL x CHANNEL|contribution_rate|p|5</t>
        </is>
      </c>
      <c r="B1445" t="n">
        <v>9.999000099990002e-05</v>
      </c>
      <c r="C1445" t="n">
        <v>9.999000099990002e-05</v>
      </c>
      <c r="D1445" t="n">
        <v>9.999000099990002e-05</v>
      </c>
    </row>
    <row r="1446">
      <c r="A1446" t="inlineStr">
        <is>
          <t>S|ORIG_BAL x CHANNEL|contribution_rate|v|6</t>
        </is>
      </c>
    </row>
    <row r="1447">
      <c r="A1447" t="inlineStr">
        <is>
          <t>S|ORIG_BAL x CHANNEL|contribution_rate|p|6</t>
        </is>
      </c>
    </row>
    <row r="1448">
      <c r="A1448" t="inlineStr">
        <is>
          <t>S|ORIG_BAL x ASSET_CLASS|chip</t>
        </is>
      </c>
      <c r="B1448" t="inlineStr">
        <is>
          <t>Doesn't hold FICO fixed</t>
        </is>
      </c>
      <c r="C1448" t="n">
        <v>0</v>
      </c>
      <c r="D1448" t="inlineStr">
        <is>
          <t>This grid holds ORIG_BAL fixed (REV_DEBT's correlation with it: -0.02). It doesn't hold FICO fixed (REV_DEBT's correlation with it: -0.53).</t>
        </is>
      </c>
    </row>
    <row r="1449">
      <c r="A1449" t="inlineStr">
        <is>
          <t>S|ORIG_BAL x ASSET_CLASS|rows</t>
        </is>
      </c>
      <c r="B1449" t="inlineStr">
        <is>
          <t>5,005 - 15,448</t>
        </is>
      </c>
      <c r="C1449" t="inlineStr">
        <is>
          <t>15,449 - 26,323</t>
        </is>
      </c>
      <c r="D1449" t="inlineStr">
        <is>
          <t>26,324 - 37,950</t>
        </is>
      </c>
      <c r="E1449" t="inlineStr">
        <is>
          <t>37,951 - 49,151</t>
        </is>
      </c>
      <c r="F1449" t="inlineStr">
        <is>
          <t>49,152 - 59,984</t>
        </is>
      </c>
      <c r="G1449" t="inlineStr">
        <is>
          <t>(blank)</t>
        </is>
      </c>
    </row>
    <row r="1450">
      <c r="A1450" t="inlineStr">
        <is>
          <t>S|ORIG_BAL x ASSET_CLASS|cols</t>
        </is>
      </c>
      <c r="B1450" t="inlineStr">
        <is>
          <t>1</t>
        </is>
      </c>
      <c r="C1450" t="inlineStr">
        <is>
          <t>2</t>
        </is>
      </c>
      <c r="D1450" t="inlineStr">
        <is>
          <t>3</t>
        </is>
      </c>
      <c r="E1450" t="inlineStr">
        <is>
          <t>4</t>
        </is>
      </c>
    </row>
    <row r="1451">
      <c r="A1451" t="inlineStr">
        <is>
          <t>S|ORIG_BAL x ASSET_CLASS|sum|1</t>
        </is>
      </c>
      <c r="B1451" t="inlineStr">
        <is>
          <t>Bad loans</t>
        </is>
      </c>
      <c r="C1451" t="n">
        <v>20</v>
      </c>
      <c r="D1451" t="inlineStr">
        <is>
          <t>20 of 20</t>
        </is>
      </c>
      <c r="E1451" t="n">
        <v>2.583682107311421</v>
      </c>
      <c r="F1451" t="n">
        <v>0.1395415363792275</v>
      </c>
      <c r="G1451" t="inlineStr">
        <is>
          <t>x</t>
        </is>
      </c>
      <c r="H1451" t="n">
        <v>7.486088433073353e-30</v>
      </c>
      <c r="I1451" t="n">
        <v>2.796130638236408</v>
      </c>
      <c r="J1451" t="n">
        <v>1.808167273952339e-30</v>
      </c>
      <c r="K1451" t="n">
        <v>0.7653743745095554</v>
      </c>
    </row>
    <row r="1452">
      <c r="A1452" t="inlineStr">
        <is>
          <t>S|ORIG_BAL x ASSET_CLASS|outcome_loans|meta</t>
        </is>
      </c>
      <c r="B1452" t="inlineStr">
        <is>
          <t>x</t>
        </is>
      </c>
      <c r="C1452" t="n">
        <v>5.666666666666667</v>
      </c>
    </row>
    <row r="1453">
      <c r="A1453" t="inlineStr">
        <is>
          <t>S|ORIG_BAL x ASSET_CLASS|outcome_loans|v|1</t>
        </is>
      </c>
      <c r="B1453" t="n">
        <v>3.349358974358974</v>
      </c>
      <c r="C1453" t="n">
        <v>2.857142857142857</v>
      </c>
      <c r="D1453" t="n">
        <v>3.142857142857143</v>
      </c>
      <c r="E1453" t="n">
        <v>1.41842397336293</v>
      </c>
    </row>
    <row r="1454">
      <c r="A1454" t="inlineStr">
        <is>
          <t>S|ORIG_BAL x ASSET_CLASS|outcome_loans|p|1</t>
        </is>
      </c>
      <c r="B1454" t="n">
        <v>0.009774203414311584</v>
      </c>
      <c r="C1454" t="n">
        <v>0.01745569820562966</v>
      </c>
      <c r="D1454" t="n">
        <v>0.00912142863289519</v>
      </c>
      <c r="E1454" t="n">
        <v>0.2436340026613857</v>
      </c>
    </row>
    <row r="1455">
      <c r="A1455" t="inlineStr">
        <is>
          <t>S|ORIG_BAL x ASSET_CLASS|outcome_loans|v|2</t>
        </is>
      </c>
      <c r="B1455" t="n">
        <v>3.75</v>
      </c>
      <c r="C1455" t="n">
        <v>2.142857142857143</v>
      </c>
      <c r="D1455" t="n">
        <v>1.47749240541287</v>
      </c>
      <c r="E1455" t="n">
        <v>2.368585298196949</v>
      </c>
    </row>
    <row r="1456">
      <c r="A1456" t="inlineStr">
        <is>
          <t>S|ORIG_BAL x ASSET_CLASS|outcome_loans|p|2</t>
        </is>
      </c>
      <c r="B1456" t="n">
        <v>0.001771407512676825</v>
      </c>
      <c r="C1456" t="n">
        <v>0.09782283572597988</v>
      </c>
      <c r="D1456" t="n">
        <v>0.1980765016879298</v>
      </c>
      <c r="E1456" t="n">
        <v>0.008742694018011031</v>
      </c>
    </row>
    <row r="1457">
      <c r="A1457" t="inlineStr">
        <is>
          <t>S|ORIG_BAL x ASSET_CLASS|outcome_loans|v|3</t>
        </is>
      </c>
      <c r="B1457" t="n">
        <v>2.714285714285714</v>
      </c>
      <c r="C1457" t="n">
        <v>2.846511627906977</v>
      </c>
      <c r="D1457" t="n">
        <v>4.021857923497268</v>
      </c>
      <c r="E1457" t="n">
        <v>3.555555555555555</v>
      </c>
    </row>
    <row r="1458">
      <c r="A1458" t="inlineStr">
        <is>
          <t>S|ORIG_BAL x ASSET_CLASS|outcome_loans|p|3</t>
        </is>
      </c>
      <c r="B1458" t="n">
        <v>0.02472088551179017</v>
      </c>
      <c r="C1458" t="n">
        <v>0.02745041733014109</v>
      </c>
      <c r="D1458" t="n">
        <v>0.01114026157556146</v>
      </c>
      <c r="E1458" t="n">
        <v>0.001771407512676825</v>
      </c>
    </row>
    <row r="1459">
      <c r="A1459" t="inlineStr">
        <is>
          <t>S|ORIG_BAL x ASSET_CLASS|outcome_loans|v|4</t>
        </is>
      </c>
      <c r="B1459" t="n">
        <v>5.666666666666667</v>
      </c>
      <c r="C1459" t="n">
        <v>1.888888888888889</v>
      </c>
      <c r="D1459" t="n">
        <v>3.111111111111111</v>
      </c>
      <c r="E1459" t="n">
        <v>2.642857142857143</v>
      </c>
    </row>
    <row r="1460">
      <c r="A1460" t="inlineStr">
        <is>
          <t>S|ORIG_BAL x ASSET_CLASS|outcome_loans|p|4</t>
        </is>
      </c>
      <c r="B1460" t="n">
        <v>0.004342885294971523</v>
      </c>
      <c r="C1460" t="n">
        <v>0.1169560643510203</v>
      </c>
      <c r="D1460" t="n">
        <v>0.004053137287566599</v>
      </c>
      <c r="E1460" t="n">
        <v>0.002914435590392471</v>
      </c>
    </row>
    <row r="1461">
      <c r="A1461" t="inlineStr">
        <is>
          <t>S|ORIG_BAL x ASSET_CLASS|outcome_loans|v|5</t>
        </is>
      </c>
      <c r="B1461" t="n">
        <v>1.898058252427185</v>
      </c>
      <c r="C1461" t="n">
        <v>2.428571428571428</v>
      </c>
      <c r="D1461" t="n">
        <v>2.344884488448845</v>
      </c>
      <c r="E1461" t="n">
        <v>3.714285714285714</v>
      </c>
    </row>
    <row r="1462">
      <c r="A1462" t="inlineStr">
        <is>
          <t>S|ORIG_BAL x ASSET_CLASS|outcome_loans|p|5</t>
        </is>
      </c>
      <c r="B1462" t="n">
        <v>0.1169560643510203</v>
      </c>
      <c r="C1462" t="n">
        <v>0.05032699366479153</v>
      </c>
      <c r="D1462" t="n">
        <v>0.08651112983495766</v>
      </c>
      <c r="E1462" t="n">
        <v>0.002914435590392471</v>
      </c>
    </row>
    <row r="1463">
      <c r="A1463" t="inlineStr">
        <is>
          <t>S|ORIG_BAL x ASSET_CLASS|outcome_loans|v|6</t>
        </is>
      </c>
    </row>
    <row r="1464">
      <c r="A1464" t="inlineStr">
        <is>
          <t>S|ORIG_BAL x ASSET_CLASS|outcome_loans|p|6</t>
        </is>
      </c>
    </row>
    <row r="1465">
      <c r="A1465" t="inlineStr">
        <is>
          <t>S|ORIG_BAL x ASSET_CLASS|sum|2</t>
        </is>
      </c>
      <c r="B1465" t="inlineStr">
        <is>
          <t>Bad dollars</t>
        </is>
      </c>
      <c r="C1465" t="n">
        <v>20</v>
      </c>
      <c r="D1465" t="inlineStr">
        <is>
          <t>20 of 20</t>
        </is>
      </c>
      <c r="E1465" t="n">
        <v>2.666314837291343</v>
      </c>
      <c r="F1465" t="n">
        <v>0.1603936431034967</v>
      </c>
      <c r="G1465" t="inlineStr">
        <is>
          <t>x</t>
        </is>
      </c>
      <c r="H1465" t="n">
        <v>9.999000099990002e-05</v>
      </c>
      <c r="L1465" t="inlineStr">
        <is>
          <t>not tested: dollar rate</t>
        </is>
      </c>
    </row>
    <row r="1466">
      <c r="A1466" t="inlineStr">
        <is>
          <t>S|ORIG_BAL x ASSET_CLASS|outcome_booked|meta</t>
        </is>
      </c>
      <c r="B1466" t="inlineStr">
        <is>
          <t>x</t>
        </is>
      </c>
      <c r="C1466" t="n">
        <v>5.731890421220359</v>
      </c>
    </row>
    <row r="1467">
      <c r="A1467" t="inlineStr">
        <is>
          <t>S|ORIG_BAL x ASSET_CLASS|outcome_booked|v|1</t>
        </is>
      </c>
      <c r="B1467" t="n">
        <v>3.146947589397119</v>
      </c>
      <c r="C1467" t="n">
        <v>2.822950327424933</v>
      </c>
      <c r="D1467" t="n">
        <v>3.053187807456796</v>
      </c>
      <c r="E1467" t="n">
        <v>1.129711880791364</v>
      </c>
    </row>
    <row r="1468">
      <c r="A1468" t="inlineStr">
        <is>
          <t>S|ORIG_BAL x ASSET_CLASS|outcome_booked|p|1</t>
        </is>
      </c>
      <c r="B1468" t="n">
        <v>0.0207979202079792</v>
      </c>
      <c r="C1468" t="n">
        <v>0.02430526178151416</v>
      </c>
      <c r="D1468" t="n">
        <v>0.01777600017776</v>
      </c>
      <c r="E1468" t="n">
        <v>0.7079292070792921</v>
      </c>
    </row>
    <row r="1469">
      <c r="A1469" t="inlineStr">
        <is>
          <t>S|ORIG_BAL x ASSET_CLASS|outcome_booked|v|2</t>
        </is>
      </c>
      <c r="B1469" t="n">
        <v>3.981341779386661</v>
      </c>
      <c r="C1469" t="n">
        <v>1.976730587056447</v>
      </c>
      <c r="D1469" t="n">
        <v>1.456177298608705</v>
      </c>
      <c r="E1469" t="n">
        <v>2.196047040630151</v>
      </c>
    </row>
    <row r="1470">
      <c r="A1470" t="inlineStr">
        <is>
          <t>S|ORIG_BAL x ASSET_CLASS|outcome_booked|p|2</t>
        </is>
      </c>
      <c r="B1470" t="n">
        <v>0.001999800019998</v>
      </c>
      <c r="C1470" t="n">
        <v>0.135986401359864</v>
      </c>
      <c r="D1470" t="n">
        <v>0.2203990127303059</v>
      </c>
      <c r="E1470" t="n">
        <v>0.01777600017776</v>
      </c>
    </row>
    <row r="1471">
      <c r="A1471" t="inlineStr">
        <is>
          <t>S|ORIG_BAL x ASSET_CLASS|outcome_booked|v|3</t>
        </is>
      </c>
      <c r="B1471" t="n">
        <v>2.798375700299015</v>
      </c>
      <c r="C1471" t="n">
        <v>2.916703847798924</v>
      </c>
      <c r="D1471" t="n">
        <v>3.864685427368024</v>
      </c>
      <c r="E1471" t="n">
        <v>3.708670347906829</v>
      </c>
    </row>
    <row r="1472">
      <c r="A1472" t="inlineStr">
        <is>
          <t>S|ORIG_BAL x ASSET_CLASS|outcome_booked|p|3</t>
        </is>
      </c>
      <c r="B1472" t="n">
        <v>0.02430526178151416</v>
      </c>
      <c r="C1472" t="n">
        <v>0.02430526178151416</v>
      </c>
      <c r="D1472" t="n">
        <v>0.01777600017776</v>
      </c>
      <c r="E1472" t="n">
        <v>0.002999700029997</v>
      </c>
    </row>
    <row r="1473">
      <c r="A1473" t="inlineStr">
        <is>
          <t>S|ORIG_BAL x ASSET_CLASS|outcome_booked|v|4</t>
        </is>
      </c>
      <c r="B1473" t="n">
        <v>5.731890421220359</v>
      </c>
      <c r="C1473" t="n">
        <v>1.949763819927757</v>
      </c>
      <c r="D1473" t="n">
        <v>3.158265990130066</v>
      </c>
      <c r="E1473" t="n">
        <v>2.754949397181525</v>
      </c>
    </row>
    <row r="1474">
      <c r="A1474" t="inlineStr">
        <is>
          <t>S|ORIG_BAL x ASSET_CLASS|outcome_booked|p|4</t>
        </is>
      </c>
      <c r="B1474" t="n">
        <v>0.002999700029997</v>
      </c>
      <c r="C1474" t="n">
        <v>0.09636536346365362</v>
      </c>
      <c r="D1474" t="n">
        <v>0.00333300003333</v>
      </c>
      <c r="E1474" t="n">
        <v>0.002999700029997</v>
      </c>
    </row>
    <row r="1475">
      <c r="A1475" t="inlineStr">
        <is>
          <t>S|ORIG_BAL x ASSET_CLASS|outcome_booked|v|5</t>
        </is>
      </c>
      <c r="B1475" t="n">
        <v>1.99465502306397</v>
      </c>
      <c r="C1475" t="n">
        <v>2.371847688858377</v>
      </c>
      <c r="D1475" t="n">
        <v>2.282931336954867</v>
      </c>
      <c r="E1475" t="n">
        <v>3.690234308531327</v>
      </c>
    </row>
    <row r="1476">
      <c r="A1476" t="inlineStr">
        <is>
          <t>S|ORIG_BAL x ASSET_CLASS|outcome_booked|p|5</t>
        </is>
      </c>
      <c r="B1476" t="n">
        <v>0.09359064093590641</v>
      </c>
      <c r="C1476" t="n">
        <v>0.06556487208422014</v>
      </c>
      <c r="D1476" t="n">
        <v>0.101636895134016</v>
      </c>
      <c r="E1476" t="n">
        <v>0.00333300003333</v>
      </c>
    </row>
    <row r="1477">
      <c r="A1477" t="inlineStr">
        <is>
          <t>S|ORIG_BAL x ASSET_CLASS|outcome_booked|v|6</t>
        </is>
      </c>
    </row>
    <row r="1478">
      <c r="A1478" t="inlineStr">
        <is>
          <t>S|ORIG_BAL x ASSET_CLASS|outcome_booked|p|6</t>
        </is>
      </c>
    </row>
    <row r="1479">
      <c r="A1479" t="inlineStr">
        <is>
          <t>S|ORIG_BAL x ASSET_CLASS|sum|3</t>
        </is>
      </c>
      <c r="B1479" t="inlineStr">
        <is>
          <t>Charge-offs</t>
        </is>
      </c>
      <c r="C1479" t="n">
        <v>20</v>
      </c>
      <c r="D1479" t="inlineStr">
        <is>
          <t>20 of 20</t>
        </is>
      </c>
      <c r="E1479" t="n">
        <v>2.6995077077249</v>
      </c>
      <c r="F1479" t="n">
        <v>0.167359967770355</v>
      </c>
      <c r="G1479" t="inlineStr">
        <is>
          <t>x</t>
        </is>
      </c>
      <c r="H1479" t="n">
        <v>9.999000099990002e-05</v>
      </c>
      <c r="L1479" t="inlineStr">
        <is>
          <t>not tested: dollar rate</t>
        </is>
      </c>
    </row>
    <row r="1480">
      <c r="A1480" t="inlineStr">
        <is>
          <t>S|ORIG_BAL x ASSET_CLASS|gco_rate|meta</t>
        </is>
      </c>
      <c r="B1480" t="inlineStr">
        <is>
          <t>x</t>
        </is>
      </c>
      <c r="C1480" t="n">
        <v>8.832652666868274</v>
      </c>
    </row>
    <row r="1481">
      <c r="A1481" t="inlineStr">
        <is>
          <t>S|ORIG_BAL x ASSET_CLASS|gco_rate|v|1</t>
        </is>
      </c>
      <c r="B1481" t="n">
        <v>2.976777572618182</v>
      </c>
      <c r="C1481" t="n">
        <v>2.627892714394283</v>
      </c>
      <c r="D1481" t="n">
        <v>2.622488401437189</v>
      </c>
      <c r="E1481" t="n">
        <v>1.160000043547542</v>
      </c>
    </row>
    <row r="1482">
      <c r="A1482" t="inlineStr">
        <is>
          <t>S|ORIG_BAL x ASSET_CLASS|gco_rate|p|1</t>
        </is>
      </c>
      <c r="B1482" t="n">
        <v>0.041551400415514</v>
      </c>
      <c r="C1482" t="n">
        <v>0.0471619504716195</v>
      </c>
      <c r="D1482" t="n">
        <v>0.0471619504716195</v>
      </c>
      <c r="E1482" t="n">
        <v>0.6562343765623437</v>
      </c>
    </row>
    <row r="1483">
      <c r="A1483" t="inlineStr">
        <is>
          <t>S|ORIG_BAL x ASSET_CLASS|gco_rate|v|2</t>
        </is>
      </c>
      <c r="B1483" t="n">
        <v>4.35418048170549</v>
      </c>
      <c r="C1483" t="n">
        <v>1.861218582368206</v>
      </c>
      <c r="D1483" t="n">
        <v>1.668858243666851</v>
      </c>
      <c r="E1483" t="n">
        <v>2.285390718631203</v>
      </c>
    </row>
    <row r="1484">
      <c r="A1484" t="inlineStr">
        <is>
          <t>S|ORIG_BAL x ASSET_CLASS|gco_rate|p|2</t>
        </is>
      </c>
      <c r="B1484" t="n">
        <v>0.001999800019998</v>
      </c>
      <c r="C1484" t="n">
        <v>0.1738773491071945</v>
      </c>
      <c r="D1484" t="n">
        <v>0.125516860078698</v>
      </c>
      <c r="E1484" t="n">
        <v>0.0144985501449855</v>
      </c>
    </row>
    <row r="1485">
      <c r="A1485" t="inlineStr">
        <is>
          <t>S|ORIG_BAL x ASSET_CLASS|gco_rate|v|3</t>
        </is>
      </c>
      <c r="B1485" t="n">
        <v>2.165765762164777</v>
      </c>
      <c r="C1485" t="n">
        <v>2.753802395884823</v>
      </c>
      <c r="D1485" t="n">
        <v>4.454537003359965</v>
      </c>
      <c r="E1485" t="n">
        <v>3.973220090542155</v>
      </c>
    </row>
    <row r="1486">
      <c r="A1486" t="inlineStr">
        <is>
          <t>S|ORIG_BAL x ASSET_CLASS|gco_rate|p|3</t>
        </is>
      </c>
      <c r="B1486" t="n">
        <v>0.08972436089724362</v>
      </c>
      <c r="C1486" t="n">
        <v>0.0471619504716195</v>
      </c>
      <c r="D1486" t="n">
        <v>0.009141942948562286</v>
      </c>
      <c r="E1486" t="n">
        <v>0.001999800019998</v>
      </c>
    </row>
    <row r="1487">
      <c r="A1487" t="inlineStr">
        <is>
          <t>S|ORIG_BAL x ASSET_CLASS|gco_rate|v|4</t>
        </is>
      </c>
      <c r="B1487" t="n">
        <v>8.832652666868274</v>
      </c>
      <c r="C1487" t="n">
        <v>1.967366509007527</v>
      </c>
      <c r="D1487" t="n">
        <v>3.181951014085544</v>
      </c>
      <c r="E1487" t="n">
        <v>2.671355159560366</v>
      </c>
    </row>
    <row r="1488">
      <c r="A1488" t="inlineStr">
        <is>
          <t>S|ORIG_BAL x ASSET_CLASS|gco_rate|p|4</t>
        </is>
      </c>
      <c r="B1488" t="n">
        <v>0.001999800019998</v>
      </c>
      <c r="C1488" t="n">
        <v>0.125516860078698</v>
      </c>
      <c r="D1488" t="n">
        <v>0.003999600039996</v>
      </c>
      <c r="E1488" t="n">
        <v>0.002999700029997</v>
      </c>
    </row>
    <row r="1489">
      <c r="A1489" t="inlineStr">
        <is>
          <t>S|ORIG_BAL x ASSET_CLASS|gco_rate|v|5</t>
        </is>
      </c>
      <c r="B1489" t="n">
        <v>2.279648236253329</v>
      </c>
      <c r="C1489" t="n">
        <v>2.426608183306881</v>
      </c>
      <c r="D1489" t="n">
        <v>2.069704896197282</v>
      </c>
      <c r="E1489" t="n">
        <v>3.354371762276773</v>
      </c>
    </row>
    <row r="1490">
      <c r="A1490" t="inlineStr">
        <is>
          <t>S|ORIG_BAL x ASSET_CLASS|gco_rate|p|5</t>
        </is>
      </c>
      <c r="B1490" t="n">
        <v>0.06956447212421614</v>
      </c>
      <c r="C1490" t="n">
        <v>0.05799420057994201</v>
      </c>
      <c r="D1490" t="n">
        <v>0.139652701396527</v>
      </c>
      <c r="E1490" t="n">
        <v>0.006332700063327001</v>
      </c>
    </row>
    <row r="1491">
      <c r="A1491" t="inlineStr">
        <is>
          <t>S|ORIG_BAL x ASSET_CLASS|gco_rate|v|6</t>
        </is>
      </c>
    </row>
    <row r="1492">
      <c r="A1492" t="inlineStr">
        <is>
          <t>S|ORIG_BAL x ASSET_CLASS|gco_rate|p|6</t>
        </is>
      </c>
    </row>
    <row r="1493">
      <c r="A1493" t="inlineStr">
        <is>
          <t>S|ORIG_BAL x ASSET_CLASS|sum|4</t>
        </is>
      </c>
      <c r="B1493" t="inlineStr">
        <is>
          <t>Kept after losses</t>
        </is>
      </c>
      <c r="C1493" t="n">
        <v>20</v>
      </c>
      <c r="D1493" t="inlineStr">
        <is>
          <t>1 of 20</t>
        </is>
      </c>
      <c r="E1493" t="n">
        <v>2.665795837441555</v>
      </c>
      <c r="F1493" t="n">
        <v>0.4569890637946632</v>
      </c>
      <c r="G1493" t="inlineStr">
        <is>
          <t>pts</t>
        </is>
      </c>
      <c r="H1493" t="n">
        <v>9.999000099990002e-05</v>
      </c>
      <c r="L1493" t="inlineStr">
        <is>
          <t>not tested: dollar rate</t>
        </is>
      </c>
    </row>
    <row r="1494">
      <c r="A1494" t="inlineStr">
        <is>
          <t>S|ORIG_BAL x ASSET_CLASS|ranr_rate|meta</t>
        </is>
      </c>
      <c r="B1494" t="inlineStr">
        <is>
          <t>pts</t>
        </is>
      </c>
      <c r="C1494" t="n">
        <v>6.785516273</v>
      </c>
    </row>
    <row r="1495">
      <c r="A1495" t="inlineStr">
        <is>
          <t>S|ORIG_BAL x ASSET_CLASS|ranr_rate|v|1</t>
        </is>
      </c>
      <c r="B1495" t="n">
        <v>3.238872591</v>
      </c>
      <c r="C1495" t="n">
        <v>1.965478228</v>
      </c>
      <c r="D1495" t="n">
        <v>2.273499335</v>
      </c>
      <c r="E1495" t="n">
        <v>4.431200861</v>
      </c>
    </row>
    <row r="1496">
      <c r="A1496" t="inlineStr">
        <is>
          <t>S|ORIG_BAL x ASSET_CLASS|ranr_rate|p|1</t>
        </is>
      </c>
      <c r="B1496" t="n">
        <v>0.173982601739826</v>
      </c>
      <c r="C1496" t="n">
        <v>0.4724142970318352</v>
      </c>
      <c r="D1496" t="n">
        <v>0.4724142970318352</v>
      </c>
      <c r="E1496" t="n">
        <v>0.0907909209079092</v>
      </c>
    </row>
    <row r="1497">
      <c r="A1497" t="inlineStr">
        <is>
          <t>S|ORIG_BAL x ASSET_CLASS|ranr_rate|v|2</t>
        </is>
      </c>
      <c r="B1497" t="n">
        <v>0.750796215</v>
      </c>
      <c r="C1497" t="n">
        <v>5.142060505</v>
      </c>
      <c r="D1497" t="n">
        <v>3.298144061</v>
      </c>
      <c r="E1497" t="n">
        <v>2.125774266</v>
      </c>
    </row>
    <row r="1498">
      <c r="A1498" t="inlineStr">
        <is>
          <t>S|ORIG_BAL x ASSET_CLASS|ranr_rate|p|2</t>
        </is>
      </c>
      <c r="B1498" t="n">
        <v>0.8293288318227</v>
      </c>
      <c r="C1498" t="n">
        <v>0.03999600039996</v>
      </c>
      <c r="D1498" t="n">
        <v>0.2941928029419281</v>
      </c>
      <c r="E1498" t="n">
        <v>0.4724142970318352</v>
      </c>
    </row>
    <row r="1499">
      <c r="A1499" t="inlineStr">
        <is>
          <t>S|ORIG_BAL x ASSET_CLASS|ranr_rate|v|3</t>
        </is>
      </c>
      <c r="B1499" t="n">
        <v>4.163791233</v>
      </c>
      <c r="C1499" t="n">
        <v>0.741260235</v>
      </c>
      <c r="D1499" t="n">
        <v>1.438141527</v>
      </c>
      <c r="E1499" t="n">
        <v>0.389013694</v>
      </c>
    </row>
    <row r="1500">
      <c r="A1500" t="inlineStr">
        <is>
          <t>S|ORIG_BAL x ASSET_CLASS|ranr_rate|p|3</t>
        </is>
      </c>
      <c r="B1500" t="n">
        <v>0.09099090090990901</v>
      </c>
      <c r="C1500" t="n">
        <v>0.7832966703329668</v>
      </c>
      <c r="D1500" t="n">
        <v>0.5820751258207513</v>
      </c>
      <c r="E1500" t="n">
        <v>0.850914908509149</v>
      </c>
    </row>
    <row r="1501">
      <c r="A1501" t="inlineStr">
        <is>
          <t>S|ORIG_BAL x ASSET_CLASS|ranr_rate|v|4</t>
        </is>
      </c>
      <c r="B1501" t="n">
        <v>1.475347088</v>
      </c>
      <c r="C1501" t="n">
        <v>6.785516273</v>
      </c>
      <c r="D1501" t="n">
        <v>0.408049601</v>
      </c>
      <c r="E1501" t="n">
        <v>-0.405108144</v>
      </c>
    </row>
    <row r="1502">
      <c r="A1502" t="inlineStr">
        <is>
          <t>S|ORIG_BAL x ASSET_CLASS|ranr_rate|p|4</t>
        </is>
      </c>
      <c r="B1502" t="n">
        <v>0.5820751258207513</v>
      </c>
      <c r="C1502" t="n">
        <v>0.005999400059994</v>
      </c>
      <c r="D1502" t="n">
        <v>0.850914908509149</v>
      </c>
      <c r="E1502" t="n">
        <v>0.850914908509149</v>
      </c>
    </row>
    <row r="1503">
      <c r="A1503" t="inlineStr">
        <is>
          <t>S|ORIG_BAL x ASSET_CLASS|ranr_rate|v|5</t>
        </is>
      </c>
      <c r="B1503" t="n">
        <v>3.604991663</v>
      </c>
      <c r="C1503" t="n">
        <v>4.623394431</v>
      </c>
      <c r="D1503" t="n">
        <v>4.056722703</v>
      </c>
      <c r="E1503" t="n">
        <v>2.050997339</v>
      </c>
    </row>
    <row r="1504">
      <c r="A1504" t="inlineStr">
        <is>
          <t>S|ORIG_BAL x ASSET_CLASS|ranr_rate|p|5</t>
        </is>
      </c>
      <c r="B1504" t="n">
        <v>0.1251303441084463</v>
      </c>
      <c r="C1504" t="n">
        <v>0.03999600039996</v>
      </c>
      <c r="D1504" t="n">
        <v>0.03999600039996</v>
      </c>
      <c r="E1504" t="n">
        <v>0.4724142970318352</v>
      </c>
    </row>
    <row r="1505">
      <c r="A1505" t="inlineStr">
        <is>
          <t>S|ORIG_BAL x ASSET_CLASS|ranr_rate|v|6</t>
        </is>
      </c>
    </row>
    <row r="1506">
      <c r="A1506" t="inlineStr">
        <is>
          <t>S|ORIG_BAL x ASSET_CLASS|ranr_rate|p|6</t>
        </is>
      </c>
    </row>
    <row r="1507">
      <c r="A1507" t="inlineStr">
        <is>
          <t>S|ORIG_BAL x ASSET_CLASS|sum|5</t>
        </is>
      </c>
      <c r="B1507" t="inlineStr">
        <is>
          <t>Earned before losses</t>
        </is>
      </c>
      <c r="C1507" t="n">
        <v>20</v>
      </c>
      <c r="D1507" t="inlineStr">
        <is>
          <t>0 of 20</t>
        </is>
      </c>
      <c r="E1507" t="n">
        <v>6.490642936403455</v>
      </c>
      <c r="F1507" t="n">
        <v>0.310288073818391</v>
      </c>
      <c r="G1507" t="inlineStr">
        <is>
          <t>pts</t>
        </is>
      </c>
      <c r="H1507" t="n">
        <v>9.999000099990002e-05</v>
      </c>
      <c r="L1507" t="inlineStr">
        <is>
          <t>not tested: dollar rate</t>
        </is>
      </c>
    </row>
    <row r="1508">
      <c r="A1508" t="inlineStr">
        <is>
          <t>S|ORIG_BAL x ASSET_CLASS|contribution_rate|meta</t>
        </is>
      </c>
      <c r="B1508" t="inlineStr">
        <is>
          <t>pts</t>
        </is>
      </c>
      <c r="C1508" t="n">
        <v>9.055565915000001</v>
      </c>
    </row>
    <row r="1509">
      <c r="A1509" t="inlineStr">
        <is>
          <t>S|ORIG_BAL x ASSET_CLASS|contribution_rate|v|1</t>
        </is>
      </c>
      <c r="B1509" t="n">
        <v>6.483534627</v>
      </c>
      <c r="C1509" t="n">
        <v>5.102584816</v>
      </c>
      <c r="D1509" t="n">
        <v>6.391369185</v>
      </c>
      <c r="E1509" t="n">
        <v>5.20459875</v>
      </c>
    </row>
    <row r="1510">
      <c r="A1510" t="inlineStr">
        <is>
          <t>S|ORIG_BAL x ASSET_CLASS|contribution_rate|p|1</t>
        </is>
      </c>
      <c r="B1510" t="n">
        <v>0.0001052526326314737</v>
      </c>
      <c r="C1510" t="n">
        <v>0.0001052526326314737</v>
      </c>
      <c r="D1510" t="n">
        <v>0.0001052526326314737</v>
      </c>
      <c r="E1510" t="n">
        <v>0.0001052526326314737</v>
      </c>
    </row>
    <row r="1511">
      <c r="A1511" t="inlineStr">
        <is>
          <t>S|ORIG_BAL x ASSET_CLASS|contribution_rate|v|2</t>
        </is>
      </c>
      <c r="B1511" t="n">
        <v>7.61676389</v>
      </c>
      <c r="C1511" t="n">
        <v>7.20244143</v>
      </c>
      <c r="D1511" t="n">
        <v>6.214612195</v>
      </c>
      <c r="E1511" t="n">
        <v>7.033295878</v>
      </c>
    </row>
    <row r="1512">
      <c r="A1512" t="inlineStr">
        <is>
          <t>S|ORIG_BAL x ASSET_CLASS|contribution_rate|p|2</t>
        </is>
      </c>
      <c r="B1512" t="n">
        <v>0.0001052526326314737</v>
      </c>
      <c r="C1512" t="n">
        <v>0.0001052526326314737</v>
      </c>
      <c r="D1512" t="n">
        <v>0.0001052526326314737</v>
      </c>
      <c r="E1512" t="n">
        <v>0.0001052526326314737</v>
      </c>
    </row>
    <row r="1513">
      <c r="A1513" t="inlineStr">
        <is>
          <t>S|ORIG_BAL x ASSET_CLASS|contribution_rate|v|3</t>
        </is>
      </c>
      <c r="B1513" t="n">
        <v>6.822873855</v>
      </c>
      <c r="C1513" t="n">
        <v>3.372533383</v>
      </c>
      <c r="D1513" t="n">
        <v>5.453287945</v>
      </c>
      <c r="E1513" t="n">
        <v>6.786412554</v>
      </c>
    </row>
    <row r="1514">
      <c r="A1514" t="inlineStr">
        <is>
          <t>S|ORIG_BAL x ASSET_CLASS|contribution_rate|p|3</t>
        </is>
      </c>
      <c r="B1514" t="n">
        <v>0.0001052526326314737</v>
      </c>
      <c r="C1514" t="n">
        <v>0.0017998200179982</v>
      </c>
      <c r="D1514" t="n">
        <v>0.0001052526326314737</v>
      </c>
      <c r="E1514" t="n">
        <v>0.0001052526326314737</v>
      </c>
    </row>
    <row r="1515">
      <c r="A1515" t="inlineStr">
        <is>
          <t>S|ORIG_BAL x ASSET_CLASS|contribution_rate|v|4</t>
        </is>
      </c>
      <c r="B1515" t="n">
        <v>6.252310057</v>
      </c>
      <c r="C1515" t="n">
        <v>9.055565915000001</v>
      </c>
      <c r="D1515" t="n">
        <v>5.993372772</v>
      </c>
      <c r="E1515" t="n">
        <v>5.8296166</v>
      </c>
    </row>
    <row r="1516">
      <c r="A1516" t="inlineStr">
        <is>
          <t>S|ORIG_BAL x ASSET_CLASS|contribution_rate|p|4</t>
        </is>
      </c>
      <c r="B1516" t="n">
        <v>0.0001052526326314737</v>
      </c>
      <c r="C1516" t="n">
        <v>0.0001052526326314737</v>
      </c>
      <c r="D1516" t="n">
        <v>0.0001052526326314737</v>
      </c>
      <c r="E1516" t="n">
        <v>0.0001052526326314737</v>
      </c>
    </row>
    <row r="1517">
      <c r="A1517" t="inlineStr">
        <is>
          <t>S|ORIG_BAL x ASSET_CLASS|contribution_rate|v|5</t>
        </is>
      </c>
      <c r="B1517" t="n">
        <v>6.400572534</v>
      </c>
      <c r="C1517" t="n">
        <v>7.351822573</v>
      </c>
      <c r="D1517" t="n">
        <v>5.861479781</v>
      </c>
      <c r="E1517" t="n">
        <v>7.271287783</v>
      </c>
    </row>
    <row r="1518">
      <c r="A1518" t="inlineStr">
        <is>
          <t>S|ORIG_BAL x ASSET_CLASS|contribution_rate|p|5</t>
        </is>
      </c>
      <c r="B1518" t="n">
        <v>0.0001052526326314737</v>
      </c>
      <c r="C1518" t="n">
        <v>0.0001052526326314737</v>
      </c>
      <c r="D1518" t="n">
        <v>0.0001052526326314737</v>
      </c>
      <c r="E1518" t="n">
        <v>0.0001052526326314737</v>
      </c>
    </row>
    <row r="1519">
      <c r="A1519" t="inlineStr">
        <is>
          <t>S|ORIG_BAL x ASSET_CLASS|contribution_rate|v|6</t>
        </is>
      </c>
    </row>
    <row r="1520">
      <c r="A1520" t="inlineStr">
        <is>
          <t>S|ORIG_BAL x ASSET_CLASS|contribution_rate|p|6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38" t="inlineStr">
        <is>
          <t>The lines in use: what the formulas on the result tabs read</t>
        </is>
      </c>
    </row>
    <row r="2">
      <c r="B2" s="139"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0" t="inlineStr">
        <is>
          <t>Setting</t>
        </is>
      </c>
      <c r="C4" s="140" t="inlineStr">
        <is>
          <t>In use now</t>
        </is>
      </c>
      <c r="D4" s="140" t="inlineStr">
        <is>
          <t>The last Run used</t>
        </is>
      </c>
      <c r="E4" s="140" t="inlineStr">
        <is>
          <t>In words now</t>
        </is>
      </c>
      <c r="F4" s="140" t="inlineStr">
        <is>
          <t>In words at the last Run</t>
        </is>
      </c>
      <c r="K4" s="140" t="inlineStr">
        <is>
          <t>Option (setting|label)</t>
        </is>
      </c>
      <c r="L4" s="140" t="inlineStr">
        <is>
          <t>Kind</t>
        </is>
      </c>
      <c r="M4" s="140"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0" t="inlineStr">
        <is>
          <t>Each rate's materiality line</t>
        </is>
      </c>
      <c r="C19" s="140" t="inlineStr">
        <is>
          <t>In use now</t>
        </is>
      </c>
      <c r="D19" s="140" t="inlineStr">
        <is>
          <t>The last Run used</t>
        </is>
      </c>
      <c r="E19" s="140" t="inlineStr">
        <is>
          <t>The rate's book total, for a share</t>
        </is>
      </c>
      <c r="G19" s="140"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J1198"/>
  <sheetViews>
    <sheetView tabSelected="0" workbookViewId="0">
      <pane ySplit="3" topLeftCell="A4" activePane="bottomLeft" state="frozen"/>
      <selection pane="bottomLeft" activeCell="A1" sqref="A1"/>
    </sheetView>
  </sheetViews>
  <sheetFormatPr baseColWidth="8" defaultRowHeight="15"/>
  <sheetData>
    <row r="1">
      <c r="A1" s="140" t="inlineStr">
        <is>
          <t>Every pocket's numbers from the last Run (columns A to U), and the formulas that read them with the lines on Control (V onwards).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1" t="inlineStr">
        <is>
          <t>Grids or three-way</t>
        </is>
      </c>
      <c r="B3" s="141" t="inlineStr">
        <is>
          <t>Grid</t>
        </is>
      </c>
      <c r="C3" s="141" t="inlineStr">
        <is>
          <t>Band</t>
        </is>
      </c>
      <c r="D3" s="141" t="inlineStr">
        <is>
          <t>Segment</t>
        </is>
      </c>
      <c r="E3" s="141" t="inlineStr">
        <is>
          <t>Rate (key)</t>
        </is>
      </c>
      <c r="F3" s="141" t="inlineStr">
        <is>
          <t>Rate</t>
        </is>
      </c>
      <c r="G3" s="141" t="inlineStr">
        <is>
          <t>Loans</t>
        </is>
      </c>
      <c r="H3" s="141" t="inlineStr">
        <is>
          <t>Booked dollars (the rate's bottom)</t>
        </is>
      </c>
      <c r="I3" s="141" t="inlineStr">
        <is>
          <t>Too few losses to test (fewest losses is a Run setting)</t>
        </is>
      </c>
      <c r="J3" s="141" t="inlineStr">
        <is>
          <t>Alone in its band</t>
        </is>
      </c>
      <c r="K3" s="141" t="inlineStr">
        <is>
          <t>Vs rest of book (a multiple; profit: the gap, 0.01 = 1 point)</t>
        </is>
      </c>
      <c r="L3" s="141" t="inlineStr">
        <is>
          <t>p-value vs book, after the allowance</t>
        </is>
      </c>
      <c r="M3" s="141" t="inlineStr">
        <is>
          <t>Vs rest of band</t>
        </is>
      </c>
      <c r="N3" s="141" t="inlineStr">
        <is>
          <t>p-value vs band, after the allowance</t>
        </is>
      </c>
      <c r="O3" s="141" t="inlineStr">
        <is>
          <t>Excess over the rest of the book ($)</t>
        </is>
      </c>
      <c r="P3" s="141" t="inlineStr">
        <is>
          <t>Excess over its band ($)</t>
        </is>
      </c>
      <c r="Q3" s="141" t="inlineStr">
        <is>
          <t>Materiality line in use (from _live)</t>
        </is>
      </c>
      <c r="R3" s="141" t="inlineStr">
        <is>
          <t>Test vs book</t>
        </is>
      </c>
      <c r="S3" s="141" t="inlineStr">
        <is>
          <t>Test vs band</t>
        </is>
      </c>
      <c r="T3" s="141" t="inlineStr">
        <is>
          <t>Rest of book's rate</t>
        </is>
      </c>
      <c r="U3" s="141" t="inlineStr">
        <is>
          <t>Rest of band's rate</t>
        </is>
      </c>
      <c r="V3" s="142" t="inlineStr">
        <is>
          <t>Judged against its band?</t>
        </is>
      </c>
      <c r="W3" s="142" t="inlineStr">
        <is>
          <t>Reading vs book</t>
        </is>
      </c>
      <c r="X3" s="142" t="inlineStr">
        <is>
          <t>Reading vs band</t>
        </is>
      </c>
      <c r="Y3" s="142" t="inlineStr">
        <is>
          <t>Flag</t>
        </is>
      </c>
      <c r="Z3" s="142" t="inlineStr">
        <is>
          <t>Dollars that decide</t>
        </is>
      </c>
      <c r="AA3" s="142" t="inlineStr">
        <is>
          <t>Material</t>
        </is>
      </c>
      <c r="AB3" s="142" t="inlineStr">
        <is>
          <t>Gap that decides</t>
        </is>
      </c>
      <c r="AC3" s="142" t="inlineStr">
        <is>
          <t>p-value that decides</t>
        </is>
      </c>
      <c r="AD3" s="142" t="inlineStr">
        <is>
          <t>Flag as the tabs print it</t>
        </is>
      </c>
      <c r="AE3" s="142" t="inlineStr">
        <is>
          <t>Test, as printed</t>
        </is>
      </c>
      <c r="AF3" s="142" t="inlineStr">
        <is>
          <t>Rest's rate that decides</t>
        </is>
      </c>
      <c r="AG3" s="142" t="inlineStr">
        <is>
          <t>The other dollars, for reference</t>
        </is>
      </c>
      <c r="AH3" s="142" t="inlineStr">
        <is>
          <t>This pocket's rate</t>
        </is>
      </c>
      <c r="AI3" s="142" t="inlineStr">
        <is>
          <t>Worse?</t>
        </is>
      </c>
      <c r="AJ3" s="142" t="inlineStr">
        <is>
          <t>Material?</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row>
    <row r="409">
      <c r="A409" t="inlineStr">
        <is>
          <t>three-way</t>
        </is>
      </c>
      <c r="B409" t="inlineStr">
        <is>
          <t>FICO x CHANNEL / REV_DEBT</t>
        </is>
      </c>
      <c r="C409" t="inlineStr">
        <is>
          <t>(marked missing)</t>
        </is>
      </c>
      <c r="D409" t="inlineStr">
        <is>
          <t>Online / REV_DEBT high half</t>
        </is>
      </c>
      <c r="E409" t="inlineStr">
        <is>
          <t>outcome_loans</t>
        </is>
      </c>
      <c r="F409" t="inlineStr">
        <is>
          <t>Outcome, share of loans</t>
        </is>
      </c>
      <c r="G409" t="n">
        <v>27</v>
      </c>
      <c r="H409" t="n">
        <v>27</v>
      </c>
      <c r="I409" t="b">
        <v>1</v>
      </c>
      <c r="J409" t="b">
        <v>0</v>
      </c>
      <c r="K409" t="n">
        <v>0.4777657916816492</v>
      </c>
      <c r="M409" t="n">
        <v>0.5473251028806584</v>
      </c>
      <c r="O409" t="n">
        <v>-1.093075765178123</v>
      </c>
      <c r="P409" t="n">
        <v>-0.8270676691729322</v>
      </c>
      <c r="Q409">
        <f>'_live'!$C$20</f>
        <v/>
      </c>
      <c r="T409" t="n">
        <v>0.0775213246362268</v>
      </c>
      <c r="U409" t="n">
        <v>0.06766917293233082</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0.03703703703703703</v>
      </c>
      <c r="AI409">
        <f>IF($Y409="worse","Yes",IF($Y409="worse, not significant","Not sure",IF(OR($Y409="too few losses to test",$Y409="too few loans to test"),"Too few losses",IF($Y409="","","No"))))</f>
        <v/>
      </c>
      <c r="AJ409">
        <f>IF($AA409="yes","Yes",IF($AA409="","","No"))</f>
        <v/>
      </c>
    </row>
    <row r="410">
      <c r="A410" t="inlineStr">
        <is>
          <t>three-way</t>
        </is>
      </c>
      <c r="B410" t="inlineStr">
        <is>
          <t>FICO x CHANNEL / REV_DEBT</t>
        </is>
      </c>
      <c r="C410" t="inlineStr">
        <is>
          <t>(marked missing)</t>
        </is>
      </c>
      <c r="D410" t="inlineStr">
        <is>
          <t>Online / REV_DEBT high half</t>
        </is>
      </c>
      <c r="E410" t="inlineStr">
        <is>
          <t>outcome_booked</t>
        </is>
      </c>
      <c r="F410" t="inlineStr">
        <is>
          <t>Outcome, share of booked dollars</t>
        </is>
      </c>
      <c r="G410" t="n">
        <v>27</v>
      </c>
      <c r="H410" t="n">
        <v>858062.1400000001</v>
      </c>
      <c r="I410" t="b">
        <v>1</v>
      </c>
      <c r="J410" t="b">
        <v>0</v>
      </c>
      <c r="K410" t="n">
        <v>0.117640522231671</v>
      </c>
      <c r="M410" t="n">
        <v>0.1583177930313976</v>
      </c>
      <c r="O410" t="n">
        <v>-56821.10295108514</v>
      </c>
      <c r="P410" t="n">
        <v>-40275.36338635851</v>
      </c>
      <c r="Q410">
        <f>'_live'!$C$21</f>
        <v/>
      </c>
      <c r="T410" t="n">
        <v>0.07504907855634457</v>
      </c>
      <c r="U410" t="n">
        <v>0.05576639634322812</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0.008828812794374075</v>
      </c>
      <c r="AI410">
        <f>IF($Y410="worse","Yes",IF($Y410="worse, not significant","Not sure",IF(OR($Y410="too few losses to test",$Y410="too few loans to test"),"Too few losses",IF($Y410="","","No"))))</f>
        <v/>
      </c>
      <c r="AJ410">
        <f>IF($AA410="yes","Yes",IF($AA410="","","No"))</f>
        <v/>
      </c>
    </row>
    <row r="411">
      <c r="A411" t="inlineStr">
        <is>
          <t>three-way</t>
        </is>
      </c>
      <c r="B411" t="inlineStr">
        <is>
          <t>FICO x CHANNEL / REV_DEBT</t>
        </is>
      </c>
      <c r="C411" t="inlineStr">
        <is>
          <t>(marked missing)</t>
        </is>
      </c>
      <c r="D411" t="inlineStr">
        <is>
          <t>Online / REV_DEBT high half</t>
        </is>
      </c>
      <c r="E411" t="inlineStr">
        <is>
          <t>gco_rate</t>
        </is>
      </c>
      <c r="F411" t="inlineStr">
        <is>
          <t>GCO per booked dollar</t>
        </is>
      </c>
      <c r="G411" t="n">
        <v>27</v>
      </c>
      <c r="H411" t="n">
        <v>858062.1400000001</v>
      </c>
      <c r="I411" t="b">
        <v>1</v>
      </c>
      <c r="J411" t="b">
        <v>0</v>
      </c>
      <c r="K411" t="n">
        <v>0.09020158362730712</v>
      </c>
      <c r="M411" t="n">
        <v>0.1266334561831588</v>
      </c>
      <c r="O411" t="n">
        <v>-32578.28049991712</v>
      </c>
      <c r="P411" t="n">
        <v>-22276.41167580961</v>
      </c>
      <c r="Q411">
        <f>'_live'!$C$22</f>
        <v/>
      </c>
      <c r="T411" t="n">
        <v>0.04173152366321291</v>
      </c>
      <c r="U411" t="n">
        <v>0.02972555306520062</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0.003764249521602246</v>
      </c>
      <c r="AI411">
        <f>IF($Y411="worse","Yes",IF($Y411="worse, not significant","Not sure",IF(OR($Y411="too few losses to test",$Y411="too few loans to test"),"Too few losses",IF($Y411="","","No"))))</f>
        <v/>
      </c>
      <c r="AJ411">
        <f>IF($AA411="yes","Yes",IF($AA411="","","No"))</f>
        <v/>
      </c>
    </row>
    <row r="412">
      <c r="A412" t="inlineStr">
        <is>
          <t>three-way</t>
        </is>
      </c>
      <c r="B412" t="inlineStr">
        <is>
          <t>FICO x CHANNEL / REV_DEBT</t>
        </is>
      </c>
      <c r="C412" t="inlineStr">
        <is>
          <t>(marked missing)</t>
        </is>
      </c>
      <c r="D412" t="inlineStr">
        <is>
          <t>Online / REV_DEBT high half</t>
        </is>
      </c>
      <c r="E412" t="inlineStr">
        <is>
          <t>ranr_rate</t>
        </is>
      </c>
      <c r="F412" t="inlineStr">
        <is>
          <t>Profit after losses: RANR per booked dollar</t>
        </is>
      </c>
      <c r="G412" t="n">
        <v>27</v>
      </c>
      <c r="H412" t="n">
        <v>858062.1400000001</v>
      </c>
      <c r="I412" t="b">
        <v>0</v>
      </c>
      <c r="J412" t="b">
        <v>0</v>
      </c>
      <c r="K412" t="n">
        <v>0.1387459736821298</v>
      </c>
      <c r="L412" t="n">
        <v>0.0026115035555268</v>
      </c>
      <c r="M412" t="n">
        <v>0.1326202621450584</v>
      </c>
      <c r="N412" t="n">
        <v>0.0023997600239976</v>
      </c>
      <c r="O412" t="n">
        <v>-119052.667094072</v>
      </c>
      <c r="P412" t="n">
        <v>-113796.4259435498</v>
      </c>
      <c r="Q412">
        <f>'_live'!$C$23</f>
        <v/>
      </c>
      <c r="R412" t="inlineStr">
        <is>
          <t>shuffled: 11 of 10,000</t>
        </is>
      </c>
      <c r="S412" t="inlineStr">
        <is>
          <t>shuffled: 1 of 10,000</t>
        </is>
      </c>
      <c r="T412" t="n">
        <v>0.1275287275883399</v>
      </c>
      <c r="U412" t="n">
        <v>0.1336544391254113</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0.2662747012704696</v>
      </c>
      <c r="AI412">
        <f>IF($Y412="worse","Yes",IF($Y412="worse, not significant","Not sure",IF(OR($Y412="too few losses to test",$Y412="too few loans to test"),"Too few losses",IF($Y412="","","No"))))</f>
        <v/>
      </c>
      <c r="AJ412">
        <f>IF($AA412="yes","Yes",IF($AA412="","","No"))</f>
        <v/>
      </c>
    </row>
    <row r="413">
      <c r="A413" t="inlineStr">
        <is>
          <t>three-way</t>
        </is>
      </c>
      <c r="B413" t="inlineStr">
        <is>
          <t>FICO x CHANNEL / REV_DEBT</t>
        </is>
      </c>
      <c r="C413" t="inlineStr">
        <is>
          <t>(marked missing)</t>
        </is>
      </c>
      <c r="D413" t="inlineStr">
        <is>
          <t>Online / REV_DEBT high half</t>
        </is>
      </c>
      <c r="E413" t="inlineStr">
        <is>
          <t>contribution_rate</t>
        </is>
      </c>
      <c r="F413" t="inlineStr">
        <is>
          <t>Contribution before losses per booked dollar</t>
        </is>
      </c>
      <c r="G413" t="n">
        <v>27</v>
      </c>
      <c r="H413" t="n">
        <v>858062.1400000001</v>
      </c>
      <c r="I413" t="b">
        <v>0</v>
      </c>
      <c r="J413" t="b">
        <v>0</v>
      </c>
      <c r="K413" t="n">
        <v>0.1007816395143912</v>
      </c>
      <c r="L413" t="n">
        <v>0.000482560439608213</v>
      </c>
      <c r="M413" t="n">
        <v>0.10665895860146</v>
      </c>
      <c r="N413" t="n">
        <v>0.0015998400159984</v>
      </c>
      <c r="O413" t="n">
        <v>-86476.9092744271</v>
      </c>
      <c r="P413" t="n">
        <v>-91520.01426774019</v>
      </c>
      <c r="Q413">
        <f>'_live'!$C$24</f>
        <v/>
      </c>
      <c r="R413" t="inlineStr">
        <is>
          <t>shuffled: 2 of 10,000</t>
        </is>
      </c>
      <c r="S413" t="inlineStr">
        <is>
          <t>shuffled: 3 of 10,000</t>
        </is>
      </c>
      <c r="T413" t="n">
        <v>0.1692573112776807</v>
      </c>
      <c r="U413" t="n">
        <v>0.1633799921906119</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0.2700389507920719</v>
      </c>
      <c r="AI413">
        <f>IF($Y413="worse","Yes",IF($Y413="worse, not significant","Not sure",IF(OR($Y413="too few losses to test",$Y413="too few loans to test"),"Too few losses",IF($Y413="","","No"))))</f>
        <v/>
      </c>
      <c r="AJ413">
        <f>IF($AA413="yes","Yes",IF($AA413="","","No"))</f>
        <v/>
      </c>
    </row>
    <row r="414">
      <c r="A414" t="inlineStr">
        <is>
          <t>three-way</t>
        </is>
      </c>
      <c r="B414" t="inlineStr">
        <is>
          <t>FICO x CHANNEL / REV_DEBT</t>
        </is>
      </c>
      <c r="C414" t="inlineStr">
        <is>
          <t>(blank)</t>
        </is>
      </c>
      <c r="D414" t="inlineStr">
        <is>
          <t>Broker / REV_DEBT low half</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row>
    <row r="415">
      <c r="A415" t="inlineStr">
        <is>
          <t>three-way</t>
        </is>
      </c>
      <c r="B415" t="inlineStr">
        <is>
          <t>FICO x CHANNEL / REV_DEBT</t>
        </is>
      </c>
      <c r="C415" t="inlineStr">
        <is>
          <t>(blank)</t>
        </is>
      </c>
      <c r="D415" t="inlineStr">
        <is>
          <t>Broker / REV_DEBT low half</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row>
    <row r="416">
      <c r="A416" t="inlineStr">
        <is>
          <t>three-way</t>
        </is>
      </c>
      <c r="B416" t="inlineStr">
        <is>
          <t>FICO x CHANNEL / REV_DEBT</t>
        </is>
      </c>
      <c r="C416" t="inlineStr">
        <is>
          <t>(blank)</t>
        </is>
      </c>
      <c r="D416" t="inlineStr">
        <is>
          <t>Broker / REV_DEBT low half</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row>
    <row r="417">
      <c r="A417" t="inlineStr">
        <is>
          <t>three-way</t>
        </is>
      </c>
      <c r="B417" t="inlineStr">
        <is>
          <t>FICO x CHANNEL / REV_DEBT</t>
        </is>
      </c>
      <c r="C417" t="inlineStr">
        <is>
          <t>(blank)</t>
        </is>
      </c>
      <c r="D417" t="inlineStr">
        <is>
          <t>Broker / REV_DEBT low half</t>
        </is>
      </c>
      <c r="E417" t="inlineStr">
        <is>
          <t>ranr_rate</t>
        </is>
      </c>
      <c r="F417" t="inlineStr">
        <is>
          <t>Profit after losses: RANR per booked dollar</t>
        </is>
      </c>
      <c r="G417" t="n">
        <v>1</v>
      </c>
      <c r="H417" t="n">
        <v>27999.47</v>
      </c>
      <c r="I417" t="b">
        <v>0</v>
      </c>
      <c r="J417" t="b">
        <v>1</v>
      </c>
      <c r="K417" t="n">
        <v>0.01230822708383753</v>
      </c>
      <c r="L417" t="n">
        <v>0.9415058494150585</v>
      </c>
      <c r="O417" t="n">
        <v>-344.6238349870969</v>
      </c>
      <c r="Q417">
        <f>'_live'!$C$23</f>
        <v/>
      </c>
      <c r="R417" t="inlineStr">
        <is>
          <t>shuffled: 9,251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row>
    <row r="418">
      <c r="A418" t="inlineStr">
        <is>
          <t>three-way</t>
        </is>
      </c>
      <c r="B418" t="inlineStr">
        <is>
          <t>FICO x CHANNEL / REV_DEBT</t>
        </is>
      </c>
      <c r="C418" t="inlineStr">
        <is>
          <t>(blank)</t>
        </is>
      </c>
      <c r="D418" t="inlineStr">
        <is>
          <t>Broker / REV_DEBT low half</t>
        </is>
      </c>
      <c r="E418" t="inlineStr">
        <is>
          <t>contribution_rate</t>
        </is>
      </c>
      <c r="F418" t="inlineStr">
        <is>
          <t>Contribution before losses per booked dollar</t>
        </is>
      </c>
      <c r="G418" t="n">
        <v>1</v>
      </c>
      <c r="H418" t="n">
        <v>27999.47</v>
      </c>
      <c r="I418" t="b">
        <v>0</v>
      </c>
      <c r="J418" t="b">
        <v>1</v>
      </c>
      <c r="K418" t="n">
        <v>-0.02929869368860016</v>
      </c>
      <c r="L418" t="n">
        <v>0.8505149485051495</v>
      </c>
      <c r="O418" t="n">
        <v>820.3478949731489</v>
      </c>
      <c r="Q418">
        <f>'_live'!$C$24</f>
        <v/>
      </c>
      <c r="R418" t="inlineStr">
        <is>
          <t>shuffled: 8,505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row>
    <row r="419">
      <c r="A419" t="inlineStr">
        <is>
          <t>three-way</t>
        </is>
      </c>
      <c r="B419" t="inlineStr">
        <is>
          <t>FICO x CHANNEL / REV_DEBT</t>
        </is>
      </c>
      <c r="C419" t="inlineStr">
        <is>
          <t>712 - 745</t>
        </is>
      </c>
      <c r="D419" t="inlineStr">
        <is>
          <t>Branch / REV_DEBT low half</t>
        </is>
      </c>
      <c r="E419" t="inlineStr">
        <is>
          <t>outcome_loans</t>
        </is>
      </c>
      <c r="F419" t="inlineStr">
        <is>
          <t>Outcome, share of loans</t>
        </is>
      </c>
      <c r="G419" t="n">
        <v>269</v>
      </c>
      <c r="H419" t="n">
        <v>269</v>
      </c>
      <c r="I419" t="b">
        <v>1</v>
      </c>
      <c r="J419" t="b">
        <v>0</v>
      </c>
      <c r="K419" t="n">
        <v>0.3286804188837865</v>
      </c>
      <c r="M419" t="n">
        <v>0.4365241635687732</v>
      </c>
      <c r="O419" t="n">
        <v>-14.29728331177231</v>
      </c>
      <c r="P419" t="n">
        <v>-9.035767511177347</v>
      </c>
      <c r="Q419">
        <f>'_live'!$C$20</f>
        <v/>
      </c>
      <c r="T419" t="n">
        <v>0.07917205692108667</v>
      </c>
      <c r="U419" t="n">
        <v>0.05961251862891207</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0.02602230483271376</v>
      </c>
      <c r="AI419">
        <f>IF($Y419="worse","Yes",IF($Y419="worse, not significant","Not sure",IF(OR($Y419="too few losses to test",$Y419="too few loans to test"),"Too few losses",IF($Y419="","","No"))))</f>
        <v/>
      </c>
      <c r="AJ419">
        <f>IF($AA419="yes","Yes",IF($AA419="","","No"))</f>
        <v/>
      </c>
    </row>
    <row r="420">
      <c r="A420" t="inlineStr">
        <is>
          <t>three-way</t>
        </is>
      </c>
      <c r="B420" t="inlineStr">
        <is>
          <t>FICO x CHANNEL / REV_DEBT</t>
        </is>
      </c>
      <c r="C420" t="inlineStr">
        <is>
          <t>712 - 745</t>
        </is>
      </c>
      <c r="D420" t="inlineStr">
        <is>
          <t>Branch / REV_DEBT low half</t>
        </is>
      </c>
      <c r="E420" t="inlineStr">
        <is>
          <t>outcome_booked</t>
        </is>
      </c>
      <c r="F420" t="inlineStr">
        <is>
          <t>Outcome, share of booked dollars</t>
        </is>
      </c>
      <c r="G420" t="n">
        <v>269</v>
      </c>
      <c r="H420" t="n">
        <v>8041844.839999998</v>
      </c>
      <c r="I420" t="b">
        <v>1</v>
      </c>
      <c r="J420" t="b">
        <v>0</v>
      </c>
      <c r="K420" t="n">
        <v>0.2896514029742804</v>
      </c>
      <c r="M420" t="n">
        <v>0.3660119099205772</v>
      </c>
      <c r="O420" t="n">
        <v>-437138.6350186922</v>
      </c>
      <c r="P420" t="n">
        <v>-308751.5760666598</v>
      </c>
      <c r="Q420">
        <f>'_live'!$C$21</f>
        <v/>
      </c>
      <c r="T420" t="n">
        <v>0.07652299780241624</v>
      </c>
      <c r="U420" t="n">
        <v>0.06055812139576917</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0.02216499367326764</v>
      </c>
      <c r="AI420">
        <f>IF($Y420="worse","Yes",IF($Y420="worse, not significant","Not sure",IF(OR($Y420="too few losses to test",$Y420="too few loans to test"),"Too few losses",IF($Y420="","","No"))))</f>
        <v/>
      </c>
      <c r="AJ420">
        <f>IF($AA420="yes","Yes",IF($AA420="","","No"))</f>
        <v/>
      </c>
    </row>
    <row r="421">
      <c r="A421" t="inlineStr">
        <is>
          <t>three-way</t>
        </is>
      </c>
      <c r="B421" t="inlineStr">
        <is>
          <t>FICO x CHANNEL / REV_DEBT</t>
        </is>
      </c>
      <c r="C421" t="inlineStr">
        <is>
          <t>712 - 745</t>
        </is>
      </c>
      <c r="D421" t="inlineStr">
        <is>
          <t>Branch / REV_DEBT low half</t>
        </is>
      </c>
      <c r="E421" t="inlineStr">
        <is>
          <t>gco_rate</t>
        </is>
      </c>
      <c r="F421" t="inlineStr">
        <is>
          <t>GCO per booked dollar</t>
        </is>
      </c>
      <c r="G421" t="n">
        <v>268</v>
      </c>
      <c r="H421" t="n">
        <v>8002160.409999997</v>
      </c>
      <c r="I421" t="b">
        <v>1</v>
      </c>
      <c r="J421" t="b">
        <v>0</v>
      </c>
      <c r="K421" t="n">
        <v>0.2841775259524886</v>
      </c>
      <c r="M421" t="n">
        <v>0.359442082551502</v>
      </c>
      <c r="O421" t="n">
        <v>-243730.9337134981</v>
      </c>
      <c r="P421" t="n">
        <v>-172434.6474734515</v>
      </c>
      <c r="Q421">
        <f>'_live'!$C$22</f>
        <v/>
      </c>
      <c r="T421" t="n">
        <v>0.04254985357304256</v>
      </c>
      <c r="U421" t="n">
        <v>0.03364022384968057</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0.01209171211802789</v>
      </c>
      <c r="AI421">
        <f>IF($Y421="worse","Yes",IF($Y421="worse, not significant","Not sure",IF(OR($Y421="too few losses to test",$Y421="too few loans to test"),"Too few losses",IF($Y421="","","No"))))</f>
        <v/>
      </c>
      <c r="AJ421">
        <f>IF($AA421="yes","Yes",IF($AA421="","","No"))</f>
        <v/>
      </c>
    </row>
    <row r="422">
      <c r="A422" t="inlineStr">
        <is>
          <t>three-way</t>
        </is>
      </c>
      <c r="B422" t="inlineStr">
        <is>
          <t>FICO x CHANNEL / REV_DEBT</t>
        </is>
      </c>
      <c r="C422" t="inlineStr">
        <is>
          <t>712 - 745</t>
        </is>
      </c>
      <c r="D422" t="inlineStr">
        <is>
          <t>Branch / REV_DEBT low half</t>
        </is>
      </c>
      <c r="E422" t="inlineStr">
        <is>
          <t>ranr_rate</t>
        </is>
      </c>
      <c r="F422" t="inlineStr">
        <is>
          <t>Profit after losses: RANR per booked dollar</t>
        </is>
      </c>
      <c r="G422" t="n">
        <v>269</v>
      </c>
      <c r="H422" t="n">
        <v>8041844.839999998</v>
      </c>
      <c r="I422" t="b">
        <v>0</v>
      </c>
      <c r="J422" t="b">
        <v>0</v>
      </c>
      <c r="K422" t="n">
        <v>-0.02839682227901512</v>
      </c>
      <c r="L422" t="n">
        <v>0.03747886080957122</v>
      </c>
      <c r="M422" t="n">
        <v>0.005350741765177483</v>
      </c>
      <c r="N422" t="n">
        <v>0.8927107289271073</v>
      </c>
      <c r="O422" t="n">
        <v>228362.8387168947</v>
      </c>
      <c r="P422" t="n">
        <v>-43029.83505446499</v>
      </c>
      <c r="Q422">
        <f>'_live'!$C$23</f>
        <v/>
      </c>
      <c r="R422" t="inlineStr">
        <is>
          <t>shuffled: 232 of 10,000</t>
        </is>
      </c>
      <c r="S422" t="inlineStr">
        <is>
          <t>shuffled: 6,220 of 10,000</t>
        </is>
      </c>
      <c r="T422" t="n">
        <v>0.1288749421727086</v>
      </c>
      <c r="U422" t="n">
        <v>0.09512737812851602</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0.1004781198936935</v>
      </c>
      <c r="AI422">
        <f>IF($Y422="worse","Yes",IF($Y422="worse, not significant","Not sure",IF(OR($Y422="too few losses to test",$Y422="too few loans to test"),"Too few losses",IF($Y422="","","No"))))</f>
        <v/>
      </c>
      <c r="AJ422">
        <f>IF($AA422="yes","Yes",IF($AA422="","","No"))</f>
        <v/>
      </c>
    </row>
    <row r="423">
      <c r="A423" t="inlineStr">
        <is>
          <t>three-way</t>
        </is>
      </c>
      <c r="B423" t="inlineStr">
        <is>
          <t>FICO x CHANNEL / REV_DEBT</t>
        </is>
      </c>
      <c r="C423" t="inlineStr">
        <is>
          <t>712 - 745</t>
        </is>
      </c>
      <c r="D423" t="inlineStr">
        <is>
          <t>Branch / REV_DEBT low half</t>
        </is>
      </c>
      <c r="E423" t="inlineStr">
        <is>
          <t>contribution_rate</t>
        </is>
      </c>
      <c r="F423" t="inlineStr">
        <is>
          <t>Contribution before losses per booked dollar</t>
        </is>
      </c>
      <c r="G423" t="n">
        <v>268</v>
      </c>
      <c r="H423" t="n">
        <v>8002160.409999997</v>
      </c>
      <c r="I423" t="b">
        <v>0</v>
      </c>
      <c r="J423" t="b">
        <v>0</v>
      </c>
      <c r="K423" t="n">
        <v>-0.05908359737679697</v>
      </c>
      <c r="L423" t="n">
        <v>0.0001761728589045857</v>
      </c>
      <c r="M423" t="n">
        <v>-0.01642640360924255</v>
      </c>
      <c r="N423" t="n">
        <v>0.0075265200752652</v>
      </c>
      <c r="O423" t="n">
        <v>472796.4238089845</v>
      </c>
      <c r="P423" t="n">
        <v>131446.7166405618</v>
      </c>
      <c r="Q423">
        <f>'_live'!$C$24</f>
        <v/>
      </c>
      <c r="R423" t="inlineStr">
        <is>
          <t>shuffled: 0 of 10,000</t>
        </is>
      </c>
      <c r="S423" t="inlineStr">
        <is>
          <t>shuffled: 22 of 10,000</t>
        </is>
      </c>
      <c r="T423" t="n">
        <v>0.171424795745751</v>
      </c>
      <c r="U423" t="n">
        <v>0.1287676019781966</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0.112341198368954</v>
      </c>
      <c r="AI423">
        <f>IF($Y423="worse","Yes",IF($Y423="worse, not significant","Not sure",IF(OR($Y423="too few losses to test",$Y423="too few loans to test"),"Too few losses",IF($Y423="","","No"))))</f>
        <v/>
      </c>
      <c r="AJ423">
        <f>IF($AA423="yes","Yes",IF($AA423="","","No"))</f>
        <v/>
      </c>
    </row>
    <row r="424">
      <c r="A424" t="inlineStr">
        <is>
          <t>three-way</t>
        </is>
      </c>
      <c r="B424" t="inlineStr">
        <is>
          <t>FICO x CHANNEL / REV_DEBT</t>
        </is>
      </c>
      <c r="C424" t="inlineStr">
        <is>
          <t>712 - 745</t>
        </is>
      </c>
      <c r="D424" t="inlineStr">
        <is>
          <t>Branch / REV_DEBT high half</t>
        </is>
      </c>
      <c r="E424" t="inlineStr">
        <is>
          <t>outcome_loans</t>
        </is>
      </c>
      <c r="F424" t="inlineStr">
        <is>
          <t>Outcome, share of loans</t>
        </is>
      </c>
      <c r="G424" t="n">
        <v>269</v>
      </c>
      <c r="H424" t="n">
        <v>269</v>
      </c>
      <c r="I424" t="b">
        <v>0</v>
      </c>
      <c r="J424" t="b">
        <v>0</v>
      </c>
      <c r="K424" t="n">
        <v>0.7136438612471996</v>
      </c>
      <c r="L424" t="n">
        <v>0.2394377086857189</v>
      </c>
      <c r="M424" t="n">
        <v>1.039343246592317</v>
      </c>
      <c r="N424" t="n">
        <v>0.9492287205924197</v>
      </c>
      <c r="O424" t="n">
        <v>-6.018887451487711</v>
      </c>
      <c r="P424" t="n">
        <v>0.5678092399403862</v>
      </c>
      <c r="Q424">
        <f>'_live'!$C$20</f>
        <v/>
      </c>
      <c r="R424" t="inlineStr">
        <is>
          <t>z test</t>
        </is>
      </c>
      <c r="S424" t="inlineStr">
        <is>
          <t>z test</t>
        </is>
      </c>
      <c r="T424" t="n">
        <v>0.07813712807244502</v>
      </c>
      <c r="U424" t="n">
        <v>0.05365126676602087</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0.05576208178438662</v>
      </c>
      <c r="AI424">
        <f>IF($Y424="worse","Yes",IF($Y424="worse, not significant","Not sure",IF(OR($Y424="too few losses to test",$Y424="too few loans to test"),"Too few losses",IF($Y424="","","No"))))</f>
        <v/>
      </c>
      <c r="AJ424">
        <f>IF($AA424="yes","Yes",IF($AA424="","","No"))</f>
        <v/>
      </c>
    </row>
    <row r="425">
      <c r="A425" t="inlineStr">
        <is>
          <t>three-way</t>
        </is>
      </c>
      <c r="B425" t="inlineStr">
        <is>
          <t>FICO x CHANNEL / REV_DEBT</t>
        </is>
      </c>
      <c r="C425" t="inlineStr">
        <is>
          <t>712 - 745</t>
        </is>
      </c>
      <c r="D425" t="inlineStr">
        <is>
          <t>Branch / REV_DEBT high half</t>
        </is>
      </c>
      <c r="E425" t="inlineStr">
        <is>
          <t>outcome_booked</t>
        </is>
      </c>
      <c r="F425" t="inlineStr">
        <is>
          <t>Outcome, share of booked dollars</t>
        </is>
      </c>
      <c r="G425" t="n">
        <v>268</v>
      </c>
      <c r="H425" t="n">
        <v>8471219.189999999</v>
      </c>
      <c r="I425" t="b">
        <v>0</v>
      </c>
      <c r="J425" t="b">
        <v>0</v>
      </c>
      <c r="K425" t="n">
        <v>0.7868952572854145</v>
      </c>
      <c r="L425" t="n">
        <v>0.4802686398026864</v>
      </c>
      <c r="M425" t="n">
        <v>1.106956313035407</v>
      </c>
      <c r="N425" t="n">
        <v>0.8466603339666033</v>
      </c>
      <c r="O425" t="n">
        <v>-136037.0895503605</v>
      </c>
      <c r="P425" t="n">
        <v>48535.22940082959</v>
      </c>
      <c r="Q425">
        <f>'_live'!$C$21</f>
        <v/>
      </c>
      <c r="R425" t="inlineStr">
        <is>
          <t>shuffled: 3,758 of 10,000</t>
        </is>
      </c>
      <c r="S425" t="inlineStr">
        <is>
          <t>shuffled: 7,362 of 10,000</t>
        </is>
      </c>
      <c r="T425" t="n">
        <v>0.07535607983133306</v>
      </c>
      <c r="U425" t="n">
        <v>0.05356791512783068</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0.05929734182689707</v>
      </c>
      <c r="AI425">
        <f>IF($Y425="worse","Yes",IF($Y425="worse, not significant","Not sure",IF(OR($Y425="too few losses to test",$Y425="too few loans to test"),"Too few losses",IF($Y425="","","No"))))</f>
        <v/>
      </c>
      <c r="AJ425">
        <f>IF($AA425="yes","Yes",IF($AA425="","","No"))</f>
        <v/>
      </c>
    </row>
    <row r="426">
      <c r="A426" t="inlineStr">
        <is>
          <t>three-way</t>
        </is>
      </c>
      <c r="B426" t="inlineStr">
        <is>
          <t>FICO x CHANNEL / REV_DEBT</t>
        </is>
      </c>
      <c r="C426" t="inlineStr">
        <is>
          <t>712 - 745</t>
        </is>
      </c>
      <c r="D426" t="inlineStr">
        <is>
          <t>Branch / REV_DEBT high half</t>
        </is>
      </c>
      <c r="E426" t="inlineStr">
        <is>
          <t>gco_rate</t>
        </is>
      </c>
      <c r="F426" t="inlineStr">
        <is>
          <t>GCO per booked dollar</t>
        </is>
      </c>
      <c r="G426" t="n">
        <v>268</v>
      </c>
      <c r="H426" t="n">
        <v>8471219.189999999</v>
      </c>
      <c r="I426" t="b">
        <v>0</v>
      </c>
      <c r="J426" t="b">
        <v>0</v>
      </c>
      <c r="K426" t="n">
        <v>0.794891357066429</v>
      </c>
      <c r="L426" t="n">
        <v>0.5220477952204781</v>
      </c>
      <c r="M426" t="n">
        <v>1.122544032687435</v>
      </c>
      <c r="N426" t="n">
        <v>0.8606615528923297</v>
      </c>
      <c r="O426" t="n">
        <v>-72780.08019283885</v>
      </c>
      <c r="P426" t="n">
        <v>30791.09445226789</v>
      </c>
      <c r="Q426">
        <f>'_live'!$C$22</f>
        <v/>
      </c>
      <c r="R426" t="inlineStr">
        <is>
          <t>shuffled: 4,085 of 10,000</t>
        </is>
      </c>
      <c r="S426" t="inlineStr">
        <is>
          <t>shuffled: 7,171 of 10,000</t>
        </is>
      </c>
      <c r="T426" t="n">
        <v>0.04188732722341929</v>
      </c>
      <c r="U426" t="n">
        <v>0.02966108536588724</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0.03329587438050934</v>
      </c>
      <c r="AI426">
        <f>IF($Y426="worse","Yes",IF($Y426="worse, not significant","Not sure",IF(OR($Y426="too few losses to test",$Y426="too few loans to test"),"Too few losses",IF($Y426="","","No"))))</f>
        <v/>
      </c>
      <c r="AJ426">
        <f>IF($AA426="yes","Yes",IF($AA426="","","No"))</f>
        <v/>
      </c>
    </row>
    <row r="427">
      <c r="A427" t="inlineStr">
        <is>
          <t>three-way</t>
        </is>
      </c>
      <c r="B427" t="inlineStr">
        <is>
          <t>FICO x CHANNEL / REV_DEBT</t>
        </is>
      </c>
      <c r="C427" t="inlineStr">
        <is>
          <t>712 - 745</t>
        </is>
      </c>
      <c r="D427" t="inlineStr">
        <is>
          <t>Branch / REV_DEBT high half</t>
        </is>
      </c>
      <c r="E427" t="inlineStr">
        <is>
          <t>ranr_rate</t>
        </is>
      </c>
      <c r="F427" t="inlineStr">
        <is>
          <t>Profit after losses: RANR per booked dollar</t>
        </is>
      </c>
      <c r="G427" t="n">
        <v>268</v>
      </c>
      <c r="H427" t="n">
        <v>8471219.189999999</v>
      </c>
      <c r="I427" t="b">
        <v>0</v>
      </c>
      <c r="J427" t="b">
        <v>0</v>
      </c>
      <c r="K427" t="n">
        <v>-0.05818257031128631</v>
      </c>
      <c r="L427" t="n">
        <v>0.0002466420024664201</v>
      </c>
      <c r="M427" t="n">
        <v>-0.02906983502242666</v>
      </c>
      <c r="N427" t="n">
        <v>0.04409559044095591</v>
      </c>
      <c r="O427" t="n">
        <v>492877.3061444928</v>
      </c>
      <c r="P427" t="n">
        <v>246256.9442921147</v>
      </c>
      <c r="Q427">
        <f>'_live'!$C$23</f>
        <v/>
      </c>
      <c r="R427" t="inlineStr">
        <is>
          <t>shuffled: 0 of 10,000</t>
        </is>
      </c>
      <c r="S427" t="inlineStr">
        <is>
          <t>shuffled: 97 of 10,000</t>
        </is>
      </c>
      <c r="T427" t="n">
        <v>0.1298999201252509</v>
      </c>
      <c r="U427" t="n">
        <v>0.1007871848363912</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0.07171734981396456</v>
      </c>
      <c r="AI427">
        <f>IF($Y427="worse","Yes",IF($Y427="worse, not significant","Not sure",IF(OR($Y427="too few losses to test",$Y427="too few loans to test"),"Too few losses",IF($Y427="","","No"))))</f>
        <v/>
      </c>
      <c r="AJ427">
        <f>IF($AA427="yes","Yes",IF($AA427="","","No"))</f>
        <v/>
      </c>
    </row>
    <row r="428">
      <c r="A428" t="inlineStr">
        <is>
          <t>three-way</t>
        </is>
      </c>
      <c r="B428" t="inlineStr">
        <is>
          <t>FICO x CHANNEL / REV_DEBT</t>
        </is>
      </c>
      <c r="C428" t="inlineStr">
        <is>
          <t>712 - 745</t>
        </is>
      </c>
      <c r="D428" t="inlineStr">
        <is>
          <t>Branch / REV_DEBT high half</t>
        </is>
      </c>
      <c r="E428" t="inlineStr">
        <is>
          <t>contribution_rate</t>
        </is>
      </c>
      <c r="F428" t="inlineStr">
        <is>
          <t>Contribution before losses per booked dollar</t>
        </is>
      </c>
      <c r="G428" t="n">
        <v>268</v>
      </c>
      <c r="H428" t="n">
        <v>8471219.189999999</v>
      </c>
      <c r="I428" t="b">
        <v>0</v>
      </c>
      <c r="J428" t="b">
        <v>0</v>
      </c>
      <c r="K428" t="n">
        <v>-0.06677137055669742</v>
      </c>
      <c r="L428" t="n">
        <v>0.0001761728589045857</v>
      </c>
      <c r="M428" t="n">
        <v>-0.02539238801235778</v>
      </c>
      <c r="N428" t="n">
        <v>0.0005142342908566286</v>
      </c>
      <c r="O428" t="n">
        <v>565634.915602496</v>
      </c>
      <c r="P428" t="n">
        <v>215104.4846102112</v>
      </c>
      <c r="Q428">
        <f>'_live'!$C$24</f>
        <v/>
      </c>
      <c r="R428" t="inlineStr">
        <is>
          <t>shuffled: 0 of 10,000</t>
        </is>
      </c>
      <c r="S428" t="inlineStr">
        <is>
          <t>shuffled: 0 of 10,000</t>
        </is>
      </c>
      <c r="T428" t="n">
        <v>0.1717845947511713</v>
      </c>
      <c r="U428" t="n">
        <v>0.1304056122068316</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0.1050132241944739</v>
      </c>
      <c r="AI428">
        <f>IF($Y428="worse","Yes",IF($Y428="worse, not significant","Not sure",IF(OR($Y428="too few losses to test",$Y428="too few loans to test"),"Too few losses",IF($Y428="","","No"))))</f>
        <v/>
      </c>
      <c r="AJ428">
        <f>IF($AA428="yes","Yes",IF($AA428="","","No"))</f>
        <v/>
      </c>
    </row>
    <row r="429">
      <c r="A429" t="inlineStr">
        <is>
          <t>three-way</t>
        </is>
      </c>
      <c r="B429" t="inlineStr">
        <is>
          <t>FICO x CHANNEL / REV_DEBT</t>
        </is>
      </c>
      <c r="C429" t="inlineStr">
        <is>
          <t>496 - 653</t>
        </is>
      </c>
      <c r="D429" t="inlineStr">
        <is>
          <t>Branch / REV_DEBT low half</t>
        </is>
      </c>
      <c r="E429" t="inlineStr">
        <is>
          <t>outcome_loans</t>
        </is>
      </c>
      <c r="F429" t="inlineStr">
        <is>
          <t>Outcome, share of loans</t>
        </is>
      </c>
      <c r="G429" t="n">
        <v>250</v>
      </c>
      <c r="H429" t="n">
        <v>250</v>
      </c>
      <c r="I429" t="b">
        <v>0</v>
      </c>
      <c r="J429" t="b">
        <v>0</v>
      </c>
      <c r="K429" t="n">
        <v>0.7697682119205298</v>
      </c>
      <c r="L429" t="n">
        <v>0.3781415137609792</v>
      </c>
      <c r="M429" t="n">
        <v>0.3575342465753424</v>
      </c>
      <c r="N429" t="n">
        <v>0.0001389286621136752</v>
      </c>
      <c r="O429" t="n">
        <v>-4.486385340043878</v>
      </c>
      <c r="P429" t="n">
        <v>-26.95402298850575</v>
      </c>
      <c r="Q429">
        <f>'_live'!$C$20</f>
        <v/>
      </c>
      <c r="R429" t="inlineStr">
        <is>
          <t>z test</t>
        </is>
      </c>
      <c r="S429" t="inlineStr">
        <is>
          <t>z test</t>
        </is>
      </c>
      <c r="T429" t="n">
        <v>0.07794554136017551</v>
      </c>
      <c r="U429" t="n">
        <v>0.167816091954023</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0.06</v>
      </c>
      <c r="AI429">
        <f>IF($Y429="worse","Yes",IF($Y429="worse, not significant","Not sure",IF(OR($Y429="too few losses to test",$Y429="too few loans to test"),"Too few losses",IF($Y429="","","No"))))</f>
        <v/>
      </c>
      <c r="AJ429">
        <f>IF($AA429="yes","Yes",IF($AA429="","","No"))</f>
        <v/>
      </c>
    </row>
    <row r="430">
      <c r="A430" t="inlineStr">
        <is>
          <t>three-way</t>
        </is>
      </c>
      <c r="B430" t="inlineStr">
        <is>
          <t>FICO x CHANNEL / REV_DEBT</t>
        </is>
      </c>
      <c r="C430" t="inlineStr">
        <is>
          <t>496 - 653</t>
        </is>
      </c>
      <c r="D430" t="inlineStr">
        <is>
          <t>Branch / REV_DEBT low half</t>
        </is>
      </c>
      <c r="E430" t="inlineStr">
        <is>
          <t>outcome_booked</t>
        </is>
      </c>
      <c r="F430" t="inlineStr">
        <is>
          <t>Outcome, share of booked dollars</t>
        </is>
      </c>
      <c r="G430" t="n">
        <v>250</v>
      </c>
      <c r="H430" t="n">
        <v>8257324.78</v>
      </c>
      <c r="I430" t="b">
        <v>0</v>
      </c>
      <c r="J430" t="b">
        <v>0</v>
      </c>
      <c r="K430" t="n">
        <v>0.7170640163963173</v>
      </c>
      <c r="L430" t="n">
        <v>0.3336019339242546</v>
      </c>
      <c r="M430" t="n">
        <v>0.322984675885934</v>
      </c>
      <c r="N430" t="n">
        <v>0.00114988501149885</v>
      </c>
      <c r="O430" t="n">
        <v>-176419.6159466559</v>
      </c>
      <c r="P430" t="n">
        <v>-937201.9829410986</v>
      </c>
      <c r="Q430">
        <f>'_live'!$C$21</f>
        <v/>
      </c>
      <c r="R430" t="inlineStr">
        <is>
          <t>shuffled: 2,465 of 10,000</t>
        </is>
      </c>
      <c r="S430" t="inlineStr">
        <is>
          <t>shuffled: 1 of 10,000</t>
        </is>
      </c>
      <c r="T430" t="n">
        <v>0.07551258216909518</v>
      </c>
      <c r="U430" t="n">
        <v>0.167646825070274</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0.05414735545862832</v>
      </c>
      <c r="AI430">
        <f>IF($Y430="worse","Yes",IF($Y430="worse, not significant","Not sure",IF(OR($Y430="too few losses to test",$Y430="too few loans to test"),"Too few losses",IF($Y430="","","No"))))</f>
        <v/>
      </c>
      <c r="AJ430">
        <f>IF($AA430="yes","Yes",IF($AA430="","","No"))</f>
        <v/>
      </c>
    </row>
    <row r="431">
      <c r="A431" t="inlineStr">
        <is>
          <t>three-way</t>
        </is>
      </c>
      <c r="B431" t="inlineStr">
        <is>
          <t>FICO x CHANNEL / REV_DEBT</t>
        </is>
      </c>
      <c r="C431" t="inlineStr">
        <is>
          <t>496 - 653</t>
        </is>
      </c>
      <c r="D431" t="inlineStr">
        <is>
          <t>Branch / REV_DEBT low half</t>
        </is>
      </c>
      <c r="E431" t="inlineStr">
        <is>
          <t>gco_rate</t>
        </is>
      </c>
      <c r="F431" t="inlineStr">
        <is>
          <t>GCO per booked dollar</t>
        </is>
      </c>
      <c r="G431" t="n">
        <v>251</v>
      </c>
      <c r="H431" t="n">
        <v>8294312.79</v>
      </c>
      <c r="I431" t="b">
        <v>0</v>
      </c>
      <c r="J431" t="b">
        <v>0</v>
      </c>
      <c r="K431" t="n">
        <v>0.6408835836111427</v>
      </c>
      <c r="L431" t="n">
        <v>0.2297064411205938</v>
      </c>
      <c r="M431" t="n">
        <v>0.2854956251292415</v>
      </c>
      <c r="N431" t="n">
        <v>0.0007665900076659002</v>
      </c>
      <c r="O431" t="n">
        <v>-125373.7221140753</v>
      </c>
      <c r="P431" t="n">
        <v>-559958.5015759241</v>
      </c>
      <c r="Q431">
        <f>'_live'!$C$22</f>
        <v/>
      </c>
      <c r="R431" t="inlineStr">
        <is>
          <t>shuffled: 1,599 of 10,000</t>
        </is>
      </c>
      <c r="S431" t="inlineStr">
        <is>
          <t>shuffled: 0 of 10,000</t>
        </is>
      </c>
      <c r="T431" t="n">
        <v>0.04209115582607239</v>
      </c>
      <c r="U431" t="n">
        <v>0.09448666953105395</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0.0269755307841483</v>
      </c>
      <c r="AI431">
        <f>IF($Y431="worse","Yes",IF($Y431="worse, not significant","Not sure",IF(OR($Y431="too few losses to test",$Y431="too few loans to test"),"Too few losses",IF($Y431="","","No"))))</f>
        <v/>
      </c>
      <c r="AJ431">
        <f>IF($AA431="yes","Yes",IF($AA431="","","No"))</f>
        <v/>
      </c>
    </row>
    <row r="432">
      <c r="A432" t="inlineStr">
        <is>
          <t>three-way</t>
        </is>
      </c>
      <c r="B432" t="inlineStr">
        <is>
          <t>FICO x CHANNEL / REV_DEBT</t>
        </is>
      </c>
      <c r="C432" t="inlineStr">
        <is>
          <t>496 - 653</t>
        </is>
      </c>
      <c r="D432" t="inlineStr">
        <is>
          <t>Branch / REV_DEBT low half</t>
        </is>
      </c>
      <c r="E432" t="inlineStr">
        <is>
          <t>ranr_rate</t>
        </is>
      </c>
      <c r="F432" t="inlineStr">
        <is>
          <t>Profit after losses: RANR per booked dollar</t>
        </is>
      </c>
      <c r="G432" t="n">
        <v>251</v>
      </c>
      <c r="H432" t="n">
        <v>8294312.79</v>
      </c>
      <c r="I432" t="b">
        <v>0</v>
      </c>
      <c r="J432" t="b">
        <v>0</v>
      </c>
      <c r="K432" t="n">
        <v>0.108018665713272</v>
      </c>
      <c r="L432" t="n">
        <v>0.0002466420024664201</v>
      </c>
      <c r="M432" t="n">
        <v>0.0506423002410881</v>
      </c>
      <c r="N432" t="n">
        <v>0.04165297755938692</v>
      </c>
      <c r="O432" t="n">
        <v>-895940.6005843261</v>
      </c>
      <c r="P432" t="n">
        <v>-420043.0786046772</v>
      </c>
      <c r="Q432">
        <f>'_live'!$C$23</f>
        <v/>
      </c>
      <c r="R432" t="inlineStr">
        <is>
          <t>shuffled: 0 of 10,000</t>
        </is>
      </c>
      <c r="S432" t="inlineStr">
        <is>
          <t>shuffled: 80 of 10,000</t>
        </is>
      </c>
      <c r="T432" t="n">
        <v>0.1245183326894612</v>
      </c>
      <c r="U432" t="n">
        <v>0.1818946981616451</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0.2325369984027331</v>
      </c>
      <c r="AI432">
        <f>IF($Y432="worse","Yes",IF($Y432="worse, not significant","Not sure",IF(OR($Y432="too few losses to test",$Y432="too few loans to test"),"Too few losses",IF($Y432="","","No"))))</f>
        <v/>
      </c>
      <c r="AJ432">
        <f>IF($AA432="yes","Yes",IF($AA432="","","No"))</f>
        <v/>
      </c>
    </row>
    <row r="433">
      <c r="A433" t="inlineStr">
        <is>
          <t>three-way</t>
        </is>
      </c>
      <c r="B433" t="inlineStr">
        <is>
          <t>FICO x CHANNEL / REV_DEBT</t>
        </is>
      </c>
      <c r="C433" t="inlineStr">
        <is>
          <t>496 - 653</t>
        </is>
      </c>
      <c r="D433" t="inlineStr">
        <is>
          <t>Branch / REV_DEBT low half</t>
        </is>
      </c>
      <c r="E433" t="inlineStr">
        <is>
          <t>contribution_rate</t>
        </is>
      </c>
      <c r="F433" t="inlineStr">
        <is>
          <t>Contribution before losses per booked dollar</t>
        </is>
      </c>
      <c r="G433" t="n">
        <v>251</v>
      </c>
      <c r="H433" t="n">
        <v>8294312.79</v>
      </c>
      <c r="I433" t="b">
        <v>0</v>
      </c>
      <c r="J433" t="b">
        <v>0</v>
      </c>
      <c r="K433" t="n">
        <v>0.09290654655908956</v>
      </c>
      <c r="L433" t="n">
        <v>0.0001761728589045857</v>
      </c>
      <c r="M433" t="n">
        <v>-0.01686883850581739</v>
      </c>
      <c r="N433" t="n">
        <v>0.239016098390161</v>
      </c>
      <c r="O433" t="n">
        <v>-770595.9573997869</v>
      </c>
      <c r="P433" t="n">
        <v>139915.4229712458</v>
      </c>
      <c r="Q433">
        <f>'_live'!$C$24</f>
        <v/>
      </c>
      <c r="R433" t="inlineStr">
        <is>
          <t>shuffled: 0 of 10,000</t>
        </is>
      </c>
      <c r="S433" t="inlineStr">
        <is>
          <t>shuffled: 1,327 of 10,000</t>
        </is>
      </c>
      <c r="T433" t="n">
        <v>0.1666059826277921</v>
      </c>
      <c r="U433" t="n">
        <v>0.276381367692699</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0.2595125291868816</v>
      </c>
      <c r="AI433">
        <f>IF($Y433="worse","Yes",IF($Y433="worse, not significant","Not sure",IF(OR($Y433="too few losses to test",$Y433="too few loans to test"),"Too few losses",IF($Y433="","","No"))))</f>
        <v/>
      </c>
      <c r="AJ433">
        <f>IF($AA433="yes","Yes",IF($AA433="","","No"))</f>
        <v/>
      </c>
    </row>
    <row r="434">
      <c r="A434" t="inlineStr">
        <is>
          <t>three-way</t>
        </is>
      </c>
      <c r="B434" t="inlineStr">
        <is>
          <t>FICO x CHANNEL / REV_DEBT</t>
        </is>
      </c>
      <c r="C434" t="inlineStr">
        <is>
          <t>746 - 921</t>
        </is>
      </c>
      <c r="D434" t="inlineStr">
        <is>
          <t>Branch / REV_DEBT low half</t>
        </is>
      </c>
      <c r="E434" t="inlineStr">
        <is>
          <t>outcome_loans</t>
        </is>
      </c>
      <c r="F434" t="inlineStr">
        <is>
          <t>Outcome, share of loans</t>
        </is>
      </c>
      <c r="G434" t="n">
        <v>259</v>
      </c>
      <c r="H434" t="n">
        <v>259</v>
      </c>
      <c r="I434" t="b">
        <v>0</v>
      </c>
      <c r="J434" t="b">
        <v>0</v>
      </c>
      <c r="K434" t="n">
        <v>0.4907088650931016</v>
      </c>
      <c r="L434" t="n">
        <v>0.04667001560645824</v>
      </c>
      <c r="M434" t="n">
        <v>0.9741609741609741</v>
      </c>
      <c r="N434" t="n">
        <v>0.9492287205924197</v>
      </c>
      <c r="O434" t="n">
        <v>-10.37868217054264</v>
      </c>
      <c r="P434" t="n">
        <v>-0.2652439024390247</v>
      </c>
      <c r="Q434">
        <f>'_live'!$C$20</f>
        <v/>
      </c>
      <c r="R434" t="inlineStr">
        <is>
          <t>z test</t>
        </is>
      </c>
      <c r="S434" t="inlineStr">
        <is>
          <t>z test</t>
        </is>
      </c>
      <c r="T434" t="n">
        <v>0.07868217054263565</v>
      </c>
      <c r="U434" t="n">
        <v>0.03963414634146342</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0.03861003861003861</v>
      </c>
      <c r="AI434">
        <f>IF($Y434="worse","Yes",IF($Y434="worse, not significant","Not sure",IF(OR($Y434="too few losses to test",$Y434="too few loans to test"),"Too few losses",IF($Y434="","","No"))))</f>
        <v/>
      </c>
      <c r="AJ434">
        <f>IF($AA434="yes","Yes",IF($AA434="","","No"))</f>
        <v/>
      </c>
    </row>
    <row r="435">
      <c r="A435" t="inlineStr">
        <is>
          <t>three-way</t>
        </is>
      </c>
      <c r="B435" t="inlineStr">
        <is>
          <t>FICO x CHANNEL / REV_DEBT</t>
        </is>
      </c>
      <c r="C435" t="inlineStr">
        <is>
          <t>746 - 921</t>
        </is>
      </c>
      <c r="D435" t="inlineStr">
        <is>
          <t>Branch / REV_DEBT low half</t>
        </is>
      </c>
      <c r="E435" t="inlineStr">
        <is>
          <t>outcome_booked</t>
        </is>
      </c>
      <c r="F435" t="inlineStr">
        <is>
          <t>Outcome, share of booked dollars</t>
        </is>
      </c>
      <c r="G435" t="n">
        <v>259</v>
      </c>
      <c r="H435" t="n">
        <v>8135459.219999993</v>
      </c>
      <c r="I435" t="b">
        <v>0</v>
      </c>
      <c r="J435" t="b">
        <v>0</v>
      </c>
      <c r="K435" t="n">
        <v>0.495789524262719</v>
      </c>
      <c r="L435" t="n">
        <v>0.07681231876812319</v>
      </c>
      <c r="M435" t="n">
        <v>1.028243535215503</v>
      </c>
      <c r="N435" t="n">
        <v>0.9524047595240476</v>
      </c>
      <c r="O435" t="n">
        <v>-311905.2311177661</v>
      </c>
      <c r="P435" t="n">
        <v>8424.249260666664</v>
      </c>
      <c r="Q435">
        <f>'_live'!$C$21</f>
        <v/>
      </c>
      <c r="R435" t="inlineStr">
        <is>
          <t>shuffled: 333 of 10,000</t>
        </is>
      </c>
      <c r="S435" t="inlineStr">
        <is>
          <t>shuffled: 9,403 of 10,000</t>
        </is>
      </c>
      <c r="T435" t="n">
        <v>0.07603765618995588</v>
      </c>
      <c r="U435" t="n">
        <v>0.03666317569462706</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0.03769867338847042</v>
      </c>
      <c r="AI435">
        <f>IF($Y435="worse","Yes",IF($Y435="worse, not significant","Not sure",IF(OR($Y435="too few losses to test",$Y435="too few loans to test"),"Too few losses",IF($Y435="","","No"))))</f>
        <v/>
      </c>
      <c r="AJ435">
        <f>IF($AA435="yes","Yes",IF($AA435="","","No"))</f>
        <v/>
      </c>
    </row>
    <row r="436">
      <c r="A436" t="inlineStr">
        <is>
          <t>three-way</t>
        </is>
      </c>
      <c r="B436" t="inlineStr">
        <is>
          <t>FICO x CHANNEL / REV_DEBT</t>
        </is>
      </c>
      <c r="C436" t="inlineStr">
        <is>
          <t>746 - 921</t>
        </is>
      </c>
      <c r="D436" t="inlineStr">
        <is>
          <t>Branch / REV_DEBT low half</t>
        </is>
      </c>
      <c r="E436" t="inlineStr">
        <is>
          <t>gco_rate</t>
        </is>
      </c>
      <c r="F436" t="inlineStr">
        <is>
          <t>GCO per booked dollar</t>
        </is>
      </c>
      <c r="G436" t="n">
        <v>259</v>
      </c>
      <c r="H436" t="n">
        <v>8135459.219999993</v>
      </c>
      <c r="I436" t="b">
        <v>0</v>
      </c>
      <c r="J436" t="b">
        <v>0</v>
      </c>
      <c r="K436" t="n">
        <v>0.4633642918337072</v>
      </c>
      <c r="L436" t="n">
        <v>0.06272100062721001</v>
      </c>
      <c r="M436" t="n">
        <v>1.012420720626409</v>
      </c>
      <c r="N436" t="n">
        <v>0.9747025297470253</v>
      </c>
      <c r="O436" t="n">
        <v>-184765.5323333798</v>
      </c>
      <c r="P436" t="n">
        <v>1957.265410983964</v>
      </c>
      <c r="Q436">
        <f>'_live'!$C$22</f>
        <v/>
      </c>
      <c r="R436" t="inlineStr">
        <is>
          <t>shuffled: 299 of 10,000</t>
        </is>
      </c>
      <c r="S436" t="inlineStr">
        <is>
          <t>shuffled: 9,747 of 10,000</t>
        </is>
      </c>
      <c r="T436" t="n">
        <v>0.04232133098116372</v>
      </c>
      <c r="U436" t="n">
        <v>0.01936960905680948</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0.01961019355954686</v>
      </c>
      <c r="AI436">
        <f>IF($Y436="worse","Yes",IF($Y436="worse, not significant","Not sure",IF(OR($Y436="too few losses to test",$Y436="too few loans to test"),"Too few losses",IF($Y436="","","No"))))</f>
        <v/>
      </c>
      <c r="AJ436">
        <f>IF($AA436="yes","Yes",IF($AA436="","","No"))</f>
        <v/>
      </c>
    </row>
    <row r="437">
      <c r="A437" t="inlineStr">
        <is>
          <t>three-way</t>
        </is>
      </c>
      <c r="B437" t="inlineStr">
        <is>
          <t>FICO x CHANNEL / REV_DEBT</t>
        </is>
      </c>
      <c r="C437" t="inlineStr">
        <is>
          <t>746 - 921</t>
        </is>
      </c>
      <c r="D437" t="inlineStr">
        <is>
          <t>Branch / REV_DEBT low half</t>
        </is>
      </c>
      <c r="E437" t="inlineStr">
        <is>
          <t>ranr_rate</t>
        </is>
      </c>
      <c r="F437" t="inlineStr">
        <is>
          <t>Profit after losses: RANR per booked dollar</t>
        </is>
      </c>
      <c r="G437" t="n">
        <v>259</v>
      </c>
      <c r="H437" t="n">
        <v>8135459.219999993</v>
      </c>
      <c r="I437" t="b">
        <v>0</v>
      </c>
      <c r="J437" t="b">
        <v>0</v>
      </c>
      <c r="K437" t="n">
        <v>-0.0839169743214646</v>
      </c>
      <c r="L437" t="n">
        <v>0.0002466420024664201</v>
      </c>
      <c r="M437" t="n">
        <v>-2.968810787254417e-05</v>
      </c>
      <c r="N437" t="n">
        <v>0.9968003199680032</v>
      </c>
      <c r="O437" t="n">
        <v>682703.1224580619</v>
      </c>
      <c r="P437" t="n">
        <v>241.5263909160276</v>
      </c>
      <c r="Q437">
        <f>'_live'!$C$23</f>
        <v/>
      </c>
      <c r="R437" t="inlineStr">
        <is>
          <t>shuffled: 0 of 10,000</t>
        </is>
      </c>
      <c r="S437" t="inlineStr">
        <is>
          <t>shuffled: 9,968 of 10,000</t>
        </is>
      </c>
      <c r="T437" t="n">
        <v>0.1306354839620305</v>
      </c>
      <c r="U437" t="n">
        <v>0.0467481977484384</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0.04671850964056586</v>
      </c>
      <c r="AI437">
        <f>IF($Y437="worse","Yes",IF($Y437="worse, not significant","Not sure",IF(OR($Y437="too few losses to test",$Y437="too few loans to test"),"Too few losses",IF($Y437="","","No"))))</f>
        <v/>
      </c>
      <c r="AJ437">
        <f>IF($AA437="yes","Yes",IF($AA437="","","No"))</f>
        <v/>
      </c>
    </row>
    <row r="438">
      <c r="A438" t="inlineStr">
        <is>
          <t>three-way</t>
        </is>
      </c>
      <c r="B438" t="inlineStr">
        <is>
          <t>FICO x CHANNEL / REV_DEBT</t>
        </is>
      </c>
      <c r="C438" t="inlineStr">
        <is>
          <t>746 - 921</t>
        </is>
      </c>
      <c r="D438" t="inlineStr">
        <is>
          <t>Branch / REV_DEBT low half</t>
        </is>
      </c>
      <c r="E438" t="inlineStr">
        <is>
          <t>contribution_rate</t>
        </is>
      </c>
      <c r="F438" t="inlineStr">
        <is>
          <t>Contribution before losses per booked dollar</t>
        </is>
      </c>
      <c r="G438" t="n">
        <v>259</v>
      </c>
      <c r="H438" t="n">
        <v>8135459.219999993</v>
      </c>
      <c r="I438" t="b">
        <v>0</v>
      </c>
      <c r="J438" t="b">
        <v>0</v>
      </c>
      <c r="K438" t="n">
        <v>-0.1066255795212284</v>
      </c>
      <c r="L438" t="n">
        <v>0.0001761728589045857</v>
      </c>
      <c r="M438" t="n">
        <v>0.0002108963948648512</v>
      </c>
      <c r="N438" t="n">
        <v>0.9525047495250474</v>
      </c>
      <c r="O438" t="n">
        <v>867448.0540038196</v>
      </c>
      <c r="P438" t="n">
        <v>-1715.739020067966</v>
      </c>
      <c r="Q438">
        <f>'_live'!$C$24</f>
        <v/>
      </c>
      <c r="R438" t="inlineStr">
        <is>
          <t>shuffled: 0 of 10,000</t>
        </is>
      </c>
      <c r="S438" t="inlineStr">
        <is>
          <t>shuffled: 9,310 of 10,000</t>
        </is>
      </c>
      <c r="T438" t="n">
        <v>0.1729542827213411</v>
      </c>
      <c r="U438" t="n">
        <v>0.06611780680524786</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0.06632870320011271</v>
      </c>
      <c r="AI438">
        <f>IF($Y438="worse","Yes",IF($Y438="worse, not significant","Not sure",IF(OR($Y438="too few losses to test",$Y438="too few loans to test"),"Too few losses",IF($Y438="","","No"))))</f>
        <v/>
      </c>
      <c r="AJ438">
        <f>IF($AA438="yes","Yes",IF($AA438="","","No"))</f>
        <v/>
      </c>
    </row>
    <row r="439">
      <c r="A439" t="inlineStr">
        <is>
          <t>three-way</t>
        </is>
      </c>
      <c r="B439" t="inlineStr">
        <is>
          <t>FICO x CHANNEL / REV_DEBT</t>
        </is>
      </c>
      <c r="C439" t="inlineStr">
        <is>
          <t>496 - 653</t>
        </is>
      </c>
      <c r="D439" t="inlineStr">
        <is>
          <t>Broker / REV_DEBT low half</t>
        </is>
      </c>
      <c r="E439" t="inlineStr">
        <is>
          <t>outcome_loans</t>
        </is>
      </c>
      <c r="F439" t="inlineStr">
        <is>
          <t>Outcome, share of loans</t>
        </is>
      </c>
      <c r="G439" t="n">
        <v>262</v>
      </c>
      <c r="H439" t="n">
        <v>262</v>
      </c>
      <c r="I439" t="b">
        <v>0</v>
      </c>
      <c r="J439" t="b">
        <v>0</v>
      </c>
      <c r="K439" t="n">
        <v>1.769809421729583</v>
      </c>
      <c r="L439" t="n">
        <v>0.00411340790143384</v>
      </c>
      <c r="M439" t="n">
        <v>0.8679849629828532</v>
      </c>
      <c r="N439" t="n">
        <v>0.5433524420963196</v>
      </c>
      <c r="O439" t="n">
        <v>15.22385937701952</v>
      </c>
      <c r="P439" t="n">
        <v>-5.323279195668988</v>
      </c>
      <c r="Q439">
        <f>'_live'!$C$20</f>
        <v/>
      </c>
      <c r="R439" t="inlineStr">
        <is>
          <t>z test</t>
        </is>
      </c>
      <c r="S439" t="inlineStr">
        <is>
          <t>z test</t>
        </is>
      </c>
      <c r="T439" t="n">
        <v>0.07548145275946749</v>
      </c>
      <c r="U439" t="n">
        <v>0.1539056457849961</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0.133587786259542</v>
      </c>
      <c r="AI439">
        <f>IF($Y439="worse","Yes",IF($Y439="worse, not significant","Not sure",IF(OR($Y439="too few losses to test",$Y439="too few loans to test"),"Too few losses",IF($Y439="","","No"))))</f>
        <v/>
      </c>
      <c r="AJ439">
        <f>IF($AA439="yes","Yes",IF($AA439="","","No"))</f>
        <v/>
      </c>
    </row>
    <row r="440">
      <c r="A440" t="inlineStr">
        <is>
          <t>three-way</t>
        </is>
      </c>
      <c r="B440" t="inlineStr">
        <is>
          <t>FICO x CHANNEL / REV_DEBT</t>
        </is>
      </c>
      <c r="C440" t="inlineStr">
        <is>
          <t>496 - 653</t>
        </is>
      </c>
      <c r="D440" t="inlineStr">
        <is>
          <t>Broker / REV_DEBT low half</t>
        </is>
      </c>
      <c r="E440" t="inlineStr">
        <is>
          <t>outcome_booked</t>
        </is>
      </c>
      <c r="F440" t="inlineStr">
        <is>
          <t>Outcome, share of booked dollars</t>
        </is>
      </c>
      <c r="G440" t="n">
        <v>262</v>
      </c>
      <c r="H440" t="n">
        <v>8752959.800000006</v>
      </c>
      <c r="I440" t="b">
        <v>0</v>
      </c>
      <c r="J440" t="b">
        <v>0</v>
      </c>
      <c r="K440" t="n">
        <v>2.213754859394668</v>
      </c>
      <c r="L440" t="n">
        <v>0.00114988501149885</v>
      </c>
      <c r="M440" t="n">
        <v>1.08164475512421</v>
      </c>
      <c r="N440" t="n">
        <v>0.7864003073376873</v>
      </c>
      <c r="O440" t="n">
        <v>763540.6570253951</v>
      </c>
      <c r="P440" t="n">
        <v>105117.3382421883</v>
      </c>
      <c r="Q440">
        <f>'_live'!$C$21</f>
        <v/>
      </c>
      <c r="R440" t="inlineStr">
        <is>
          <t>shuffled: 0 of 10,000</t>
        </is>
      </c>
      <c r="S440" t="inlineStr">
        <is>
          <t>shuffled: 6,496 of 10,000</t>
        </is>
      </c>
      <c r="T440" t="n">
        <v>0.07186976946639288</v>
      </c>
      <c r="U440" t="n">
        <v>0.1470927036312689</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0.1591020513998018</v>
      </c>
      <c r="AI440">
        <f>IF($Y440="worse","Yes",IF($Y440="worse, not significant","Not sure",IF(OR($Y440="too few losses to test",$Y440="too few loans to test"),"Too few losses",IF($Y440="","","No"))))</f>
        <v/>
      </c>
      <c r="AJ440">
        <f>IF($AA440="yes","Yes",IF($AA440="","","No"))</f>
        <v/>
      </c>
    </row>
    <row r="441">
      <c r="A441" t="inlineStr">
        <is>
          <t>three-way</t>
        </is>
      </c>
      <c r="B441" t="inlineStr">
        <is>
          <t>FICO x CHANNEL / REV_DEBT</t>
        </is>
      </c>
      <c r="C441" t="inlineStr">
        <is>
          <t>496 - 653</t>
        </is>
      </c>
      <c r="D441" t="inlineStr">
        <is>
          <t>Broker / REV_DEBT low half</t>
        </is>
      </c>
      <c r="E441" t="inlineStr">
        <is>
          <t>gco_rate</t>
        </is>
      </c>
      <c r="F441" t="inlineStr">
        <is>
          <t>GCO per booked dollar</t>
        </is>
      </c>
      <c r="G441" t="n">
        <v>262</v>
      </c>
      <c r="H441" t="n">
        <v>8752959.800000006</v>
      </c>
      <c r="I441" t="b">
        <v>0</v>
      </c>
      <c r="J441" t="b">
        <v>0</v>
      </c>
      <c r="K441" t="n">
        <v>2.353132904080026</v>
      </c>
      <c r="L441" t="n">
        <v>0.00114988501149885</v>
      </c>
      <c r="M441" t="n">
        <v>1.150852449792353</v>
      </c>
      <c r="N441" t="n">
        <v>0.6308556644335567</v>
      </c>
      <c r="O441" t="n">
        <v>471143.1504927992</v>
      </c>
      <c r="P441" t="n">
        <v>107396.8650397294</v>
      </c>
      <c r="Q441">
        <f>'_live'!$C$22</f>
        <v/>
      </c>
      <c r="R441" t="inlineStr">
        <is>
          <t>shuffled: 0 of 10,000</t>
        </is>
      </c>
      <c r="S441" t="inlineStr">
        <is>
          <t>shuffled: 4,312 of 10,000</t>
        </is>
      </c>
      <c r="T441" t="n">
        <v>0.03977933264439312</v>
      </c>
      <c r="U441" t="n">
        <v>0.08133627952458666</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0.09360605654786618</v>
      </c>
      <c r="AI441">
        <f>IF($Y441="worse","Yes",IF($Y441="worse, not significant","Not sure",IF(OR($Y441="too few losses to test",$Y441="too few loans to test"),"Too few losses",IF($Y441="","","No"))))</f>
        <v/>
      </c>
      <c r="AJ441">
        <f>IF($AA441="yes","Yes",IF($AA441="","","No"))</f>
        <v/>
      </c>
    </row>
    <row r="442">
      <c r="A442" t="inlineStr">
        <is>
          <t>three-way</t>
        </is>
      </c>
      <c r="B442" t="inlineStr">
        <is>
          <t>FICO x CHANNEL / REV_DEBT</t>
        </is>
      </c>
      <c r="C442" t="inlineStr">
        <is>
          <t>496 - 653</t>
        </is>
      </c>
      <c r="D442" t="inlineStr">
        <is>
          <t>Broker / REV_DEBT low half</t>
        </is>
      </c>
      <c r="E442" t="inlineStr">
        <is>
          <t>ranr_rate</t>
        </is>
      </c>
      <c r="F442" t="inlineStr">
        <is>
          <t>Profit after losses: RANR per booked dollar</t>
        </is>
      </c>
      <c r="G442" t="n">
        <v>262</v>
      </c>
      <c r="H442" t="n">
        <v>8752959.800000006</v>
      </c>
      <c r="I442" t="b">
        <v>0</v>
      </c>
      <c r="J442" t="b">
        <v>0</v>
      </c>
      <c r="K442" t="n">
        <v>0.0589135062074905</v>
      </c>
      <c r="L442" t="n">
        <v>0.0002466420024664201</v>
      </c>
      <c r="M442" t="n">
        <v>-0.006364030590963243</v>
      </c>
      <c r="N442" t="n">
        <v>0.8927107289271073</v>
      </c>
      <c r="O442" t="n">
        <v>-515667.5515112153</v>
      </c>
      <c r="P442" t="n">
        <v>55704.10392867145</v>
      </c>
      <c r="Q442">
        <f>'_live'!$C$23</f>
        <v/>
      </c>
      <c r="R442" t="inlineStr">
        <is>
          <t>shuffled: 0 of 10,000</t>
        </is>
      </c>
      <c r="S442" t="inlineStr">
        <is>
          <t>shuffled: 7,265 of 10,000</t>
        </is>
      </c>
      <c r="T442" t="n">
        <v>0.1259918683150793</v>
      </c>
      <c r="U442" t="n">
        <v>0.191269405113533</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0.1849053745225698</v>
      </c>
      <c r="AI442">
        <f>IF($Y442="worse","Yes",IF($Y442="worse, not significant","Not sure",IF(OR($Y442="too few losses to test",$Y442="too few loans to test"),"Too few losses",IF($Y442="","","No"))))</f>
        <v/>
      </c>
      <c r="AJ442">
        <f>IF($AA442="yes","Yes",IF($AA442="","","No"))</f>
        <v/>
      </c>
    </row>
    <row r="443">
      <c r="A443" t="inlineStr">
        <is>
          <t>three-way</t>
        </is>
      </c>
      <c r="B443" t="inlineStr">
        <is>
          <t>FICO x CHANNEL / REV_DEBT</t>
        </is>
      </c>
      <c r="C443" t="inlineStr">
        <is>
          <t>496 - 653</t>
        </is>
      </c>
      <c r="D443" t="inlineStr">
        <is>
          <t>Broker / REV_DEBT low half</t>
        </is>
      </c>
      <c r="E443" t="inlineStr">
        <is>
          <t>contribution_rate</t>
        </is>
      </c>
      <c r="F443" t="inlineStr">
        <is>
          <t>Contribution before losses per booked dollar</t>
        </is>
      </c>
      <c r="G443" t="n">
        <v>262</v>
      </c>
      <c r="H443" t="n">
        <v>8752959.800000006</v>
      </c>
      <c r="I443" t="b">
        <v>0</v>
      </c>
      <c r="J443" t="b">
        <v>0</v>
      </c>
      <c r="K443" t="n">
        <v>0.1127435078640206</v>
      </c>
      <c r="L443" t="n">
        <v>0.0001761728589045857</v>
      </c>
      <c r="M443" t="n">
        <v>0.005905746432316616</v>
      </c>
      <c r="N443" t="n">
        <v>0.6554719528047195</v>
      </c>
      <c r="O443" t="n">
        <v>-986839.3920447568</v>
      </c>
      <c r="P443" t="n">
        <v>-51692.76111106109</v>
      </c>
      <c r="Q443">
        <f>'_live'!$C$24</f>
        <v/>
      </c>
      <c r="R443" t="inlineStr">
        <is>
          <t>shuffled: 0 of 10,000</t>
        </is>
      </c>
      <c r="S443" t="inlineStr">
        <is>
          <t>shuffled: 5,826 of 10,000</t>
        </is>
      </c>
      <c r="T443" t="n">
        <v>0.1657679232064157</v>
      </c>
      <c r="U443" t="n">
        <v>0.2726056846381196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0.2785114310704362</v>
      </c>
      <c r="AI443">
        <f>IF($Y443="worse","Yes",IF($Y443="worse, not significant","Not sure",IF(OR($Y443="too few losses to test",$Y443="too few loans to test"),"Too few losses",IF($Y443="","","No"))))</f>
        <v/>
      </c>
      <c r="AJ443">
        <f>IF($AA443="yes","Yes",IF($AA443="","","No"))</f>
        <v/>
      </c>
    </row>
    <row r="444">
      <c r="A444" t="inlineStr">
        <is>
          <t>three-way</t>
        </is>
      </c>
      <c r="B444" t="inlineStr">
        <is>
          <t>FICO x CHANNEL / REV_DEBT</t>
        </is>
      </c>
      <c r="C444" t="inlineStr">
        <is>
          <t>686 - 711</t>
        </is>
      </c>
      <c r="D444" t="inlineStr">
        <is>
          <t>Broker / REV_DEBT low half</t>
        </is>
      </c>
      <c r="E444" t="inlineStr">
        <is>
          <t>outcome_loans</t>
        </is>
      </c>
      <c r="F444" t="inlineStr">
        <is>
          <t>Outcome, share of loans</t>
        </is>
      </c>
      <c r="G444" t="n">
        <v>251</v>
      </c>
      <c r="H444" t="n">
        <v>251</v>
      </c>
      <c r="I444" t="b">
        <v>1</v>
      </c>
      <c r="J444" t="b">
        <v>0</v>
      </c>
      <c r="K444" t="n">
        <v>0.4554372673241461</v>
      </c>
      <c r="M444" t="n">
        <v>0.5403214727297707</v>
      </c>
      <c r="O444" t="n">
        <v>-10.76122870418173</v>
      </c>
      <c r="P444" t="n">
        <v>-7.656750572082377</v>
      </c>
      <c r="Q444">
        <f>'_live'!$C$20</f>
        <v/>
      </c>
      <c r="T444" t="n">
        <v>0.07872999483737739</v>
      </c>
      <c r="U444" t="n">
        <v>0.06636155606407322</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0.03585657370517929</v>
      </c>
      <c r="AI444">
        <f>IF($Y444="worse","Yes",IF($Y444="worse, not significant","Not sure",IF(OR($Y444="too few losses to test",$Y444="too few loans to test"),"Too few losses",IF($Y444="","","No"))))</f>
        <v/>
      </c>
      <c r="AJ444">
        <f>IF($AA444="yes","Yes",IF($AA444="","","No"))</f>
        <v/>
      </c>
    </row>
    <row r="445">
      <c r="A445" t="inlineStr">
        <is>
          <t>three-way</t>
        </is>
      </c>
      <c r="B445" t="inlineStr">
        <is>
          <t>FICO x CHANNEL / REV_DEBT</t>
        </is>
      </c>
      <c r="C445" t="inlineStr">
        <is>
          <t>686 - 711</t>
        </is>
      </c>
      <c r="D445" t="inlineStr">
        <is>
          <t>Broker / REV_DEBT low half</t>
        </is>
      </c>
      <c r="E445" t="inlineStr">
        <is>
          <t>outcome_booked</t>
        </is>
      </c>
      <c r="F445" t="inlineStr">
        <is>
          <t>Outcome, share of booked dollars</t>
        </is>
      </c>
      <c r="G445" t="n">
        <v>251</v>
      </c>
      <c r="H445" t="n">
        <v>8202137.020000005</v>
      </c>
      <c r="I445" t="b">
        <v>1</v>
      </c>
      <c r="J445" t="b">
        <v>0</v>
      </c>
      <c r="K445" t="n">
        <v>0.3269459856664278</v>
      </c>
      <c r="M445" t="n">
        <v>0.397035800182395</v>
      </c>
      <c r="O445" t="n">
        <v>-422122.5103007077</v>
      </c>
      <c r="P445" t="n">
        <v>-311405.631114818</v>
      </c>
      <c r="Q445">
        <f>'_live'!$C$21</f>
        <v/>
      </c>
      <c r="T445" t="n">
        <v>0.07646480286435245</v>
      </c>
      <c r="U445" t="n">
        <v>0.06296626231133332</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0.0249998603412748</v>
      </c>
      <c r="AI445">
        <f>IF($Y445="worse","Yes",IF($Y445="worse, not significant","Not sure",IF(OR($Y445="too few losses to test",$Y445="too few loans to test"),"Too few losses",IF($Y445="","","No"))))</f>
        <v/>
      </c>
      <c r="AJ445">
        <f>IF($AA445="yes","Yes",IF($AA445="","","No"))</f>
        <v/>
      </c>
    </row>
    <row r="446">
      <c r="A446" t="inlineStr">
        <is>
          <t>three-way</t>
        </is>
      </c>
      <c r="B446" t="inlineStr">
        <is>
          <t>FICO x CHANNEL / REV_DEBT</t>
        </is>
      </c>
      <c r="C446" t="inlineStr">
        <is>
          <t>686 - 711</t>
        </is>
      </c>
      <c r="D446" t="inlineStr">
        <is>
          <t>Broker / REV_DEBT low half</t>
        </is>
      </c>
      <c r="E446" t="inlineStr">
        <is>
          <t>gco_rate</t>
        </is>
      </c>
      <c r="F446" t="inlineStr">
        <is>
          <t>GCO per booked dollar</t>
        </is>
      </c>
      <c r="G446" t="n">
        <v>251</v>
      </c>
      <c r="H446" t="n">
        <v>8202137.020000005</v>
      </c>
      <c r="I446" t="b">
        <v>1</v>
      </c>
      <c r="J446" t="b">
        <v>0</v>
      </c>
      <c r="K446" t="n">
        <v>0.3046067306448165</v>
      </c>
      <c r="M446" t="n">
        <v>0.3695414189494517</v>
      </c>
      <c r="O446" t="n">
        <v>-242668.5794027388</v>
      </c>
      <c r="P446" t="n">
        <v>-181349.3479423962</v>
      </c>
      <c r="Q446">
        <f>'_live'!$C$22</f>
        <v/>
      </c>
      <c r="T446" t="n">
        <v>0.04254573637965616</v>
      </c>
      <c r="U446" t="n">
        <v>0.03506972966203826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0.01295971766148329</v>
      </c>
      <c r="AI446">
        <f>IF($Y446="worse","Yes",IF($Y446="worse, not significant","Not sure",IF(OR($Y446="too few losses to test",$Y446="too few loans to test"),"Too few losses",IF($Y446="","","No"))))</f>
        <v/>
      </c>
      <c r="AJ446">
        <f>IF($AA446="yes","Yes",IF($AA446="","","No"))</f>
        <v/>
      </c>
    </row>
    <row r="447">
      <c r="A447" t="inlineStr">
        <is>
          <t>three-way</t>
        </is>
      </c>
      <c r="B447" t="inlineStr">
        <is>
          <t>FICO x CHANNEL / REV_DEBT</t>
        </is>
      </c>
      <c r="C447" t="inlineStr">
        <is>
          <t>686 - 711</t>
        </is>
      </c>
      <c r="D447" t="inlineStr">
        <is>
          <t>Broker / REV_DEBT low half</t>
        </is>
      </c>
      <c r="E447" t="inlineStr">
        <is>
          <t>ranr_rate</t>
        </is>
      </c>
      <c r="F447" t="inlineStr">
        <is>
          <t>Profit after losses: RANR per booked dollar</t>
        </is>
      </c>
      <c r="G447" t="n">
        <v>251</v>
      </c>
      <c r="H447" t="n">
        <v>8202137.020000005</v>
      </c>
      <c r="I447" t="b">
        <v>0</v>
      </c>
      <c r="J447" t="b">
        <v>0</v>
      </c>
      <c r="K447" t="n">
        <v>0.0102229459239099</v>
      </c>
      <c r="L447" t="n">
        <v>0.5704036739183225</v>
      </c>
      <c r="M447" t="n">
        <v>-0.004802324014117898</v>
      </c>
      <c r="N447" t="n">
        <v>0.8927107289271073</v>
      </c>
      <c r="O447" t="n">
        <v>-83850.00321595953</v>
      </c>
      <c r="P447" t="n">
        <v>39389.31957823155</v>
      </c>
      <c r="Q447">
        <f>'_live'!$C$23</f>
        <v/>
      </c>
      <c r="R447" t="inlineStr">
        <is>
          <t>shuffled: 4,316 of 10,000</t>
        </is>
      </c>
      <c r="S447" t="inlineStr">
        <is>
          <t>shuffled: 6,935 of 10,000</t>
        </is>
      </c>
      <c r="T447" t="n">
        <v>0.1276651358335928</v>
      </c>
      <c r="U447" t="n">
        <v>0.1426904057716206</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0.1378880817575027</v>
      </c>
      <c r="AI447">
        <f>IF($Y447="worse","Yes",IF($Y447="worse, not significant","Not sure",IF(OR($Y447="too few losses to test",$Y447="too few loans to test"),"Too few losses",IF($Y447="","","No"))))</f>
        <v/>
      </c>
      <c r="AJ447">
        <f>IF($AA447="yes","Yes",IF($AA447="","","No"))</f>
        <v/>
      </c>
    </row>
    <row r="448">
      <c r="A448" t="inlineStr">
        <is>
          <t>three-way</t>
        </is>
      </c>
      <c r="B448" t="inlineStr">
        <is>
          <t>FICO x CHANNEL / REV_DEBT</t>
        </is>
      </c>
      <c r="C448" t="inlineStr">
        <is>
          <t>686 - 711</t>
        </is>
      </c>
      <c r="D448" t="inlineStr">
        <is>
          <t>Broker / REV_DEBT low half</t>
        </is>
      </c>
      <c r="E448" t="inlineStr">
        <is>
          <t>contribution_rate</t>
        </is>
      </c>
      <c r="F448" t="inlineStr">
        <is>
          <t>Contribution before losses per booked dollar</t>
        </is>
      </c>
      <c r="G448" t="n">
        <v>251</v>
      </c>
      <c r="H448" t="n">
        <v>8202137.020000005</v>
      </c>
      <c r="I448" t="b">
        <v>0</v>
      </c>
      <c r="J448" t="b">
        <v>0</v>
      </c>
      <c r="K448" t="n">
        <v>-0.0193600680630624</v>
      </c>
      <c r="L448" t="n">
        <v>0.03466690368000237</v>
      </c>
      <c r="M448" t="n">
        <v>-0.02691233601467288</v>
      </c>
      <c r="N448" t="n">
        <v>0.0008999100089991002</v>
      </c>
      <c r="O448" t="n">
        <v>158793.9309697638</v>
      </c>
      <c r="P448" t="n">
        <v>220738.6675206278</v>
      </c>
      <c r="Q448">
        <f>'_live'!$C$24</f>
        <v/>
      </c>
      <c r="R448" t="inlineStr">
        <is>
          <t>shuffled: 252 of 10,000</t>
        </is>
      </c>
      <c r="S448" t="inlineStr">
        <is>
          <t>shuffled: 1 of 10,000</t>
        </is>
      </c>
      <c r="T448" t="n">
        <v>0.1702078674820484</v>
      </c>
      <c r="U448" t="n">
        <v>0.1777601354336589</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0.150847799418986</v>
      </c>
      <c r="AI448">
        <f>IF($Y448="worse","Yes",IF($Y448="worse, not significant","Not sure",IF(OR($Y448="too few losses to test",$Y448="too few loans to test"),"Too few losses",IF($Y448="","","No"))))</f>
        <v/>
      </c>
      <c r="AJ448">
        <f>IF($AA448="yes","Yes",IF($AA448="","","No"))</f>
        <v/>
      </c>
    </row>
    <row r="449">
      <c r="A449" t="inlineStr">
        <is>
          <t>three-way</t>
        </is>
      </c>
      <c r="B449" t="inlineStr">
        <is>
          <t>FICO x CHANNEL / REV_DEBT</t>
        </is>
      </c>
      <c r="C449" t="inlineStr">
        <is>
          <t>712 - 745</t>
        </is>
      </c>
      <c r="D449" t="inlineStr">
        <is>
          <t>Online / REV_DEBT low half</t>
        </is>
      </c>
      <c r="E449" t="inlineStr">
        <is>
          <t>outcome_loans</t>
        </is>
      </c>
      <c r="F449" t="inlineStr">
        <is>
          <t>Outcome, share of loans</t>
        </is>
      </c>
      <c r="G449" t="n">
        <v>282</v>
      </c>
      <c r="H449" t="n">
        <v>282</v>
      </c>
      <c r="I449" t="b">
        <v>0</v>
      </c>
      <c r="J449" t="b">
        <v>0</v>
      </c>
      <c r="K449" t="n">
        <v>0.8665661938534279</v>
      </c>
      <c r="L449" t="n">
        <v>0.6317767939277055</v>
      </c>
      <c r="M449" t="n">
        <v>1.31680225281602</v>
      </c>
      <c r="N449" t="n">
        <v>0.4501821955874574</v>
      </c>
      <c r="O449" t="n">
        <v>-2.925618763768302</v>
      </c>
      <c r="P449" t="n">
        <v>4.571106094808126</v>
      </c>
      <c r="Q449">
        <f>'_live'!$C$20</f>
        <v/>
      </c>
      <c r="R449" t="inlineStr">
        <is>
          <t>z test</t>
        </is>
      </c>
      <c r="S449" t="inlineStr">
        <is>
          <t>z test</t>
        </is>
      </c>
      <c r="T449" t="n">
        <v>0.07775042114811455</v>
      </c>
      <c r="U449" t="n">
        <v>0.05116629044394282</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0.0673758865248227</v>
      </c>
      <c r="AI449">
        <f>IF($Y449="worse","Yes",IF($Y449="worse, not significant","Not sure",IF(OR($Y449="too few losses to test",$Y449="too few loans to test"),"Too few losses",IF($Y449="","","No"))))</f>
        <v/>
      </c>
      <c r="AJ449">
        <f>IF($AA449="yes","Yes",IF($AA449="","","No"))</f>
        <v/>
      </c>
    </row>
    <row r="450">
      <c r="A450" t="inlineStr">
        <is>
          <t>three-way</t>
        </is>
      </c>
      <c r="B450" t="inlineStr">
        <is>
          <t>FICO x CHANNEL / REV_DEBT</t>
        </is>
      </c>
      <c r="C450" t="inlineStr">
        <is>
          <t>712 - 745</t>
        </is>
      </c>
      <c r="D450" t="inlineStr">
        <is>
          <t>Online / REV_DEBT low half</t>
        </is>
      </c>
      <c r="E450" t="inlineStr">
        <is>
          <t>outcome_booked</t>
        </is>
      </c>
      <c r="F450" t="inlineStr">
        <is>
          <t>Outcome, share of booked dollars</t>
        </is>
      </c>
      <c r="G450" t="n">
        <v>282</v>
      </c>
      <c r="H450" t="n">
        <v>9281100.920000004</v>
      </c>
      <c r="I450" t="b">
        <v>0</v>
      </c>
      <c r="J450" t="b">
        <v>0</v>
      </c>
      <c r="K450" t="n">
        <v>0.8159443819128908</v>
      </c>
      <c r="L450" t="n">
        <v>0.5204742683626374</v>
      </c>
      <c r="M450" t="n">
        <v>1.160196054946808</v>
      </c>
      <c r="N450" t="n">
        <v>0.7864003073376873</v>
      </c>
      <c r="O450" t="n">
        <v>-128677.4540505259</v>
      </c>
      <c r="P450" t="n">
        <v>78765.1981884159</v>
      </c>
      <c r="Q450">
        <f>'_live'!$C$21</f>
        <v/>
      </c>
      <c r="R450" t="inlineStr">
        <is>
          <t>shuffled: 4,299 of 10,000</t>
        </is>
      </c>
      <c r="S450" t="inlineStr">
        <is>
          <t>shuffled: 6,001 of 10,000</t>
        </is>
      </c>
      <c r="T450" t="n">
        <v>0.07532755759006718</v>
      </c>
      <c r="U450" t="n">
        <v>0.05297647510243685</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0.06146309741883505</v>
      </c>
      <c r="AI450">
        <f>IF($Y450="worse","Yes",IF($Y450="worse, not significant","Not sure",IF(OR($Y450="too few losses to test",$Y450="too few loans to test"),"Too few losses",IF($Y450="","","No"))))</f>
        <v/>
      </c>
      <c r="AJ450">
        <f>IF($AA450="yes","Yes",IF($AA450="","","No"))</f>
        <v/>
      </c>
    </row>
    <row r="451">
      <c r="A451" t="inlineStr">
        <is>
          <t>three-way</t>
        </is>
      </c>
      <c r="B451" t="inlineStr">
        <is>
          <t>FICO x CHANNEL / REV_DEBT</t>
        </is>
      </c>
      <c r="C451" t="inlineStr">
        <is>
          <t>712 - 745</t>
        </is>
      </c>
      <c r="D451" t="inlineStr">
        <is>
          <t>Online / REV_DEBT low half</t>
        </is>
      </c>
      <c r="E451" t="inlineStr">
        <is>
          <t>gco_rate</t>
        </is>
      </c>
      <c r="F451" t="inlineStr">
        <is>
          <t>GCO per booked dollar</t>
        </is>
      </c>
      <c r="G451" t="n">
        <v>282</v>
      </c>
      <c r="H451" t="n">
        <v>9281100.920000004</v>
      </c>
      <c r="I451" t="b">
        <v>0</v>
      </c>
      <c r="J451" t="b">
        <v>0</v>
      </c>
      <c r="K451" t="n">
        <v>0.8199487142000017</v>
      </c>
      <c r="L451" t="n">
        <v>0.5349265073492651</v>
      </c>
      <c r="M451" t="n">
        <v>1.16951994729172</v>
      </c>
      <c r="N451" t="n">
        <v>0.8141185881411859</v>
      </c>
      <c r="O451" t="n">
        <v>-69978.68722690688</v>
      </c>
      <c r="P451" t="n">
        <v>46192.28309801046</v>
      </c>
      <c r="Q451">
        <f>'_live'!$C$22</f>
        <v/>
      </c>
      <c r="R451" t="inlineStr">
        <is>
          <t>shuffled: 4,651 of 10,000</t>
        </is>
      </c>
      <c r="S451" t="inlineStr">
        <is>
          <t>shuffled: 6,017 of 10,000</t>
        </is>
      </c>
      <c r="T451" t="n">
        <v>0.04187647032146557</v>
      </c>
      <c r="U451" t="n">
        <v>0.02935953172481929</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0.03433655799532023</v>
      </c>
      <c r="AI451">
        <f>IF($Y451="worse","Yes",IF($Y451="worse, not significant","Not sure",IF(OR($Y451="too few losses to test",$Y451="too few loans to test"),"Too few losses",IF($Y451="","","No"))))</f>
        <v/>
      </c>
      <c r="AJ451">
        <f>IF($AA451="yes","Yes",IF($AA451="","","No"))</f>
        <v/>
      </c>
    </row>
    <row r="452">
      <c r="A452" t="inlineStr">
        <is>
          <t>three-way</t>
        </is>
      </c>
      <c r="B452" t="inlineStr">
        <is>
          <t>FICO x CHANNEL / REV_DEBT</t>
        </is>
      </c>
      <c r="C452" t="inlineStr">
        <is>
          <t>712 - 745</t>
        </is>
      </c>
      <c r="D452" t="inlineStr">
        <is>
          <t>Online / REV_DEBT low half</t>
        </is>
      </c>
      <c r="E452" t="inlineStr">
        <is>
          <t>ranr_rate</t>
        </is>
      </c>
      <c r="F452" t="inlineStr">
        <is>
          <t>Profit after losses: RANR per booked dollar</t>
        </is>
      </c>
      <c r="G452" t="n">
        <v>282</v>
      </c>
      <c r="H452" t="n">
        <v>9281100.920000004</v>
      </c>
      <c r="I452" t="b">
        <v>0</v>
      </c>
      <c r="J452" t="b">
        <v>0</v>
      </c>
      <c r="K452" t="n">
        <v>-0.007380017944136577</v>
      </c>
      <c r="L452" t="n">
        <v>0.6630691769532724</v>
      </c>
      <c r="M452" t="n">
        <v>0.03043212312598367</v>
      </c>
      <c r="N452" t="n">
        <v>0.0365963403659634</v>
      </c>
      <c r="O452" t="n">
        <v>68494.69133094256</v>
      </c>
      <c r="P452" t="n">
        <v>-282443.6059421204</v>
      </c>
      <c r="Q452">
        <f>'_live'!$C$23</f>
        <v/>
      </c>
      <c r="R452" t="inlineStr">
        <is>
          <t>shuffled: 5,471 of 10,000</t>
        </is>
      </c>
      <c r="S452" t="inlineStr">
        <is>
          <t>shuffled: 60 of 10,000</t>
        </is>
      </c>
      <c r="T452" t="n">
        <v>0.1282554625352509</v>
      </c>
      <c r="U452" t="n">
        <v>0.09044332146513061</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0.1208754445911143</v>
      </c>
      <c r="AI452">
        <f>IF($Y452="worse","Yes",IF($Y452="worse, not significant","Not sure",IF(OR($Y452="too few losses to test",$Y452="too few loans to test"),"Too few losses",IF($Y452="","","No"))))</f>
        <v/>
      </c>
      <c r="AJ452">
        <f>IF($AA452="yes","Yes",IF($AA452="","","No"))</f>
        <v/>
      </c>
    </row>
    <row r="453">
      <c r="A453" t="inlineStr">
        <is>
          <t>three-way</t>
        </is>
      </c>
      <c r="B453" t="inlineStr">
        <is>
          <t>FICO x CHANNEL / REV_DEBT</t>
        </is>
      </c>
      <c r="C453" t="inlineStr">
        <is>
          <t>712 - 745</t>
        </is>
      </c>
      <c r="D453" t="inlineStr">
        <is>
          <t>Online / REV_DEBT low half</t>
        </is>
      </c>
      <c r="E453" t="inlineStr">
        <is>
          <t>contribution_rate</t>
        </is>
      </c>
      <c r="F453" t="inlineStr">
        <is>
          <t>Contribution before losses per booked dollar</t>
        </is>
      </c>
      <c r="G453" t="n">
        <v>282</v>
      </c>
      <c r="H453" t="n">
        <v>9281100.920000004</v>
      </c>
      <c r="I453" t="b">
        <v>0</v>
      </c>
      <c r="J453" t="b">
        <v>0</v>
      </c>
      <c r="K453" t="n">
        <v>-0.01491700668469745</v>
      </c>
      <c r="L453" t="n">
        <v>0.08228487496077977</v>
      </c>
      <c r="M453" t="n">
        <v>0.03546245635496148</v>
      </c>
      <c r="N453" t="n">
        <v>0.0005142342908566286</v>
      </c>
      <c r="O453" t="n">
        <v>138446.2444649916</v>
      </c>
      <c r="P453" t="n">
        <v>-329130.636301493</v>
      </c>
      <c r="Q453">
        <f>'_live'!$C$24</f>
        <v/>
      </c>
      <c r="R453" t="inlineStr">
        <is>
          <t>shuffled: 644 of 10,000</t>
        </is>
      </c>
      <c r="S453" t="inlineStr">
        <is>
          <t>shuffled: 0 of 10,000</t>
        </is>
      </c>
      <c r="T453" t="n">
        <v>0.1701290092711319</v>
      </c>
      <c r="U453" t="n">
        <v>0.119749546231473</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0.1552120025864345</v>
      </c>
      <c r="AI453">
        <f>IF($Y453="worse","Yes",IF($Y453="worse, not significant","Not sure",IF(OR($Y453="too few losses to test",$Y453="too few loans to test"),"Too few losses",IF($Y453="","","No"))))</f>
        <v/>
      </c>
      <c r="AJ453">
        <f>IF($AA453="yes","Yes",IF($AA453="","","No"))</f>
        <v/>
      </c>
    </row>
    <row r="454">
      <c r="A454" t="inlineStr">
        <is>
          <t>three-way</t>
        </is>
      </c>
      <c r="B454" t="inlineStr">
        <is>
          <t>FICO x CHANNEL / REV_DEBT</t>
        </is>
      </c>
      <c r="C454" t="inlineStr">
        <is>
          <t>746 - 921</t>
        </is>
      </c>
      <c r="D454" t="inlineStr">
        <is>
          <t>Broker / REV_DEBT low half</t>
        </is>
      </c>
      <c r="E454" t="inlineStr">
        <is>
          <t>outcome_loans</t>
        </is>
      </c>
      <c r="F454" t="inlineStr">
        <is>
          <t>Outcome, share of loans</t>
        </is>
      </c>
      <c r="G454" t="n">
        <v>268</v>
      </c>
      <c r="H454" t="n">
        <v>268</v>
      </c>
      <c r="I454" t="b">
        <v>1</v>
      </c>
      <c r="J454" t="b">
        <v>0</v>
      </c>
      <c r="K454" t="n">
        <v>0.2823525115044678</v>
      </c>
      <c r="M454" t="n">
        <v>0.5209221748400853</v>
      </c>
      <c r="O454" t="n">
        <v>-15.25003233734316</v>
      </c>
      <c r="P454" t="n">
        <v>-5.518035303146585</v>
      </c>
      <c r="Q454">
        <f>'_live'!$C$20</f>
        <v/>
      </c>
      <c r="T454" t="n">
        <v>0.07929116543784763</v>
      </c>
      <c r="U454" t="n">
        <v>0.04297774366845741</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0.02238805970149254</v>
      </c>
      <c r="AI454">
        <f>IF($Y454="worse","Yes",IF($Y454="worse, not significant","Not sure",IF(OR($Y454="too few losses to test",$Y454="too few loans to test"),"Too few losses",IF($Y454="","","No"))))</f>
        <v/>
      </c>
      <c r="AJ454">
        <f>IF($AA454="yes","Yes",IF($AA454="","","No"))</f>
        <v/>
      </c>
    </row>
    <row r="455">
      <c r="A455" t="inlineStr">
        <is>
          <t>three-way</t>
        </is>
      </c>
      <c r="B455" t="inlineStr">
        <is>
          <t>FICO x CHANNEL / REV_DEBT</t>
        </is>
      </c>
      <c r="C455" t="inlineStr">
        <is>
          <t>746 - 921</t>
        </is>
      </c>
      <c r="D455" t="inlineStr">
        <is>
          <t>Broker / REV_DEBT low half</t>
        </is>
      </c>
      <c r="E455" t="inlineStr">
        <is>
          <t>outcome_booked</t>
        </is>
      </c>
      <c r="F455" t="inlineStr">
        <is>
          <t>Outcome, share of booked dollars</t>
        </is>
      </c>
      <c r="G455" t="n">
        <v>268</v>
      </c>
      <c r="H455" t="n">
        <v>9041693.600000001</v>
      </c>
      <c r="I455" t="b">
        <v>1</v>
      </c>
      <c r="J455" t="b">
        <v>0</v>
      </c>
      <c r="K455" t="n">
        <v>0.2354619375636639</v>
      </c>
      <c r="M455" t="n">
        <v>0.442527933799889</v>
      </c>
      <c r="O455" t="n">
        <v>-531510.2086513927</v>
      </c>
      <c r="P455" t="n">
        <v>-206212.8064803196</v>
      </c>
      <c r="Q455">
        <f>'_live'!$C$21</f>
        <v/>
      </c>
      <c r="T455" t="n">
        <v>0.07688873450117714</v>
      </c>
      <c r="U455" t="n">
        <v>0.04091124880413107</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0.0181043704024653</v>
      </c>
      <c r="AI455">
        <f>IF($Y455="worse","Yes",IF($Y455="worse, not significant","Not sure",IF(OR($Y455="too few losses to test",$Y455="too few loans to test"),"Too few losses",IF($Y455="","","No"))))</f>
        <v/>
      </c>
      <c r="AJ455">
        <f>IF($AA455="yes","Yes",IF($AA455="","","No"))</f>
        <v/>
      </c>
    </row>
    <row r="456">
      <c r="A456" t="inlineStr">
        <is>
          <t>three-way</t>
        </is>
      </c>
      <c r="B456" t="inlineStr">
        <is>
          <t>FICO x CHANNEL / REV_DEBT</t>
        </is>
      </c>
      <c r="C456" t="inlineStr">
        <is>
          <t>746 - 921</t>
        </is>
      </c>
      <c r="D456" t="inlineStr">
        <is>
          <t>Broker / REV_DEBT low half</t>
        </is>
      </c>
      <c r="E456" t="inlineStr">
        <is>
          <t>gco_rate</t>
        </is>
      </c>
      <c r="F456" t="inlineStr">
        <is>
          <t>GCO per booked dollar</t>
        </is>
      </c>
      <c r="G456" t="n">
        <v>268</v>
      </c>
      <c r="H456" t="n">
        <v>9041693.600000001</v>
      </c>
      <c r="I456" t="b">
        <v>1</v>
      </c>
      <c r="J456" t="b">
        <v>0</v>
      </c>
      <c r="K456" t="n">
        <v>0.2118217701689866</v>
      </c>
      <c r="M456" t="n">
        <v>0.4183706237677063</v>
      </c>
      <c r="O456" t="n">
        <v>-304920.0625513401</v>
      </c>
      <c r="P456" t="n">
        <v>-113924.5465847473</v>
      </c>
      <c r="Q456">
        <f>'_live'!$C$22</f>
        <v/>
      </c>
      <c r="T456" t="n">
        <v>0.04278699430285274</v>
      </c>
      <c r="U456" t="n">
        <v>0.02166312919348951</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0.009063216873440612</v>
      </c>
      <c r="AI456">
        <f>IF($Y456="worse","Yes",IF($Y456="worse, not significant","Not sure",IF(OR($Y456="too few losses to test",$Y456="too few loans to test"),"Too few losses",IF($Y456="","","No"))))</f>
        <v/>
      </c>
      <c r="AJ456">
        <f>IF($AA456="yes","Yes",IF($AA456="","","No"))</f>
        <v/>
      </c>
    </row>
    <row r="457">
      <c r="A457" t="inlineStr">
        <is>
          <t>three-way</t>
        </is>
      </c>
      <c r="B457" t="inlineStr">
        <is>
          <t>FICO x CHANNEL / REV_DEBT</t>
        </is>
      </c>
      <c r="C457" t="inlineStr">
        <is>
          <t>746 - 921</t>
        </is>
      </c>
      <c r="D457" t="inlineStr">
        <is>
          <t>Broker / REV_DEBT low half</t>
        </is>
      </c>
      <c r="E457" t="inlineStr">
        <is>
          <t>ranr_rate</t>
        </is>
      </c>
      <c r="F457" t="inlineStr">
        <is>
          <t>Profit after losses: RANR per booked dollar</t>
        </is>
      </c>
      <c r="G457" t="n">
        <v>268</v>
      </c>
      <c r="H457" t="n">
        <v>9041693.600000001</v>
      </c>
      <c r="I457" t="b">
        <v>0</v>
      </c>
      <c r="J457" t="b">
        <v>0</v>
      </c>
      <c r="K457" t="n">
        <v>-0.0769590143205397</v>
      </c>
      <c r="L457" t="n">
        <v>0.0002466420024664201</v>
      </c>
      <c r="M457" t="n">
        <v>0.00850615055155797</v>
      </c>
      <c r="N457" t="n">
        <v>0.606989301069893</v>
      </c>
      <c r="O457" t="n">
        <v>695839.8272443324</v>
      </c>
      <c r="P457" t="n">
        <v>-76910.00700265815</v>
      </c>
      <c r="Q457">
        <f>'_live'!$C$23</f>
        <v/>
      </c>
      <c r="R457" t="inlineStr">
        <is>
          <t>shuffled: 0 of 10,000</t>
        </is>
      </c>
      <c r="S457" t="inlineStr">
        <is>
          <t>shuffled: 2,697 of 10,000</t>
        </is>
      </c>
      <c r="T457" t="n">
        <v>0.1306863879178932</v>
      </c>
      <c r="U457" t="n">
        <v>0.04522122304579549</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0.05372737359735346</v>
      </c>
      <c r="AI457">
        <f>IF($Y457="worse","Yes",IF($Y457="worse, not significant","Not sure",IF(OR($Y457="too few losses to test",$Y457="too few loans to test"),"Too few losses",IF($Y457="","","No"))))</f>
        <v/>
      </c>
      <c r="AJ457">
        <f>IF($AA457="yes","Yes",IF($AA457="","","No"))</f>
        <v/>
      </c>
    </row>
    <row r="458">
      <c r="A458" t="inlineStr">
        <is>
          <t>three-way</t>
        </is>
      </c>
      <c r="B458" t="inlineStr">
        <is>
          <t>FICO x CHANNEL / REV_DEBT</t>
        </is>
      </c>
      <c r="C458" t="inlineStr">
        <is>
          <t>746 - 921</t>
        </is>
      </c>
      <c r="D458" t="inlineStr">
        <is>
          <t>Broker / REV_DEBT low half</t>
        </is>
      </c>
      <c r="E458" t="inlineStr">
        <is>
          <t>contribution_rate</t>
        </is>
      </c>
      <c r="F458" t="inlineStr">
        <is>
          <t>Contribution before losses per booked dollar</t>
        </is>
      </c>
      <c r="G458" t="n">
        <v>268</v>
      </c>
      <c r="H458" t="n">
        <v>9041693.600000001</v>
      </c>
      <c r="I458" t="b">
        <v>0</v>
      </c>
      <c r="J458" t="b">
        <v>0</v>
      </c>
      <c r="K458" t="n">
        <v>-0.1106802584248606</v>
      </c>
      <c r="L458" t="n">
        <v>0.0001761728589045857</v>
      </c>
      <c r="M458" t="n">
        <v>-0.004093761768490869</v>
      </c>
      <c r="N458" t="n">
        <v>0.1413858614138586</v>
      </c>
      <c r="O458" t="n">
        <v>1000736.984246408</v>
      </c>
      <c r="P458" t="n">
        <v>37014.53958208859</v>
      </c>
      <c r="Q458">
        <f>'_live'!$C$24</f>
        <v/>
      </c>
      <c r="R458" t="inlineStr">
        <is>
          <t>shuffled: 0 of 10,000</t>
        </is>
      </c>
      <c r="S458" t="inlineStr">
        <is>
          <t>shuffled: 706 of 10,000</t>
        </is>
      </c>
      <c r="T458" t="n">
        <v>0.1734708488956546</v>
      </c>
      <c r="U458" t="n">
        <v>0.06688435223928496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0.06279059047079409</v>
      </c>
      <c r="AI458">
        <f>IF($Y458="worse","Yes",IF($Y458="worse, not significant","Not sure",IF(OR($Y458="too few losses to test",$Y458="too few loans to test"),"Too few losses",IF($Y458="","","No"))))</f>
        <v/>
      </c>
      <c r="AJ458">
        <f>IF($AA458="yes","Yes",IF($AA458="","","No"))</f>
        <v/>
      </c>
    </row>
    <row r="459">
      <c r="A459" t="inlineStr">
        <is>
          <t>three-way</t>
        </is>
      </c>
      <c r="B459" t="inlineStr">
        <is>
          <t>FICO x CHANNEL / REV_DEBT</t>
        </is>
      </c>
      <c r="C459" t="inlineStr">
        <is>
          <t>746 - 921</t>
        </is>
      </c>
      <c r="D459" t="inlineStr">
        <is>
          <t>Online / REV_DEBT high half</t>
        </is>
      </c>
      <c r="E459" t="inlineStr">
        <is>
          <t>outcome_loans</t>
        </is>
      </c>
      <c r="F459" t="inlineStr">
        <is>
          <t>Outcome, share of loans</t>
        </is>
      </c>
      <c r="G459" t="n">
        <v>258</v>
      </c>
      <c r="H459" t="n">
        <v>258</v>
      </c>
      <c r="I459" t="b">
        <v>0</v>
      </c>
      <c r="J459" t="b">
        <v>0</v>
      </c>
      <c r="K459" t="n">
        <v>0.4926744822494622</v>
      </c>
      <c r="L459" t="n">
        <v>0.04667001560645824</v>
      </c>
      <c r="M459" t="n">
        <v>0.9786821705426356</v>
      </c>
      <c r="N459" t="n">
        <v>0.9492287205924197</v>
      </c>
      <c r="O459" t="n">
        <v>-10.29737759979331</v>
      </c>
      <c r="P459" t="n">
        <v>-0.217821782178218</v>
      </c>
      <c r="Q459">
        <f>'_live'!$C$20</f>
        <v/>
      </c>
      <c r="R459" t="inlineStr">
        <is>
          <t>z test</t>
        </is>
      </c>
      <c r="S459" t="inlineStr">
        <is>
          <t>z test</t>
        </is>
      </c>
      <c r="T459" t="n">
        <v>0.07867200620074925</v>
      </c>
      <c r="U459" t="n">
        <v>0.0396039603960396</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0.03875968992248062</v>
      </c>
      <c r="AI459">
        <f>IF($Y459="worse","Yes",IF($Y459="worse, not significant","Not sure",IF(OR($Y459="too few losses to test",$Y459="too few loans to test"),"Too few losses",IF($Y459="","","No"))))</f>
        <v/>
      </c>
      <c r="AJ459">
        <f>IF($AA459="yes","Yes",IF($AA459="","","No"))</f>
        <v/>
      </c>
    </row>
    <row r="460">
      <c r="A460" t="inlineStr">
        <is>
          <t>three-way</t>
        </is>
      </c>
      <c r="B460" t="inlineStr">
        <is>
          <t>FICO x CHANNEL / REV_DEBT</t>
        </is>
      </c>
      <c r="C460" t="inlineStr">
        <is>
          <t>746 - 921</t>
        </is>
      </c>
      <c r="D460" t="inlineStr">
        <is>
          <t>Online / REV_DEBT high half</t>
        </is>
      </c>
      <c r="E460" t="inlineStr">
        <is>
          <t>outcome_booked</t>
        </is>
      </c>
      <c r="F460" t="inlineStr">
        <is>
          <t>Outcome, share of booked dollars</t>
        </is>
      </c>
      <c r="G460" t="n">
        <v>258</v>
      </c>
      <c r="H460" t="n">
        <v>8792490.43</v>
      </c>
      <c r="I460" t="b">
        <v>0</v>
      </c>
      <c r="J460" t="b">
        <v>0</v>
      </c>
      <c r="K460" t="n">
        <v>0.4740562237889812</v>
      </c>
      <c r="L460" t="n">
        <v>0.07681231876812319</v>
      </c>
      <c r="M460" t="n">
        <v>0.9767721074710733</v>
      </c>
      <c r="N460" t="n">
        <v>0.9524047595240476</v>
      </c>
      <c r="O460" t="n">
        <v>-352350.000627476</v>
      </c>
      <c r="P460" t="n">
        <v>-7552.337118183146</v>
      </c>
      <c r="Q460">
        <f>'_live'!$C$21</f>
        <v/>
      </c>
      <c r="R460" t="inlineStr">
        <is>
          <t>shuffled: 267 of 10,000</t>
        </is>
      </c>
      <c r="S460" t="inlineStr">
        <is>
          <t>shuffled: 9,524 of 10,000</t>
        </is>
      </c>
      <c r="T460" t="n">
        <v>0.07619439975068316</v>
      </c>
      <c r="U460" t="n">
        <v>0.03697938254317591</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0.03612042941967695</v>
      </c>
      <c r="AI460">
        <f>IF($Y460="worse","Yes",IF($Y460="worse, not significant","Not sure",IF(OR($Y460="too few losses to test",$Y460="too few loans to test"),"Too few losses",IF($Y460="","","No"))))</f>
        <v/>
      </c>
      <c r="AJ460">
        <f>IF($AA460="yes","Yes",IF($AA460="","","No"))</f>
        <v/>
      </c>
    </row>
    <row r="461">
      <c r="A461" t="inlineStr">
        <is>
          <t>three-way</t>
        </is>
      </c>
      <c r="B461" t="inlineStr">
        <is>
          <t>FICO x CHANNEL / REV_DEBT</t>
        </is>
      </c>
      <c r="C461" t="inlineStr">
        <is>
          <t>746 - 921</t>
        </is>
      </c>
      <c r="D461" t="inlineStr">
        <is>
          <t>Online / REV_DEBT high half</t>
        </is>
      </c>
      <c r="E461" t="inlineStr">
        <is>
          <t>gco_rate</t>
        </is>
      </c>
      <c r="F461" t="inlineStr">
        <is>
          <t>GCO per booked dollar</t>
        </is>
      </c>
      <c r="G461" t="n">
        <v>258</v>
      </c>
      <c r="H461" t="n">
        <v>8792490.43</v>
      </c>
      <c r="I461" t="b">
        <v>0</v>
      </c>
      <c r="J461" t="b">
        <v>0</v>
      </c>
      <c r="K461" t="n">
        <v>0.3932506451577927</v>
      </c>
      <c r="L461" t="n">
        <v>0.04915758424157584</v>
      </c>
      <c r="M461" t="n">
        <v>0.8362750760357822</v>
      </c>
      <c r="N461" t="n">
        <v>0.8482318434823184</v>
      </c>
      <c r="O461" t="n">
        <v>-226643.2778442544</v>
      </c>
      <c r="P461" t="n">
        <v>-28758.65739845257</v>
      </c>
      <c r="Q461">
        <f>'_live'!$C$22</f>
        <v/>
      </c>
      <c r="R461" t="inlineStr">
        <is>
          <t>shuffled: 137 of 10,000</t>
        </is>
      </c>
      <c r="S461" t="inlineStr">
        <is>
          <t>shuffled: 6,638 of 10,000</t>
        </is>
      </c>
      <c r="T461" t="n">
        <v>0.04248362973131543</v>
      </c>
      <c r="U461" t="n">
        <v>0.01997753523838099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0.01670671480048458</v>
      </c>
      <c r="AI461">
        <f>IF($Y461="worse","Yes",IF($Y461="worse, not significant","Not sure",IF(OR($Y461="too few losses to test",$Y461="too few loans to test"),"Too few losses",IF($Y461="","","No"))))</f>
        <v/>
      </c>
      <c r="AJ461">
        <f>IF($AA461="yes","Yes",IF($AA461="","","No"))</f>
        <v/>
      </c>
    </row>
    <row r="462">
      <c r="A462" t="inlineStr">
        <is>
          <t>three-way</t>
        </is>
      </c>
      <c r="B462" t="inlineStr">
        <is>
          <t>FICO x CHANNEL / REV_DEBT</t>
        </is>
      </c>
      <c r="C462" t="inlineStr">
        <is>
          <t>746 - 921</t>
        </is>
      </c>
      <c r="D462" t="inlineStr">
        <is>
          <t>Online / REV_DEBT high half</t>
        </is>
      </c>
      <c r="E462" t="inlineStr">
        <is>
          <t>ranr_rate</t>
        </is>
      </c>
      <c r="F462" t="inlineStr">
        <is>
          <t>Profit after losses: RANR per booked dollar</t>
        </is>
      </c>
      <c r="G462" t="n">
        <v>258</v>
      </c>
      <c r="H462" t="n">
        <v>8792490.43</v>
      </c>
      <c r="I462" t="b">
        <v>0</v>
      </c>
      <c r="J462" t="b">
        <v>0</v>
      </c>
      <c r="K462" t="n">
        <v>-0.08194696277616756</v>
      </c>
      <c r="L462" t="n">
        <v>0.0002466420024664201</v>
      </c>
      <c r="M462" t="n">
        <v>0.002532305502364211</v>
      </c>
      <c r="N462" t="n">
        <v>0.8927107289271073</v>
      </c>
      <c r="O462" t="n">
        <v>720517.8859770196</v>
      </c>
      <c r="P462" t="n">
        <v>-22265.27189537365</v>
      </c>
      <c r="Q462">
        <f>'_live'!$C$23</f>
        <v/>
      </c>
      <c r="R462" t="inlineStr">
        <is>
          <t>shuffled: 0 of 10,000</t>
        </is>
      </c>
      <c r="S462" t="inlineStr">
        <is>
          <t>shuffled: 7,439 of 10,000</t>
        </is>
      </c>
      <c r="T462" t="n">
        <v>0.1307820139392543</v>
      </c>
      <c r="U462" t="n">
        <v>0.04630274566072249</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0.0488350511630867</v>
      </c>
      <c r="AI462">
        <f>IF($Y462="worse","Yes",IF($Y462="worse, not significant","Not sure",IF(OR($Y462="too few losses to test",$Y462="too few loans to test"),"Too few losses",IF($Y462="","","No"))))</f>
        <v/>
      </c>
      <c r="AJ462">
        <f>IF($AA462="yes","Yes",IF($AA462="","","No"))</f>
        <v/>
      </c>
    </row>
    <row r="463">
      <c r="A463" t="inlineStr">
        <is>
          <t>three-way</t>
        </is>
      </c>
      <c r="B463" t="inlineStr">
        <is>
          <t>FICO x CHANNEL / REV_DEBT</t>
        </is>
      </c>
      <c r="C463" t="inlineStr">
        <is>
          <t>746 - 921</t>
        </is>
      </c>
      <c r="D463" t="inlineStr">
        <is>
          <t>Online / REV_DEBT high half</t>
        </is>
      </c>
      <c r="E463" t="inlineStr">
        <is>
          <t>contribution_rate</t>
        </is>
      </c>
      <c r="F463" t="inlineStr">
        <is>
          <t>Contribution before losses per booked dollar</t>
        </is>
      </c>
      <c r="G463" t="n">
        <v>258</v>
      </c>
      <c r="H463" t="n">
        <v>8792490.43</v>
      </c>
      <c r="I463" t="b">
        <v>0</v>
      </c>
      <c r="J463" t="b">
        <v>0</v>
      </c>
      <c r="K463" t="n">
        <v>-0.1077213621408665</v>
      </c>
      <c r="L463" t="n">
        <v>0.0001761728589045857</v>
      </c>
      <c r="M463" t="n">
        <v>-0.0007385149355321891</v>
      </c>
      <c r="N463" t="n">
        <v>0.7942499867660293</v>
      </c>
      <c r="O463" t="n">
        <v>947139.0457301326</v>
      </c>
      <c r="P463" t="n">
        <v>6493.385503078811</v>
      </c>
      <c r="Q463">
        <f>'_live'!$C$24</f>
        <v/>
      </c>
      <c r="R463" t="inlineStr">
        <is>
          <t>shuffled: 0 of 10,000</t>
        </is>
      </c>
      <c r="S463" t="inlineStr">
        <is>
          <t>shuffled: 7,501 of 10,000</t>
        </is>
      </c>
      <c r="T463" t="n">
        <v>0.1732631281044377</v>
      </c>
      <c r="U463" t="n">
        <v>0.06628028089910346</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0.06554176596357127</v>
      </c>
      <c r="AI463">
        <f>IF($Y463="worse","Yes",IF($Y463="worse, not significant","Not sure",IF(OR($Y463="too few losses to test",$Y463="too few loans to test"),"Too few losses",IF($Y463="","","No"))))</f>
        <v/>
      </c>
      <c r="AJ463">
        <f>IF($AA463="yes","Yes",IF($AA463="","","No"))</f>
        <v/>
      </c>
    </row>
    <row r="464">
      <c r="A464" t="inlineStr">
        <is>
          <t>three-way</t>
        </is>
      </c>
      <c r="B464" t="inlineStr">
        <is>
          <t>FICO x CHANNEL / REV_DEBT</t>
        </is>
      </c>
      <c r="C464" t="inlineStr">
        <is>
          <t>712 - 745</t>
        </is>
      </c>
      <c r="D464" t="inlineStr">
        <is>
          <t>Online / REV_DEBT high half</t>
        </is>
      </c>
      <c r="E464" t="inlineStr">
        <is>
          <t>outcome_loans</t>
        </is>
      </c>
      <c r="F464" t="inlineStr">
        <is>
          <t>Outcome, share of loans</t>
        </is>
      </c>
      <c r="G464" t="n">
        <v>282</v>
      </c>
      <c r="H464" t="n">
        <v>282</v>
      </c>
      <c r="I464" t="b">
        <v>0</v>
      </c>
      <c r="J464" t="b">
        <v>0</v>
      </c>
      <c r="K464" t="n">
        <v>1.393815699165553</v>
      </c>
      <c r="L464" t="n">
        <v>0.1217653172910579</v>
      </c>
      <c r="M464" t="n">
        <v>2.48040313549832</v>
      </c>
      <c r="N464" t="n">
        <v>0.0001389286621136752</v>
      </c>
      <c r="O464" t="n">
        <v>8.476350913567448</v>
      </c>
      <c r="P464" t="n">
        <v>17.90519187358916</v>
      </c>
      <c r="Q464">
        <f>'_live'!$C$20</f>
        <v/>
      </c>
      <c r="R464" t="inlineStr">
        <is>
          <t>z test</t>
        </is>
      </c>
      <c r="S464" t="inlineStr">
        <is>
          <t>z test</t>
        </is>
      </c>
      <c r="T464" t="n">
        <v>0.07632499676039912</v>
      </c>
      <c r="U464" t="n">
        <v>0.04288939051918736</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0.1063829787234043</v>
      </c>
      <c r="AI464">
        <f>IF($Y464="worse","Yes",IF($Y464="worse, not significant","Not sure",IF(OR($Y464="too few losses to test",$Y464="too few loans to test"),"Too few losses",IF($Y464="","","No"))))</f>
        <v/>
      </c>
      <c r="AJ464">
        <f>IF($AA464="yes","Yes",IF($AA464="","","No"))</f>
        <v/>
      </c>
    </row>
    <row r="465">
      <c r="A465" t="inlineStr">
        <is>
          <t>three-way</t>
        </is>
      </c>
      <c r="B465" t="inlineStr">
        <is>
          <t>FICO x CHANNEL / REV_DEBT</t>
        </is>
      </c>
      <c r="C465" t="inlineStr">
        <is>
          <t>712 - 745</t>
        </is>
      </c>
      <c r="D465" t="inlineStr">
        <is>
          <t>Online / REV_DEBT high half</t>
        </is>
      </c>
      <c r="E465" t="inlineStr">
        <is>
          <t>outcome_booked</t>
        </is>
      </c>
      <c r="F465" t="inlineStr">
        <is>
          <t>Outcome, share of booked dollars</t>
        </is>
      </c>
      <c r="G465" t="n">
        <v>282</v>
      </c>
      <c r="H465" t="n">
        <v>9087809.570000002</v>
      </c>
      <c r="I465" t="b">
        <v>0</v>
      </c>
      <c r="J465" t="b">
        <v>0</v>
      </c>
      <c r="K465" t="n">
        <v>1.433436534465625</v>
      </c>
      <c r="L465" t="n">
        <v>0.1144577849907317</v>
      </c>
      <c r="M465" t="n">
        <v>2.430951560061628</v>
      </c>
      <c r="N465" t="n">
        <v>0.00137986201379862</v>
      </c>
      <c r="O465" t="n">
        <v>290318.2035066586</v>
      </c>
      <c r="P465" t="n">
        <v>565165.7684610228</v>
      </c>
      <c r="Q465">
        <f>'_live'!$C$21</f>
        <v/>
      </c>
      <c r="R465" t="inlineStr">
        <is>
          <t>shuffled: 646 of 10,000</t>
        </is>
      </c>
      <c r="S465" t="inlineStr">
        <is>
          <t>shuffled: 2 of 10,000</t>
        </is>
      </c>
      <c r="T465" t="n">
        <v>0.07370374140589979</v>
      </c>
      <c r="U465" t="n">
        <v>0.04346019780638705</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0.1056496356580236</v>
      </c>
      <c r="AI465">
        <f>IF($Y465="worse","Yes",IF($Y465="worse, not significant","Not sure",IF(OR($Y465="too few losses to test",$Y465="too few loans to test"),"Too few losses",IF($Y465="","","No"))))</f>
        <v/>
      </c>
      <c r="AJ465">
        <f>IF($AA465="yes","Yes",IF($AA465="","","No"))</f>
        <v/>
      </c>
    </row>
    <row r="466">
      <c r="A466" t="inlineStr">
        <is>
          <t>three-way</t>
        </is>
      </c>
      <c r="B466" t="inlineStr">
        <is>
          <t>FICO x CHANNEL / REV_DEBT</t>
        </is>
      </c>
      <c r="C466" t="inlineStr">
        <is>
          <t>712 - 745</t>
        </is>
      </c>
      <c r="D466" t="inlineStr">
        <is>
          <t>Online / REV_DEBT high half</t>
        </is>
      </c>
      <c r="E466" t="inlineStr">
        <is>
          <t>gco_rate</t>
        </is>
      </c>
      <c r="F466" t="inlineStr">
        <is>
          <t>GCO per booked dollar</t>
        </is>
      </c>
      <c r="G466" t="n">
        <v>282</v>
      </c>
      <c r="H466" t="n">
        <v>9087809.570000002</v>
      </c>
      <c r="I466" t="b">
        <v>0</v>
      </c>
      <c r="J466" t="b">
        <v>0</v>
      </c>
      <c r="K466" t="n">
        <v>1.369716353165092</v>
      </c>
      <c r="L466" t="n">
        <v>0.1951738159517382</v>
      </c>
      <c r="M466" t="n">
        <v>2.283244331918283</v>
      </c>
      <c r="N466" t="n">
        <v>0.0068993100689931</v>
      </c>
      <c r="O466" t="n">
        <v>137993.1498452142</v>
      </c>
      <c r="P466" t="n">
        <v>287327.0240812163</v>
      </c>
      <c r="Q466">
        <f>'_live'!$C$22</f>
        <v/>
      </c>
      <c r="R466" t="inlineStr">
        <is>
          <t>shuffled: 1,272 of 10,000</t>
        </is>
      </c>
      <c r="S466" t="inlineStr">
        <is>
          <t>shuffled: 14 of 10,000</t>
        </is>
      </c>
      <c r="T466" t="n">
        <v>0.04107046778212647</v>
      </c>
      <c r="U466" t="n">
        <v>0.02463813905805506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0.05625489135331869</v>
      </c>
      <c r="AI466">
        <f>IF($Y466="worse","Yes",IF($Y466="worse, not significant","Not sure",IF(OR($Y466="too few losses to test",$Y466="too few loans to test"),"Too few losses",IF($Y466="","","No"))))</f>
        <v/>
      </c>
      <c r="AJ466">
        <f>IF($AA466="yes","Yes",IF($AA466="","","No"))</f>
        <v/>
      </c>
    </row>
    <row r="467">
      <c r="A467" t="inlineStr">
        <is>
          <t>three-way</t>
        </is>
      </c>
      <c r="B467" t="inlineStr">
        <is>
          <t>FICO x CHANNEL / REV_DEBT</t>
        </is>
      </c>
      <c r="C467" t="inlineStr">
        <is>
          <t>712 - 745</t>
        </is>
      </c>
      <c r="D467" t="inlineStr">
        <is>
          <t>Online / REV_DEBT high half</t>
        </is>
      </c>
      <c r="E467" t="inlineStr">
        <is>
          <t>ranr_rate</t>
        </is>
      </c>
      <c r="F467" t="inlineStr">
        <is>
          <t>Profit after losses: RANR per booked dollar</t>
        </is>
      </c>
      <c r="G467" t="n">
        <v>282</v>
      </c>
      <c r="H467" t="n">
        <v>9087809.570000002</v>
      </c>
      <c r="I467" t="b">
        <v>0</v>
      </c>
      <c r="J467" t="b">
        <v>0</v>
      </c>
      <c r="K467" t="n">
        <v>-0.03134695283153237</v>
      </c>
      <c r="L467" t="n">
        <v>0.01947173703682263</v>
      </c>
      <c r="M467" t="n">
        <v>0.002162160048859024</v>
      </c>
      <c r="N467" t="n">
        <v>0.9302952057735404</v>
      </c>
      <c r="O467" t="n">
        <v>284875.1379327385</v>
      </c>
      <c r="P467" t="n">
        <v>-19649.29878389265</v>
      </c>
      <c r="Q467">
        <f>'_live'!$C$23</f>
        <v/>
      </c>
      <c r="R467" t="inlineStr">
        <is>
          <t>shuffled: 99 of 10,000</t>
        </is>
      </c>
      <c r="S467" t="inlineStr">
        <is>
          <t>shuffled: 8,376 of 10,000</t>
        </is>
      </c>
      <c r="T467" t="n">
        <v>0.1290939239974346</v>
      </c>
      <c r="U467" t="n">
        <v>0.09558481111704319</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0.09774697116590221</v>
      </c>
      <c r="AI467">
        <f>IF($Y467="worse","Yes",IF($Y467="worse, not significant","Not sure",IF(OR($Y467="too few losses to test",$Y467="too few loans to test"),"Too few losses",IF($Y467="","","No"))))</f>
        <v/>
      </c>
      <c r="AJ467">
        <f>IF($AA467="yes","Yes",IF($AA467="","","No"))</f>
        <v/>
      </c>
    </row>
    <row r="468">
      <c r="A468" t="inlineStr">
        <is>
          <t>three-way</t>
        </is>
      </c>
      <c r="B468" t="inlineStr">
        <is>
          <t>FICO x CHANNEL / REV_DEBT</t>
        </is>
      </c>
      <c r="C468" t="inlineStr">
        <is>
          <t>712 - 745</t>
        </is>
      </c>
      <c r="D468" t="inlineStr">
        <is>
          <t>Online / REV_DEBT high half</t>
        </is>
      </c>
      <c r="E468" t="inlineStr">
        <is>
          <t>contribution_rate</t>
        </is>
      </c>
      <c r="F468" t="inlineStr">
        <is>
          <t>Contribution before losses per booked dollar</t>
        </is>
      </c>
      <c r="G468" t="n">
        <v>282</v>
      </c>
      <c r="H468" t="n">
        <v>9087809.570000002</v>
      </c>
      <c r="I468" t="b">
        <v>0</v>
      </c>
      <c r="J468" t="b">
        <v>0</v>
      </c>
      <c r="K468" t="n">
        <v>-0.01615974160646447</v>
      </c>
      <c r="L468" t="n">
        <v>0.06262945134058023</v>
      </c>
      <c r="M468" t="n">
        <v>0.0338271141242831</v>
      </c>
      <c r="N468" t="n">
        <v>0.0005142342908566286</v>
      </c>
      <c r="O468" t="n">
        <v>146856.6544199551</v>
      </c>
      <c r="P468" t="n">
        <v>-307414.3714641421</v>
      </c>
      <c r="Q468">
        <f>'_live'!$C$24</f>
        <v/>
      </c>
      <c r="R468" t="inlineStr">
        <is>
          <t>shuffled: 473 of 10,000</t>
        </is>
      </c>
      <c r="S468" t="inlineStr">
        <is>
          <t>shuffled: 0 of 10,000</t>
        </is>
      </c>
      <c r="T468" t="n">
        <v>0.1701616041256853</v>
      </c>
      <c r="U468" t="n">
        <v>0.1201747483949378</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0.1540018625192209</v>
      </c>
      <c r="AI468">
        <f>IF($Y468="worse","Yes",IF($Y468="worse, not significant","Not sure",IF(OR($Y468="too few losses to test",$Y468="too few loans to test"),"Too few losses",IF($Y468="","","No"))))</f>
        <v/>
      </c>
      <c r="AJ468">
        <f>IF($AA468="yes","Yes",IF($AA468="","","No"))</f>
        <v/>
      </c>
    </row>
    <row r="469">
      <c r="A469" t="inlineStr">
        <is>
          <t>three-way</t>
        </is>
      </c>
      <c r="B469" t="inlineStr">
        <is>
          <t>FICO x CHANNEL / REV_DEBT</t>
        </is>
      </c>
      <c r="C469" t="inlineStr">
        <is>
          <t>654 - 685</t>
        </is>
      </c>
      <c r="D469" t="inlineStr">
        <is>
          <t>Branch / REV_DEBT high half</t>
        </is>
      </c>
      <c r="E469" t="inlineStr">
        <is>
          <t>outcome_loans</t>
        </is>
      </c>
      <c r="F469" t="inlineStr">
        <is>
          <t>Outcome, share of loans</t>
        </is>
      </c>
      <c r="G469" t="n">
        <v>251</v>
      </c>
      <c r="H469" t="n">
        <v>251</v>
      </c>
      <c r="I469" t="b">
        <v>0</v>
      </c>
      <c r="J469" t="b">
        <v>0</v>
      </c>
      <c r="K469" t="n">
        <v>1.353426093266059</v>
      </c>
      <c r="L469" t="n">
        <v>0.168319370606903</v>
      </c>
      <c r="M469" t="n">
        <v>1.282868525896414</v>
      </c>
      <c r="N469" t="n">
        <v>0.4501821955874574</v>
      </c>
      <c r="O469" t="n">
        <v>6.789494062983998</v>
      </c>
      <c r="P469" t="n">
        <v>5.732919254658384</v>
      </c>
      <c r="Q469">
        <f>'_live'!$C$20</f>
        <v/>
      </c>
      <c r="R469" t="inlineStr">
        <is>
          <t>z test</t>
        </is>
      </c>
      <c r="S469" t="inlineStr">
        <is>
          <t>z test</t>
        </is>
      </c>
      <c r="T469" t="n">
        <v>0.07653588022715539</v>
      </c>
      <c r="U469" t="n">
        <v>0.08074534161490683</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0.1035856573705179</v>
      </c>
      <c r="AI469">
        <f>IF($Y469="worse","Yes",IF($Y469="worse, not significant","Not sure",IF(OR($Y469="too few losses to test",$Y469="too few loans to test"),"Too few losses",IF($Y469="","","No"))))</f>
        <v/>
      </c>
      <c r="AJ469">
        <f>IF($AA469="yes","Yes",IF($AA469="","","No"))</f>
        <v/>
      </c>
    </row>
    <row r="470">
      <c r="A470" t="inlineStr">
        <is>
          <t>three-way</t>
        </is>
      </c>
      <c r="B470" t="inlineStr">
        <is>
          <t>FICO x CHANNEL / REV_DEBT</t>
        </is>
      </c>
      <c r="C470" t="inlineStr">
        <is>
          <t>654 - 685</t>
        </is>
      </c>
      <c r="D470" t="inlineStr">
        <is>
          <t>Branch / REV_DEBT high half</t>
        </is>
      </c>
      <c r="E470" t="inlineStr">
        <is>
          <t>outcome_booked</t>
        </is>
      </c>
      <c r="F470" t="inlineStr">
        <is>
          <t>Outcome, share of booked dollars</t>
        </is>
      </c>
      <c r="G470" t="n">
        <v>251</v>
      </c>
      <c r="H470" t="n">
        <v>7704192.039999998</v>
      </c>
      <c r="I470" t="b">
        <v>0</v>
      </c>
      <c r="J470" t="b">
        <v>0</v>
      </c>
      <c r="K470" t="n">
        <v>1.447639336588153</v>
      </c>
      <c r="L470" t="n">
        <v>0.1212745392127454</v>
      </c>
      <c r="M470" t="n">
        <v>1.428032806802565</v>
      </c>
      <c r="N470" t="n">
        <v>0.2665433456654335</v>
      </c>
      <c r="O470" t="n">
        <v>254658.6547066852</v>
      </c>
      <c r="P470" t="n">
        <v>246847.9045582517</v>
      </c>
      <c r="Q470">
        <f>'_live'!$C$21</f>
        <v/>
      </c>
      <c r="R470" t="inlineStr">
        <is>
          <t>shuffled: 764 of 10,000</t>
        </is>
      </c>
      <c r="S470" t="inlineStr">
        <is>
          <t>shuffled: 1,158 of 10,000</t>
        </is>
      </c>
      <c r="T470" t="n">
        <v>0.07384193986074558</v>
      </c>
      <c r="U470" t="n">
        <v>0.07485577104614183</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0.1068964968323921</v>
      </c>
      <c r="AI470">
        <f>IF($Y470="worse","Yes",IF($Y470="worse, not significant","Not sure",IF(OR($Y470="too few losses to test",$Y470="too few loans to test"),"Too few losses",IF($Y470="","","No"))))</f>
        <v/>
      </c>
      <c r="AJ470">
        <f>IF($AA470="yes","Yes",IF($AA470="","","No"))</f>
        <v/>
      </c>
    </row>
    <row r="471">
      <c r="A471" t="inlineStr">
        <is>
          <t>three-way</t>
        </is>
      </c>
      <c r="B471" t="inlineStr">
        <is>
          <t>FICO x CHANNEL / REV_DEBT</t>
        </is>
      </c>
      <c r="C471" t="inlineStr">
        <is>
          <t>654 - 685</t>
        </is>
      </c>
      <c r="D471" t="inlineStr">
        <is>
          <t>Branch / REV_DEBT high half</t>
        </is>
      </c>
      <c r="E471" t="inlineStr">
        <is>
          <t>gco_rate</t>
        </is>
      </c>
      <c r="F471" t="inlineStr">
        <is>
          <t>GCO per booked dollar</t>
        </is>
      </c>
      <c r="G471" t="n">
        <v>251</v>
      </c>
      <c r="H471" t="n">
        <v>7704192.039999998</v>
      </c>
      <c r="I471" t="b">
        <v>0</v>
      </c>
      <c r="J471" t="b">
        <v>0</v>
      </c>
      <c r="K471" t="n">
        <v>1.430878076292618</v>
      </c>
      <c r="L471" t="n">
        <v>0.1689446439971387</v>
      </c>
      <c r="M471" t="n">
        <v>1.376299460471771</v>
      </c>
      <c r="N471" t="n">
        <v>0.3560810585608106</v>
      </c>
      <c r="O471" t="n">
        <v>136357.2340549912</v>
      </c>
      <c r="P471" t="n">
        <v>123807.5334905384</v>
      </c>
      <c r="Q471">
        <f>'_live'!$C$22</f>
        <v/>
      </c>
      <c r="R471" t="inlineStr">
        <is>
          <t>shuffled: 954 of 10,000</t>
        </is>
      </c>
      <c r="S471" t="inlineStr">
        <is>
          <t>shuffled: 1,857 of 10,000</t>
        </is>
      </c>
      <c r="T471" t="n">
        <v>0.0410768078342202</v>
      </c>
      <c r="U471" t="n">
        <v>0.04270575224517142</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0.05877590377407053</v>
      </c>
      <c r="AI471">
        <f>IF($Y471="worse","Yes",IF($Y471="worse, not significant","Not sure",IF(OR($Y471="too few losses to test",$Y471="too few loans to test"),"Too few losses",IF($Y471="","","No"))))</f>
        <v/>
      </c>
      <c r="AJ471">
        <f>IF($AA471="yes","Yes",IF($AA471="","","No"))</f>
        <v/>
      </c>
    </row>
    <row r="472">
      <c r="A472" t="inlineStr">
        <is>
          <t>three-way</t>
        </is>
      </c>
      <c r="B472" t="inlineStr">
        <is>
          <t>FICO x CHANNEL / REV_DEBT</t>
        </is>
      </c>
      <c r="C472" t="inlineStr">
        <is>
          <t>654 - 685</t>
        </is>
      </c>
      <c r="D472" t="inlineStr">
        <is>
          <t>Branch / REV_DEBT high half</t>
        </is>
      </c>
      <c r="E472" t="inlineStr">
        <is>
          <t>ranr_rate</t>
        </is>
      </c>
      <c r="F472" t="inlineStr">
        <is>
          <t>Profit after losses: RANR per booked dollar</t>
        </is>
      </c>
      <c r="G472" t="n">
        <v>251</v>
      </c>
      <c r="H472" t="n">
        <v>7704192.039999998</v>
      </c>
      <c r="I472" t="b">
        <v>0</v>
      </c>
      <c r="J472" t="b">
        <v>0</v>
      </c>
      <c r="K472" t="n">
        <v>0.01490045215460395</v>
      </c>
      <c r="L472" t="n">
        <v>0.3799828350498284</v>
      </c>
      <c r="M472" t="n">
        <v>-0.02444617048757211</v>
      </c>
      <c r="N472" t="n">
        <v>0.2762723727627237</v>
      </c>
      <c r="O472" t="n">
        <v>-114795.9448819006</v>
      </c>
      <c r="P472" t="n">
        <v>188337.9920788358</v>
      </c>
      <c r="Q472">
        <f>'_live'!$C$23</f>
        <v/>
      </c>
      <c r="R472" t="inlineStr">
        <is>
          <t>shuffled: 2,464 of 10,000</t>
        </is>
      </c>
      <c r="S472" t="inlineStr">
        <is>
          <t>shuffled: 920 of 10,000</t>
        </is>
      </c>
      <c r="T472" t="n">
        <v>0.127545222135727</v>
      </c>
      <c r="U472" t="n">
        <v>0.1668918447779031</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0.1424456742903309</v>
      </c>
      <c r="AI472">
        <f>IF($Y472="worse","Yes",IF($Y472="worse, not significant","Not sure",IF(OR($Y472="too few losses to test",$Y472="too few loans to test"),"Too few losses",IF($Y472="","","No"))))</f>
        <v/>
      </c>
      <c r="AJ472">
        <f>IF($AA472="yes","Yes",IF($AA472="","","No"))</f>
        <v/>
      </c>
    </row>
    <row r="473">
      <c r="A473" t="inlineStr">
        <is>
          <t>three-way</t>
        </is>
      </c>
      <c r="B473" t="inlineStr">
        <is>
          <t>FICO x CHANNEL / REV_DEBT</t>
        </is>
      </c>
      <c r="C473" t="inlineStr">
        <is>
          <t>654 - 685</t>
        </is>
      </c>
      <c r="D473" t="inlineStr">
        <is>
          <t>Branch / REV_DEBT high half</t>
        </is>
      </c>
      <c r="E473" t="inlineStr">
        <is>
          <t>contribution_rate</t>
        </is>
      </c>
      <c r="F473" t="inlineStr">
        <is>
          <t>Contribution before losses per booked dollar</t>
        </is>
      </c>
      <c r="G473" t="n">
        <v>251</v>
      </c>
      <c r="H473" t="n">
        <v>7704192.039999998</v>
      </c>
      <c r="I473" t="b">
        <v>0</v>
      </c>
      <c r="J473" t="b">
        <v>0</v>
      </c>
      <c r="K473" t="n">
        <v>0.03260256585879789</v>
      </c>
      <c r="L473" t="n">
        <v>0.0006166050061660501</v>
      </c>
      <c r="M473" t="n">
        <v>-0.008376018958673098</v>
      </c>
      <c r="N473" t="n">
        <v>0.4518268173182682</v>
      </c>
      <c r="O473" t="n">
        <v>-251176.4283729265</v>
      </c>
      <c r="P473" t="n">
        <v>64530.45858829818</v>
      </c>
      <c r="Q473">
        <f>'_live'!$C$24</f>
        <v/>
      </c>
      <c r="R473" t="inlineStr">
        <is>
          <t>shuffled: 3 of 10,000</t>
        </is>
      </c>
      <c r="S473" t="inlineStr">
        <is>
          <t>shuffled: 3,137 of 10,000</t>
        </is>
      </c>
      <c r="T473" t="n">
        <v>0.1686190122056035</v>
      </c>
      <c r="U473" t="n">
        <v>0.2095975970230745</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0.2012215780644014</v>
      </c>
      <c r="AI473">
        <f>IF($Y473="worse","Yes",IF($Y473="worse, not significant","Not sure",IF(OR($Y473="too few losses to test",$Y473="too few loans to test"),"Too few losses",IF($Y473="","","No"))))</f>
        <v/>
      </c>
      <c r="AJ473">
        <f>IF($AA473="yes","Yes",IF($AA473="","","No"))</f>
        <v/>
      </c>
    </row>
    <row r="474">
      <c r="A474" t="inlineStr">
        <is>
          <t>three-way</t>
        </is>
      </c>
      <c r="B474" t="inlineStr">
        <is>
          <t>FICO x CHANNEL / REV_DEBT</t>
        </is>
      </c>
      <c r="C474" t="inlineStr">
        <is>
          <t>712 - 745</t>
        </is>
      </c>
      <c r="D474" t="inlineStr">
        <is>
          <t>Broker / REV_DEBT low half</t>
        </is>
      </c>
      <c r="E474" t="inlineStr">
        <is>
          <t>outcome_loans</t>
        </is>
      </c>
      <c r="F474" t="inlineStr">
        <is>
          <t>Outcome, share of loans</t>
        </is>
      </c>
      <c r="G474" t="n">
        <v>255</v>
      </c>
      <c r="H474" t="n">
        <v>255</v>
      </c>
      <c r="I474" t="b">
        <v>1</v>
      </c>
      <c r="J474" t="b">
        <v>0</v>
      </c>
      <c r="K474" t="n">
        <v>0.4480617164898746</v>
      </c>
      <c r="M474" t="n">
        <v>0.6135746606334842</v>
      </c>
      <c r="O474" t="n">
        <v>-11.08651859504132</v>
      </c>
      <c r="P474" t="n">
        <v>-5.668141592920353</v>
      </c>
      <c r="Q474">
        <f>'_live'!$C$20</f>
        <v/>
      </c>
      <c r="T474" t="n">
        <v>0.07877066115702479</v>
      </c>
      <c r="U474" t="n">
        <v>0.05752212389380531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0.03529411764705882</v>
      </c>
      <c r="AI474">
        <f>IF($Y474="worse","Yes",IF($Y474="worse, not significant","Not sure",IF(OR($Y474="too few losses to test",$Y474="too few loans to test"),"Too few losses",IF($Y474="","","No"))))</f>
        <v/>
      </c>
      <c r="AJ474">
        <f>IF($AA474="yes","Yes",IF($AA474="","","No"))</f>
        <v/>
      </c>
    </row>
    <row r="475">
      <c r="A475" t="inlineStr">
        <is>
          <t>three-way</t>
        </is>
      </c>
      <c r="B475" t="inlineStr">
        <is>
          <t>FICO x CHANNEL / REV_DEBT</t>
        </is>
      </c>
      <c r="C475" t="inlineStr">
        <is>
          <t>712 - 745</t>
        </is>
      </c>
      <c r="D475" t="inlineStr">
        <is>
          <t>Broker / REV_DEBT low half</t>
        </is>
      </c>
      <c r="E475" t="inlineStr">
        <is>
          <t>outcome_booked</t>
        </is>
      </c>
      <c r="F475" t="inlineStr">
        <is>
          <t>Outcome, share of booked dollars</t>
        </is>
      </c>
      <c r="G475" t="n">
        <v>255</v>
      </c>
      <c r="H475" t="n">
        <v>8211437.449999999</v>
      </c>
      <c r="I475" t="b">
        <v>1</v>
      </c>
      <c r="J475" t="b">
        <v>0</v>
      </c>
      <c r="K475" t="n">
        <v>0.4402326628534092</v>
      </c>
      <c r="M475" t="n">
        <v>0.5730052830876012</v>
      </c>
      <c r="O475" t="n">
        <v>-350188.6356168818</v>
      </c>
      <c r="P475" t="n">
        <v>-205229.8992272026</v>
      </c>
      <c r="Q475">
        <f>'_live'!$C$21</f>
        <v/>
      </c>
      <c r="T475" t="n">
        <v>0.07618602338825364</v>
      </c>
      <c r="U475" t="n">
        <v>0.05853275168371436</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0.03353957594842302</v>
      </c>
      <c r="AI475">
        <f>IF($Y475="worse","Yes",IF($Y475="worse, not significant","Not sure",IF(OR($Y475="too few losses to test",$Y475="too few loans to test"),"Too few losses",IF($Y475="","","No"))))</f>
        <v/>
      </c>
      <c r="AJ475">
        <f>IF($AA475="yes","Yes",IF($AA475="","","No"))</f>
        <v/>
      </c>
    </row>
    <row r="476">
      <c r="A476" t="inlineStr">
        <is>
          <t>three-way</t>
        </is>
      </c>
      <c r="B476" t="inlineStr">
        <is>
          <t>FICO x CHANNEL / REV_DEBT</t>
        </is>
      </c>
      <c r="C476" t="inlineStr">
        <is>
          <t>712 - 745</t>
        </is>
      </c>
      <c r="D476" t="inlineStr">
        <is>
          <t>Broker / REV_DEBT low half</t>
        </is>
      </c>
      <c r="E476" t="inlineStr">
        <is>
          <t>gco_rate</t>
        </is>
      </c>
      <c r="F476" t="inlineStr">
        <is>
          <t>GCO per booked dollar</t>
        </is>
      </c>
      <c r="G476" t="n">
        <v>255</v>
      </c>
      <c r="H476" t="n">
        <v>8211437.449999999</v>
      </c>
      <c r="I476" t="b">
        <v>1</v>
      </c>
      <c r="J476" t="b">
        <v>0</v>
      </c>
      <c r="K476" t="n">
        <v>0.4857022463956492</v>
      </c>
      <c r="M476" t="n">
        <v>0.6394797337532974</v>
      </c>
      <c r="O476" t="n">
        <v>-178627.7655233607</v>
      </c>
      <c r="P476" t="n">
        <v>-95105.87553753814</v>
      </c>
      <c r="Q476">
        <f>'_live'!$C$22</f>
        <v/>
      </c>
      <c r="T476" t="n">
        <v>0.04229754383909491</v>
      </c>
      <c r="U476" t="n">
        <v>0.03212613469247558</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0.02054401205966685</v>
      </c>
      <c r="AI476">
        <f>IF($Y476="worse","Yes",IF($Y476="worse, not significant","Not sure",IF(OR($Y476="too few losses to test",$Y476="too few loans to test"),"Too few losses",IF($Y476="","","No"))))</f>
        <v/>
      </c>
      <c r="AJ476">
        <f>IF($AA476="yes","Yes",IF($AA476="","","No"))</f>
        <v/>
      </c>
    </row>
    <row r="477">
      <c r="A477" t="inlineStr">
        <is>
          <t>three-way</t>
        </is>
      </c>
      <c r="B477" t="inlineStr">
        <is>
          <t>FICO x CHANNEL / REV_DEBT</t>
        </is>
      </c>
      <c r="C477" t="inlineStr">
        <is>
          <t>712 - 745</t>
        </is>
      </c>
      <c r="D477" t="inlineStr">
        <is>
          <t>Broker / REV_DEBT low half</t>
        </is>
      </c>
      <c r="E477" t="inlineStr">
        <is>
          <t>ranr_rate</t>
        </is>
      </c>
      <c r="F477" t="inlineStr">
        <is>
          <t>Profit after losses: RANR per booked dollar</t>
        </is>
      </c>
      <c r="G477" t="n">
        <v>255</v>
      </c>
      <c r="H477" t="n">
        <v>8211437.449999999</v>
      </c>
      <c r="I477" t="b">
        <v>0</v>
      </c>
      <c r="J477" t="b">
        <v>0</v>
      </c>
      <c r="K477" t="n">
        <v>-0.04305970029133484</v>
      </c>
      <c r="L477" t="n">
        <v>0.002543495650434957</v>
      </c>
      <c r="M477" t="n">
        <v>-0.01151943003416782</v>
      </c>
      <c r="N477" t="n">
        <v>0.6149385061493851</v>
      </c>
      <c r="O477" t="n">
        <v>353582.0355580427</v>
      </c>
      <c r="P477" t="n">
        <v>94591.07918522041</v>
      </c>
      <c r="Q477">
        <f>'_live'!$C$23</f>
        <v/>
      </c>
      <c r="R477" t="inlineStr">
        <is>
          <t>shuffled: 10 of 10,000</t>
        </is>
      </c>
      <c r="S477" t="inlineStr">
        <is>
          <t>shuffled: 3,074 of 10,000</t>
        </is>
      </c>
      <c r="T477" t="n">
        <v>0.1293601591714059</v>
      </c>
      <c r="U477" t="n">
        <v>0.09781988891423887</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0.08630045888007105</v>
      </c>
      <c r="AI477">
        <f>IF($Y477="worse","Yes",IF($Y477="worse, not significant","Not sure",IF(OR($Y477="too few losses to test",$Y477="too few loans to test"),"Too few losses",IF($Y477="","","No"))))</f>
        <v/>
      </c>
      <c r="AJ477">
        <f>IF($AA477="yes","Yes",IF($AA477="","","No"))</f>
        <v/>
      </c>
    </row>
    <row r="478">
      <c r="A478" t="inlineStr">
        <is>
          <t>three-way</t>
        </is>
      </c>
      <c r="B478" t="inlineStr">
        <is>
          <t>FICO x CHANNEL / REV_DEBT</t>
        </is>
      </c>
      <c r="C478" t="inlineStr">
        <is>
          <t>712 - 745</t>
        </is>
      </c>
      <c r="D478" t="inlineStr">
        <is>
          <t>Broker / REV_DEBT low half</t>
        </is>
      </c>
      <c r="E478" t="inlineStr">
        <is>
          <t>contribution_rate</t>
        </is>
      </c>
      <c r="F478" t="inlineStr">
        <is>
          <t>Contribution before losses per booked dollar</t>
        </is>
      </c>
      <c r="G478" t="n">
        <v>255</v>
      </c>
      <c r="H478" t="n">
        <v>8211437.449999999</v>
      </c>
      <c r="I478" t="b">
        <v>0</v>
      </c>
      <c r="J478" t="b">
        <v>0</v>
      </c>
      <c r="K478" t="n">
        <v>-0.06481049648858923</v>
      </c>
      <c r="L478" t="n">
        <v>0.0001761728589045857</v>
      </c>
      <c r="M478" t="n">
        <v>-0.02305640586403614</v>
      </c>
      <c r="N478" t="n">
        <v>0.0005142342908566286</v>
      </c>
      <c r="O478" t="n">
        <v>532187.338019495</v>
      </c>
      <c r="P478" t="n">
        <v>189326.234574346</v>
      </c>
      <c r="Q478">
        <f>'_live'!$C$24</f>
        <v/>
      </c>
      <c r="R478" t="inlineStr">
        <is>
          <t>shuffled: 0 of 10,000</t>
        </is>
      </c>
      <c r="S478" t="inlineStr">
        <is>
          <t>shuffled: 0 of 10,000</t>
        </is>
      </c>
      <c r="T478" t="n">
        <v>0.1716549674283271</v>
      </c>
      <c r="U478" t="n">
        <v>0.129900876803774</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0.1068444709397379</v>
      </c>
      <c r="AI478">
        <f>IF($Y478="worse","Yes",IF($Y478="worse, not significant","Not sure",IF(OR($Y478="too few losses to test",$Y478="too few loans to test"),"Too few losses",IF($Y478="","","No"))))</f>
        <v/>
      </c>
      <c r="AJ478">
        <f>IF($AA478="yes","Yes",IF($AA478="","","No"))</f>
        <v/>
      </c>
    </row>
    <row r="479">
      <c r="A479" t="inlineStr">
        <is>
          <t>three-way</t>
        </is>
      </c>
      <c r="B479" t="inlineStr">
        <is>
          <t>FICO x CHANNEL / REV_DEBT</t>
        </is>
      </c>
      <c r="C479" t="inlineStr">
        <is>
          <t>686 - 711</t>
        </is>
      </c>
      <c r="D479" t="inlineStr">
        <is>
          <t>Online / REV_DEBT high half</t>
        </is>
      </c>
      <c r="E479" t="inlineStr">
        <is>
          <t>outcome_loans</t>
        </is>
      </c>
      <c r="F479" t="inlineStr">
        <is>
          <t>Outcome, share of loans</t>
        </is>
      </c>
      <c r="G479" t="n">
        <v>273</v>
      </c>
      <c r="H479" t="n">
        <v>273</v>
      </c>
      <c r="I479" t="b">
        <v>0</v>
      </c>
      <c r="J479" t="b">
        <v>0</v>
      </c>
      <c r="K479" t="n">
        <v>1.542779764244841</v>
      </c>
      <c r="L479" t="n">
        <v>0.04010143541340817</v>
      </c>
      <c r="M479" t="n">
        <v>2.360805860805861</v>
      </c>
      <c r="N479" t="n">
        <v>0.0001389286621136752</v>
      </c>
      <c r="O479" t="n">
        <v>11.2582190007766</v>
      </c>
      <c r="P479" t="n">
        <v>18.44530643910008</v>
      </c>
      <c r="Q479">
        <f>'_live'!$C$20</f>
        <v/>
      </c>
      <c r="R479" t="inlineStr">
        <is>
          <t>z test</t>
        </is>
      </c>
      <c r="S479" t="inlineStr">
        <is>
          <t>z test</t>
        </is>
      </c>
      <c r="T479" t="n">
        <v>0.07597721977737509</v>
      </c>
      <c r="U479" t="n">
        <v>0.04965089216446858</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0.1172161172161172</v>
      </c>
      <c r="AI479">
        <f>IF($Y479="worse","Yes",IF($Y479="worse, not significant","Not sure",IF(OR($Y479="too few losses to test",$Y479="too few loans to test"),"Too few losses",IF($Y479="","","No"))))</f>
        <v/>
      </c>
      <c r="AJ479">
        <f>IF($AA479="yes","Yes",IF($AA479="","","No"))</f>
        <v/>
      </c>
    </row>
    <row r="480">
      <c r="A480" t="inlineStr">
        <is>
          <t>three-way</t>
        </is>
      </c>
      <c r="B480" t="inlineStr">
        <is>
          <t>FICO x CHANNEL / REV_DEBT</t>
        </is>
      </c>
      <c r="C480" t="inlineStr">
        <is>
          <t>686 - 711</t>
        </is>
      </c>
      <c r="D480" t="inlineStr">
        <is>
          <t>Online / REV_DEBT high half</t>
        </is>
      </c>
      <c r="E480" t="inlineStr">
        <is>
          <t>outcome_booked</t>
        </is>
      </c>
      <c r="F480" t="inlineStr">
        <is>
          <t>Outcome, share of booked dollars</t>
        </is>
      </c>
      <c r="G480" t="n">
        <v>273</v>
      </c>
      <c r="H480" t="n">
        <v>9012046.389999999</v>
      </c>
      <c r="I480" t="b">
        <v>0</v>
      </c>
      <c r="J480" t="b">
        <v>0</v>
      </c>
      <c r="K480" t="n">
        <v>1.522982910157298</v>
      </c>
      <c r="L480" t="n">
        <v>0.07681231876812319</v>
      </c>
      <c r="M480" t="n">
        <v>2.484332954534354</v>
      </c>
      <c r="N480" t="n">
        <v>0.00114988501149885</v>
      </c>
      <c r="O480" t="n">
        <v>346352.9930102449</v>
      </c>
      <c r="P480" t="n">
        <v>602626.1966299185</v>
      </c>
      <c r="Q480">
        <f>'_live'!$C$21</f>
        <v/>
      </c>
      <c r="R480" t="inlineStr">
        <is>
          <t>shuffled: 304 of 10,000</t>
        </is>
      </c>
      <c r="S480" t="inlineStr">
        <is>
          <t>shuffled: 1 of 10,000</t>
        </is>
      </c>
      <c r="T480" t="n">
        <v>0.0734865787780033</v>
      </c>
      <c r="U480" t="n">
        <v>0.04504984060230538</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0.111918803604827</v>
      </c>
      <c r="AI480">
        <f>IF($Y480="worse","Yes",IF($Y480="worse, not significant","Not sure",IF(OR($Y480="too few losses to test",$Y480="too few loans to test"),"Too few losses",IF($Y480="","","No"))))</f>
        <v/>
      </c>
      <c r="AJ480">
        <f>IF($AA480="yes","Yes",IF($AA480="","","No"))</f>
        <v/>
      </c>
    </row>
    <row r="481">
      <c r="A481" t="inlineStr">
        <is>
          <t>three-way</t>
        </is>
      </c>
      <c r="B481" t="inlineStr">
        <is>
          <t>FICO x CHANNEL / REV_DEBT</t>
        </is>
      </c>
      <c r="C481" t="inlineStr">
        <is>
          <t>686 - 711</t>
        </is>
      </c>
      <c r="D481" t="inlineStr">
        <is>
          <t>Online / REV_DEBT high half</t>
        </is>
      </c>
      <c r="E481" t="inlineStr">
        <is>
          <t>gco_rate</t>
        </is>
      </c>
      <c r="F481" t="inlineStr">
        <is>
          <t>GCO per booked dollar</t>
        </is>
      </c>
      <c r="G481" t="n">
        <v>273</v>
      </c>
      <c r="H481" t="n">
        <v>9012046.389999999</v>
      </c>
      <c r="I481" t="b">
        <v>0</v>
      </c>
      <c r="J481" t="b">
        <v>0</v>
      </c>
      <c r="K481" t="n">
        <v>1.615779200984345</v>
      </c>
      <c r="L481" t="n">
        <v>0.04915758424157584</v>
      </c>
      <c r="M481" t="n">
        <v>2.724231933243186</v>
      </c>
      <c r="N481" t="n">
        <v>0.0007665900076659002</v>
      </c>
      <c r="O481" t="n">
        <v>226024.4250768297</v>
      </c>
      <c r="P481" t="n">
        <v>375373.8161724226</v>
      </c>
      <c r="Q481">
        <f>'_live'!$C$22</f>
        <v/>
      </c>
      <c r="R481" t="inlineStr">
        <is>
          <t>shuffled: 140 of 10,000</t>
        </is>
      </c>
      <c r="S481" t="inlineStr">
        <is>
          <t>shuffled: 0 of 10,000</t>
        </is>
      </c>
      <c r="T481" t="n">
        <v>0.04072929932212323</v>
      </c>
      <c r="U481" t="n">
        <v>0.02415710421432676</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0.06580955471535249</v>
      </c>
      <c r="AI481">
        <f>IF($Y481="worse","Yes",IF($Y481="worse, not significant","Not sure",IF(OR($Y481="too few losses to test",$Y481="too few loans to test"),"Too few losses",IF($Y481="","","No"))))</f>
        <v/>
      </c>
      <c r="AJ481">
        <f>IF($AA481="yes","Yes",IF($AA481="","","No"))</f>
        <v/>
      </c>
    </row>
    <row r="482">
      <c r="A482" t="inlineStr">
        <is>
          <t>three-way</t>
        </is>
      </c>
      <c r="B482" t="inlineStr">
        <is>
          <t>FICO x CHANNEL / REV_DEBT</t>
        </is>
      </c>
      <c r="C482" t="inlineStr">
        <is>
          <t>686 - 711</t>
        </is>
      </c>
      <c r="D482" t="inlineStr">
        <is>
          <t>Online / REV_DEBT high half</t>
        </is>
      </c>
      <c r="E482" t="inlineStr">
        <is>
          <t>ranr_rate</t>
        </is>
      </c>
      <c r="F482" t="inlineStr">
        <is>
          <t>Profit after losses: RANR per booked dollar</t>
        </is>
      </c>
      <c r="G482" t="n">
        <v>273</v>
      </c>
      <c r="H482" t="n">
        <v>9012046.389999999</v>
      </c>
      <c r="I482" t="b">
        <v>0</v>
      </c>
      <c r="J482" t="b">
        <v>0</v>
      </c>
      <c r="K482" t="n">
        <v>0.01286583995734911</v>
      </c>
      <c r="L482" t="n">
        <v>0.4253151607916132</v>
      </c>
      <c r="M482" t="n">
        <v>-0.001836053882719679</v>
      </c>
      <c r="N482" t="n">
        <v>0.9302952057735404</v>
      </c>
      <c r="O482" t="n">
        <v>-115947.5465419458</v>
      </c>
      <c r="P482" t="n">
        <v>16546.60276560928</v>
      </c>
      <c r="Q482">
        <f>'_live'!$C$23</f>
        <v/>
      </c>
      <c r="R482" t="inlineStr">
        <is>
          <t>shuffled: 2,988 of 10,000</t>
        </is>
      </c>
      <c r="S482" t="inlineStr">
        <is>
          <t>shuffled: 8,786 of 10,000</t>
        </is>
      </c>
      <c r="T482" t="n">
        <v>0.1275407597472492</v>
      </c>
      <c r="U482" t="n">
        <v>0.142242653587318</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0.1404065997045983</v>
      </c>
      <c r="AI482">
        <f>IF($Y482="worse","Yes",IF($Y482="worse, not significant","Not sure",IF(OR($Y482="too few losses to test",$Y482="too few loans to test"),"Too few losses",IF($Y482="","","No"))))</f>
        <v/>
      </c>
      <c r="AJ482">
        <f>IF($AA482="yes","Yes",IF($AA482="","","No"))</f>
        <v/>
      </c>
    </row>
    <row r="483">
      <c r="A483" t="inlineStr">
        <is>
          <t>three-way</t>
        </is>
      </c>
      <c r="B483" t="inlineStr">
        <is>
          <t>FICO x CHANNEL / REV_DEBT</t>
        </is>
      </c>
      <c r="C483" t="inlineStr">
        <is>
          <t>686 - 711</t>
        </is>
      </c>
      <c r="D483" t="inlineStr">
        <is>
          <t>Online / REV_DEBT high half</t>
        </is>
      </c>
      <c r="E483" t="inlineStr">
        <is>
          <t>contribution_rate</t>
        </is>
      </c>
      <c r="F483" t="inlineStr">
        <is>
          <t>Contribution before losses per booked dollar</t>
        </is>
      </c>
      <c r="G483" t="n">
        <v>273</v>
      </c>
      <c r="H483" t="n">
        <v>9012046.389999999</v>
      </c>
      <c r="I483" t="b">
        <v>0</v>
      </c>
      <c r="J483" t="b">
        <v>0</v>
      </c>
      <c r="K483" t="n">
        <v>0.03794912967559166</v>
      </c>
      <c r="L483" t="n">
        <v>0.0001761728589045857</v>
      </c>
      <c r="M483" t="n">
        <v>0.03981639661830599</v>
      </c>
      <c r="N483" t="n">
        <v>0.0005142342908566286</v>
      </c>
      <c r="O483" t="n">
        <v>-341999.3170965575</v>
      </c>
      <c r="P483" t="n">
        <v>-358827.2134068126</v>
      </c>
      <c r="Q483">
        <f>'_live'!$C$24</f>
        <v/>
      </c>
      <c r="R483" t="inlineStr">
        <is>
          <t>shuffled: 0 of 10,000</t>
        </is>
      </c>
      <c r="S483" t="inlineStr">
        <is>
          <t>shuffled: 0 of 10,000</t>
        </is>
      </c>
      <c r="T483" t="n">
        <v>0.1682670247443591</v>
      </c>
      <c r="U483" t="n">
        <v>0.1663997578016448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0.2062161544199508</v>
      </c>
      <c r="AI483">
        <f>IF($Y483="worse","Yes",IF($Y483="worse, not significant","Not sure",IF(OR($Y483="too few losses to test",$Y483="too few loans to test"),"Too few losses",IF($Y483="","","No"))))</f>
        <v/>
      </c>
      <c r="AJ483">
        <f>IF($AA483="yes","Yes",IF($AA483="","","No"))</f>
        <v/>
      </c>
    </row>
    <row r="484">
      <c r="A484" t="inlineStr">
        <is>
          <t>three-way</t>
        </is>
      </c>
      <c r="B484" t="inlineStr">
        <is>
          <t>FICO x CHANNEL / REV_DEBT</t>
        </is>
      </c>
      <c r="C484" t="inlineStr">
        <is>
          <t>746 - 921</t>
        </is>
      </c>
      <c r="D484" t="inlineStr">
        <is>
          <t>Online / REV_DEBT low half</t>
        </is>
      </c>
      <c r="E484" t="inlineStr">
        <is>
          <t>outcome_loans</t>
        </is>
      </c>
      <c r="F484" t="inlineStr">
        <is>
          <t>Outcome, share of loans</t>
        </is>
      </c>
      <c r="G484" t="n">
        <v>259</v>
      </c>
      <c r="H484" t="n">
        <v>259</v>
      </c>
      <c r="I484" t="b">
        <v>1</v>
      </c>
      <c r="J484" t="b">
        <v>0</v>
      </c>
      <c r="K484" t="n">
        <v>0.4409139818975885</v>
      </c>
      <c r="M484" t="n">
        <v>0.860202520579879</v>
      </c>
      <c r="O484" t="n">
        <v>-11.41214470284238</v>
      </c>
      <c r="P484" t="n">
        <v>-1.46265243902439</v>
      </c>
      <c r="Q484">
        <f>'_live'!$C$20</f>
        <v/>
      </c>
      <c r="T484" t="n">
        <v>0.07881136950904392</v>
      </c>
      <c r="U484" t="n">
        <v>0.04039634146341464</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0.03474903474903475</v>
      </c>
      <c r="AI484">
        <f>IF($Y484="worse","Yes",IF($Y484="worse, not significant","Not sure",IF(OR($Y484="too few losses to test",$Y484="too few loans to test"),"Too few losses",IF($Y484="","","No"))))</f>
        <v/>
      </c>
      <c r="AJ484">
        <f>IF($AA484="yes","Yes",IF($AA484="","","No"))</f>
        <v/>
      </c>
    </row>
    <row r="485">
      <c r="A485" t="inlineStr">
        <is>
          <t>three-way</t>
        </is>
      </c>
      <c r="B485" t="inlineStr">
        <is>
          <t>FICO x CHANNEL / REV_DEBT</t>
        </is>
      </c>
      <c r="C485" t="inlineStr">
        <is>
          <t>746 - 921</t>
        </is>
      </c>
      <c r="D485" t="inlineStr">
        <is>
          <t>Online / REV_DEBT low half</t>
        </is>
      </c>
      <c r="E485" t="inlineStr">
        <is>
          <t>outcome_booked</t>
        </is>
      </c>
      <c r="F485" t="inlineStr">
        <is>
          <t>Outcome, share of booked dollars</t>
        </is>
      </c>
      <c r="G485" t="n">
        <v>259</v>
      </c>
      <c r="H485" t="n">
        <v>8147257.770000005</v>
      </c>
      <c r="I485" t="b">
        <v>1</v>
      </c>
      <c r="J485" t="b">
        <v>0</v>
      </c>
      <c r="K485" t="n">
        <v>0.4710996916345098</v>
      </c>
      <c r="M485" t="n">
        <v>0.968457887718959</v>
      </c>
      <c r="O485" t="n">
        <v>-327920.3368623539</v>
      </c>
      <c r="P485" t="n">
        <v>-9512.997527857078</v>
      </c>
      <c r="Q485">
        <f>'_live'!$C$21</f>
        <v/>
      </c>
      <c r="T485" t="n">
        <v>0.07609972267544365</v>
      </c>
      <c r="U485" t="n">
        <v>0.03701818771935786</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0.03585055588587322</v>
      </c>
      <c r="AI485">
        <f>IF($Y485="worse","Yes",IF($Y485="worse, not significant","Not sure",IF(OR($Y485="too few losses to test",$Y485="too few loans to test"),"Too few losses",IF($Y485="","","No"))))</f>
        <v/>
      </c>
      <c r="AJ485">
        <f>IF($AA485="yes","Yes",IF($AA485="","","No"))</f>
        <v/>
      </c>
    </row>
    <row r="486">
      <c r="A486" t="inlineStr">
        <is>
          <t>three-way</t>
        </is>
      </c>
      <c r="B486" t="inlineStr">
        <is>
          <t>FICO x CHANNEL / REV_DEBT</t>
        </is>
      </c>
      <c r="C486" t="inlineStr">
        <is>
          <t>746 - 921</t>
        </is>
      </c>
      <c r="D486" t="inlineStr">
        <is>
          <t>Online / REV_DEBT low half</t>
        </is>
      </c>
      <c r="E486" t="inlineStr">
        <is>
          <t>gco_rate</t>
        </is>
      </c>
      <c r="F486" t="inlineStr">
        <is>
          <t>GCO per booked dollar</t>
        </is>
      </c>
      <c r="G486" t="n">
        <v>259</v>
      </c>
      <c r="H486" t="n">
        <v>8147257.770000005</v>
      </c>
      <c r="I486" t="b">
        <v>1</v>
      </c>
      <c r="J486" t="b">
        <v>0</v>
      </c>
      <c r="K486" t="n">
        <v>0.4440207547675803</v>
      </c>
      <c r="M486" t="n">
        <v>0.9630778924738708</v>
      </c>
      <c r="O486" t="n">
        <v>-191827.1636722202</v>
      </c>
      <c r="P486" t="n">
        <v>-5873.26863824355</v>
      </c>
      <c r="Q486">
        <f>'_live'!$C$22</f>
        <v/>
      </c>
      <c r="T486" t="n">
        <v>0.0423486985943517</v>
      </c>
      <c r="U486" t="n">
        <v>0.01952459012945204</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0.01880370111328881</v>
      </c>
      <c r="AI486">
        <f>IF($Y486="worse","Yes",IF($Y486="worse, not significant","Not sure",IF(OR($Y486="too few losses to test",$Y486="too few loans to test"),"Too few losses",IF($Y486="","","No"))))</f>
        <v/>
      </c>
      <c r="AJ486">
        <f>IF($AA486="yes","Yes",IF($AA486="","","No"))</f>
        <v/>
      </c>
    </row>
    <row r="487">
      <c r="A487" t="inlineStr">
        <is>
          <t>three-way</t>
        </is>
      </c>
      <c r="B487" t="inlineStr">
        <is>
          <t>FICO x CHANNEL / REV_DEBT</t>
        </is>
      </c>
      <c r="C487" t="inlineStr">
        <is>
          <t>746 - 921</t>
        </is>
      </c>
      <c r="D487" t="inlineStr">
        <is>
          <t>Online / REV_DEBT low half</t>
        </is>
      </c>
      <c r="E487" t="inlineStr">
        <is>
          <t>ranr_rate</t>
        </is>
      </c>
      <c r="F487" t="inlineStr">
        <is>
          <t>Profit after losses: RANR per booked dollar</t>
        </is>
      </c>
      <c r="G487" t="n">
        <v>259</v>
      </c>
      <c r="H487" t="n">
        <v>8147257.770000005</v>
      </c>
      <c r="I487" t="b">
        <v>0</v>
      </c>
      <c r="J487" t="b">
        <v>0</v>
      </c>
      <c r="K487" t="n">
        <v>-0.08657006072672041</v>
      </c>
      <c r="L487" t="n">
        <v>0.0002466420024664201</v>
      </c>
      <c r="M487" t="n">
        <v>-0.003088403251555821</v>
      </c>
      <c r="N487" t="n">
        <v>0.8927107289271073</v>
      </c>
      <c r="O487" t="n">
        <v>705308.5999051454</v>
      </c>
      <c r="P487" t="n">
        <v>25162.01738813141</v>
      </c>
      <c r="Q487">
        <f>'_live'!$C$23</f>
        <v/>
      </c>
      <c r="R487" t="inlineStr">
        <is>
          <t>shuffled: 0 of 10,000</t>
        </is>
      </c>
      <c r="S487" t="inlineStr">
        <is>
          <t>shuffled: 6,987 of 10,000</t>
        </is>
      </c>
      <c r="T487" t="n">
        <v>0.1307230788532108</v>
      </c>
      <c r="U487" t="n">
        <v>0.04724142137804623</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0.04415301812649041</v>
      </c>
      <c r="AI487">
        <f>IF($Y487="worse","Yes",IF($Y487="worse, not significant","Not sure",IF(OR($Y487="too few losses to test",$Y487="too few loans to test"),"Too few losses",IF($Y487="","","No"))))</f>
        <v/>
      </c>
      <c r="AJ487">
        <f>IF($AA487="yes","Yes",IF($AA487="","","No"))</f>
        <v/>
      </c>
    </row>
    <row r="488">
      <c r="A488" t="inlineStr">
        <is>
          <t>three-way</t>
        </is>
      </c>
      <c r="B488" t="inlineStr">
        <is>
          <t>FICO x CHANNEL / REV_DEBT</t>
        </is>
      </c>
      <c r="C488" t="inlineStr">
        <is>
          <t>746 - 921</t>
        </is>
      </c>
      <c r="D488" t="inlineStr">
        <is>
          <t>Online / REV_DEBT low half</t>
        </is>
      </c>
      <c r="E488" t="inlineStr">
        <is>
          <t>contribution_rate</t>
        </is>
      </c>
      <c r="F488" t="inlineStr">
        <is>
          <t>Contribution before losses per booked dollar</t>
        </is>
      </c>
      <c r="G488" t="n">
        <v>259</v>
      </c>
      <c r="H488" t="n">
        <v>8147257.770000005</v>
      </c>
      <c r="I488" t="b">
        <v>0</v>
      </c>
      <c r="J488" t="b">
        <v>0</v>
      </c>
      <c r="K488" t="n">
        <v>-0.1101125397775743</v>
      </c>
      <c r="L488" t="n">
        <v>0.0001761728589045857</v>
      </c>
      <c r="M488" t="n">
        <v>-0.003809292267719033</v>
      </c>
      <c r="N488" t="n">
        <v>0.1873707366105495</v>
      </c>
      <c r="O488" t="n">
        <v>897115.2452772772</v>
      </c>
      <c r="P488" t="n">
        <v>31035.28602637484</v>
      </c>
      <c r="Q488">
        <f>'_live'!$C$24</f>
        <v/>
      </c>
      <c r="R488" t="inlineStr">
        <is>
          <t>shuffled: 0 of 10,000</t>
        </is>
      </c>
      <c r="S488" t="inlineStr">
        <is>
          <t>shuffled: 988 of 10,000</t>
        </is>
      </c>
      <c r="T488" t="n">
        <v>0.1730692590173536</v>
      </c>
      <c r="U488" t="n">
        <v>0.06676601150749825</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0.06295671923977922</v>
      </c>
      <c r="AI488">
        <f>IF($Y488="worse","Yes",IF($Y488="worse, not significant","Not sure",IF(OR($Y488="too few losses to test",$Y488="too few loans to test"),"Too few losses",IF($Y488="","","No"))))</f>
        <v/>
      </c>
      <c r="AJ488">
        <f>IF($AA488="yes","Yes",IF($AA488="","","No"))</f>
        <v/>
      </c>
    </row>
    <row r="489">
      <c r="A489" t="inlineStr">
        <is>
          <t>three-way</t>
        </is>
      </c>
      <c r="B489" t="inlineStr">
        <is>
          <t>FICO x CHANNEL / REV_DEBT</t>
        </is>
      </c>
      <c r="C489" t="inlineStr">
        <is>
          <t>496 - 653</t>
        </is>
      </c>
      <c r="D489" t="inlineStr">
        <is>
          <t>Broker / REV_DEBT high half</t>
        </is>
      </c>
      <c r="E489" t="inlineStr">
        <is>
          <t>outcome_loans</t>
        </is>
      </c>
      <c r="F489" t="inlineStr">
        <is>
          <t>Outcome, share of loans</t>
        </is>
      </c>
      <c r="G489" t="n">
        <v>261</v>
      </c>
      <c r="H489" t="n">
        <v>261</v>
      </c>
      <c r="I489" t="b">
        <v>0</v>
      </c>
      <c r="J489" t="b">
        <v>0</v>
      </c>
      <c r="K489" t="n">
        <v>5.241860058563874</v>
      </c>
      <c r="L489" t="n">
        <v>1.517884715456573e-64</v>
      </c>
      <c r="M489" t="n">
        <v>3.270074182766773</v>
      </c>
      <c r="N489" t="n">
        <v>4.765406899205852e-23</v>
      </c>
      <c r="O489" t="n">
        <v>75.25820625484621</v>
      </c>
      <c r="P489" t="n">
        <v>64.56027820710975</v>
      </c>
      <c r="Q489">
        <f>'_live'!$C$20</f>
        <v/>
      </c>
      <c r="R489" t="inlineStr">
        <is>
          <t>z test</t>
        </is>
      </c>
      <c r="S489" t="inlineStr">
        <is>
          <t>z test</t>
        </is>
      </c>
      <c r="T489" t="n">
        <v>0.06797622124579995</v>
      </c>
      <c r="U489" t="n">
        <v>0.1089644513137558</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0.3563218390804598</v>
      </c>
      <c r="AI489">
        <f>IF($Y489="worse","Yes",IF($Y489="worse, not significant","Not sure",IF(OR($Y489="too few losses to test",$Y489="too few loans to test"),"Too few losses",IF($Y489="","","No"))))</f>
        <v/>
      </c>
      <c r="AJ489">
        <f>IF($AA489="yes","Yes",IF($AA489="","","No"))</f>
        <v/>
      </c>
    </row>
    <row r="490">
      <c r="A490" t="inlineStr">
        <is>
          <t>three-way</t>
        </is>
      </c>
      <c r="B490" t="inlineStr">
        <is>
          <t>FICO x CHANNEL / REV_DEBT</t>
        </is>
      </c>
      <c r="C490" t="inlineStr">
        <is>
          <t>496 - 653</t>
        </is>
      </c>
      <c r="D490" t="inlineStr">
        <is>
          <t>Broker / REV_DEBT high half</t>
        </is>
      </c>
      <c r="E490" t="inlineStr">
        <is>
          <t>outcome_booked</t>
        </is>
      </c>
      <c r="F490" t="inlineStr">
        <is>
          <t>Outcome, share of booked dollars</t>
        </is>
      </c>
      <c r="G490" t="n">
        <v>261</v>
      </c>
      <c r="H490" t="n">
        <v>8288107.580000003</v>
      </c>
      <c r="I490" t="b">
        <v>0</v>
      </c>
      <c r="J490" t="b">
        <v>0</v>
      </c>
      <c r="K490" t="n">
        <v>5.080896792203997</v>
      </c>
      <c r="L490" t="n">
        <v>0.00114988501149885</v>
      </c>
      <c r="M490" t="n">
        <v>2.984242372177677</v>
      </c>
      <c r="N490" t="n">
        <v>0.00114988501149885</v>
      </c>
      <c r="O490" t="n">
        <v>2237621.499059564</v>
      </c>
      <c r="P490" t="n">
        <v>1852388.238765582</v>
      </c>
      <c r="Q490">
        <f>'_live'!$C$21</f>
        <v/>
      </c>
      <c r="R490" t="inlineStr">
        <is>
          <t>shuffled: 0 of 10,000</t>
        </is>
      </c>
      <c r="S490" t="inlineStr">
        <is>
          <t>shuffled: 0 of 10,000</t>
        </is>
      </c>
      <c r="T490" t="n">
        <v>0.06615697439347618</v>
      </c>
      <c r="U490" t="n">
        <v>0.1126372181132351</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0.336136758977735</v>
      </c>
      <c r="AI490">
        <f>IF($Y490="worse","Yes",IF($Y490="worse, not significant","Not sure",IF(OR($Y490="too few losses to test",$Y490="too few loans to test"),"Too few losses",IF($Y490="","","No"))))</f>
        <v/>
      </c>
      <c r="AJ490">
        <f>IF($AA490="yes","Yes",IF($AA490="","","No"))</f>
        <v/>
      </c>
    </row>
    <row r="491">
      <c r="A491" t="inlineStr">
        <is>
          <t>three-way</t>
        </is>
      </c>
      <c r="B491" t="inlineStr">
        <is>
          <t>FICO x CHANNEL / REV_DEBT</t>
        </is>
      </c>
      <c r="C491" t="inlineStr">
        <is>
          <t>496 - 653</t>
        </is>
      </c>
      <c r="D491" t="inlineStr">
        <is>
          <t>Broker / REV_DEBT high half</t>
        </is>
      </c>
      <c r="E491" t="inlineStr">
        <is>
          <t>gco_rate</t>
        </is>
      </c>
      <c r="F491" t="inlineStr">
        <is>
          <t>GCO per booked dollar</t>
        </is>
      </c>
      <c r="G491" t="n">
        <v>261</v>
      </c>
      <c r="H491" t="n">
        <v>8288107.580000003</v>
      </c>
      <c r="I491" t="b">
        <v>0</v>
      </c>
      <c r="J491" t="b">
        <v>0</v>
      </c>
      <c r="K491" t="n">
        <v>5.258881774104629</v>
      </c>
      <c r="L491" t="n">
        <v>0.00114988501149885</v>
      </c>
      <c r="M491" t="n">
        <v>3.095684625974</v>
      </c>
      <c r="N491" t="n">
        <v>0.0007665900076659002</v>
      </c>
      <c r="O491" t="n">
        <v>1291860.40139119</v>
      </c>
      <c r="P491" t="n">
        <v>1079897.725611401</v>
      </c>
      <c r="Q491">
        <f>'_live'!$C$22</f>
        <v/>
      </c>
      <c r="R491" t="inlineStr">
        <is>
          <t>shuffled: 0 of 10,000</t>
        </is>
      </c>
      <c r="S491" t="inlineStr">
        <is>
          <t>shuffled: 0 of 10,000</t>
        </is>
      </c>
      <c r="T491" t="n">
        <v>0.03659861261221825</v>
      </c>
      <c r="U491" t="n">
        <v>0.06217292782637829</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0.1924677768239104</v>
      </c>
      <c r="AI491">
        <f>IF($Y491="worse","Yes",IF($Y491="worse, not significant","Not sure",IF(OR($Y491="too few losses to test",$Y491="too few loans to test"),"Too few losses",IF($Y491="","","No"))))</f>
        <v/>
      </c>
      <c r="AJ491">
        <f>IF($AA491="yes","Yes",IF($AA491="","","No"))</f>
        <v/>
      </c>
    </row>
    <row r="492">
      <c r="A492" t="inlineStr">
        <is>
          <t>three-way</t>
        </is>
      </c>
      <c r="B492" t="inlineStr">
        <is>
          <t>FICO x CHANNEL / REV_DEBT</t>
        </is>
      </c>
      <c r="C492" t="inlineStr">
        <is>
          <t>496 - 653</t>
        </is>
      </c>
      <c r="D492" t="inlineStr">
        <is>
          <t>Broker / REV_DEBT high half</t>
        </is>
      </c>
      <c r="E492" t="inlineStr">
        <is>
          <t>ranr_rate</t>
        </is>
      </c>
      <c r="F492" t="inlineStr">
        <is>
          <t>Profit after losses: RANR per booked dollar</t>
        </is>
      </c>
      <c r="G492" t="n">
        <v>261</v>
      </c>
      <c r="H492" t="n">
        <v>8288107.580000003</v>
      </c>
      <c r="I492" t="b">
        <v>0</v>
      </c>
      <c r="J492" t="b">
        <v>0</v>
      </c>
      <c r="K492" t="n">
        <v>-0.0409464144637864</v>
      </c>
      <c r="L492" t="n">
        <v>0.004521770045217701</v>
      </c>
      <c r="M492" t="n">
        <v>-0.1216868583129897</v>
      </c>
      <c r="N492" t="n">
        <v>0.0017998200179982</v>
      </c>
      <c r="O492" t="n">
        <v>339368.2880911299</v>
      </c>
      <c r="P492" t="n">
        <v>1008553.772770276</v>
      </c>
      <c r="Q492">
        <f>'_live'!$C$23</f>
        <v/>
      </c>
      <c r="R492" t="inlineStr">
        <is>
          <t>shuffled: 21 of 10,000</t>
        </is>
      </c>
      <c r="S492" t="inlineStr">
        <is>
          <t>shuffled: 0 of 10,000</t>
        </is>
      </c>
      <c r="T492" t="n">
        <v>0.1293050817387109</v>
      </c>
      <c r="U492" t="n">
        <v>0.2100455255879142</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0.08835866727492452</v>
      </c>
      <c r="AI492">
        <f>IF($Y492="worse","Yes",IF($Y492="worse, not significant","Not sure",IF(OR($Y492="too few losses to test",$Y492="too few loans to test"),"Too few losses",IF($Y492="","","No"))))</f>
        <v/>
      </c>
      <c r="AJ492">
        <f>IF($AA492="yes","Yes",IF($AA492="","","No"))</f>
        <v/>
      </c>
    </row>
    <row r="493">
      <c r="A493" t="inlineStr">
        <is>
          <t>three-way</t>
        </is>
      </c>
      <c r="B493" t="inlineStr">
        <is>
          <t>FICO x CHANNEL / REV_DEBT</t>
        </is>
      </c>
      <c r="C493" t="inlineStr">
        <is>
          <t>496 - 653</t>
        </is>
      </c>
      <c r="D493" t="inlineStr">
        <is>
          <t>Broker / REV_DEBT high half</t>
        </is>
      </c>
      <c r="E493" t="inlineStr">
        <is>
          <t>contribution_rate</t>
        </is>
      </c>
      <c r="F493" t="inlineStr">
        <is>
          <t>Contribution before losses per booked dollar</t>
        </is>
      </c>
      <c r="G493" t="n">
        <v>261</v>
      </c>
      <c r="H493" t="n">
        <v>8288107.580000003</v>
      </c>
      <c r="I493" t="b">
        <v>0</v>
      </c>
      <c r="J493" t="b">
        <v>0</v>
      </c>
      <c r="K493" t="n">
        <v>0.1149254949218455</v>
      </c>
      <c r="L493" t="n">
        <v>0.0001761728589045857</v>
      </c>
      <c r="M493" t="n">
        <v>0.008607990684542322</v>
      </c>
      <c r="N493" t="n">
        <v>0.5135486451354865</v>
      </c>
      <c r="O493" t="n">
        <v>-952514.8655969999</v>
      </c>
      <c r="P493" t="n">
        <v>-71343.95284112496</v>
      </c>
      <c r="Q493">
        <f>'_live'!$C$24</f>
        <v/>
      </c>
      <c r="R493" t="inlineStr">
        <is>
          <t>shuffled: 0 of 10,000</t>
        </is>
      </c>
      <c r="S493" t="inlineStr">
        <is>
          <t>shuffled: 4,279 of 10,000</t>
        </is>
      </c>
      <c r="T493" t="n">
        <v>0.1659009491769893</v>
      </c>
      <c r="U493" t="n">
        <v>0.2722184534142925</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0.2808264440988348</v>
      </c>
      <c r="AI493">
        <f>IF($Y493="worse","Yes",IF($Y493="worse, not significant","Not sure",IF(OR($Y493="too few losses to test",$Y493="too few loans to test"),"Too few losses",IF($Y493="","","No"))))</f>
        <v/>
      </c>
      <c r="AJ493">
        <f>IF($AA493="yes","Yes",IF($AA493="","","No"))</f>
        <v/>
      </c>
    </row>
    <row r="494">
      <c r="A494" t="inlineStr">
        <is>
          <t>three-way</t>
        </is>
      </c>
      <c r="B494" t="inlineStr">
        <is>
          <t>FICO x CHANNEL / REV_DEBT</t>
        </is>
      </c>
      <c r="C494" t="inlineStr">
        <is>
          <t>496 - 653</t>
        </is>
      </c>
      <c r="D494" t="inlineStr">
        <is>
          <t>Branch / REV_DEBT high half</t>
        </is>
      </c>
      <c r="E494" t="inlineStr">
        <is>
          <t>outcome_loans</t>
        </is>
      </c>
      <c r="F494" t="inlineStr">
        <is>
          <t>Outcome, share of loans</t>
        </is>
      </c>
      <c r="G494" t="n">
        <v>251</v>
      </c>
      <c r="H494" t="n">
        <v>251</v>
      </c>
      <c r="I494" t="b">
        <v>0</v>
      </c>
      <c r="J494" t="b">
        <v>0</v>
      </c>
      <c r="K494" t="n">
        <v>1.906118237171383</v>
      </c>
      <c r="L494" t="n">
        <v>0.0007969128090172769</v>
      </c>
      <c r="M494" t="n">
        <v>0.9445852951829048</v>
      </c>
      <c r="N494" t="n">
        <v>0.8427020085142203</v>
      </c>
      <c r="O494" t="n">
        <v>17.113448631905</v>
      </c>
      <c r="P494" t="n">
        <v>-2.111963190184049</v>
      </c>
      <c r="Q494">
        <f>'_live'!$C$20</f>
        <v/>
      </c>
      <c r="R494" t="inlineStr">
        <is>
          <t>z test</t>
        </is>
      </c>
      <c r="S494" t="inlineStr">
        <is>
          <t>z test</t>
        </is>
      </c>
      <c r="T494" t="n">
        <v>0.07524522457408364</v>
      </c>
      <c r="U494" t="n">
        <v>0.151840490797546</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0.1434262948207171</v>
      </c>
      <c r="AI494">
        <f>IF($Y494="worse","Yes",IF($Y494="worse, not significant","Not sure",IF(OR($Y494="too few losses to test",$Y494="too few loans to test"),"Too few losses",IF($Y494="","","No"))))</f>
        <v/>
      </c>
      <c r="AJ494">
        <f>IF($AA494="yes","Yes",IF($AA494="","","No"))</f>
        <v/>
      </c>
    </row>
    <row r="495">
      <c r="A495" t="inlineStr">
        <is>
          <t>three-way</t>
        </is>
      </c>
      <c r="B495" t="inlineStr">
        <is>
          <t>FICO x CHANNEL / REV_DEBT</t>
        </is>
      </c>
      <c r="C495" t="inlineStr">
        <is>
          <t>496 - 653</t>
        </is>
      </c>
      <c r="D495" t="inlineStr">
        <is>
          <t>Branch / REV_DEBT high half</t>
        </is>
      </c>
      <c r="E495" t="inlineStr">
        <is>
          <t>outcome_booked</t>
        </is>
      </c>
      <c r="F495" t="inlineStr">
        <is>
          <t>Outcome, share of booked dollars</t>
        </is>
      </c>
      <c r="G495" t="n">
        <v>251</v>
      </c>
      <c r="H495" t="n">
        <v>8045394.000000007</v>
      </c>
      <c r="I495" t="b">
        <v>0</v>
      </c>
      <c r="J495" t="b">
        <v>0</v>
      </c>
      <c r="K495" t="n">
        <v>2.124945453735214</v>
      </c>
      <c r="L495" t="n">
        <v>0.0015331800153318</v>
      </c>
      <c r="M495" t="n">
        <v>1.035686103285891</v>
      </c>
      <c r="N495" t="n">
        <v>0.928997576432833</v>
      </c>
      <c r="O495" t="n">
        <v>654298.3956150392</v>
      </c>
      <c r="P495" t="n">
        <v>42585.63780118385</v>
      </c>
      <c r="Q495">
        <f>'_live'!$C$21</f>
        <v/>
      </c>
      <c r="R495" t="inlineStr">
        <is>
          <t>shuffled: 1 of 10,000</t>
        </is>
      </c>
      <c r="S495" t="inlineStr">
        <is>
          <t>shuffled: 8,482 of 10,000</t>
        </is>
      </c>
      <c r="T495" t="n">
        <v>0.07229313746287137</v>
      </c>
      <c r="U495" t="n">
        <v>0.1483258038324556</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0.1536189737879834</v>
      </c>
      <c r="AI495">
        <f>IF($Y495="worse","Yes",IF($Y495="worse, not significant","Not sure",IF(OR($Y495="too few losses to test",$Y495="too few loans to test"),"Too few losses",IF($Y495="","","No"))))</f>
        <v/>
      </c>
      <c r="AJ495">
        <f>IF($AA495="yes","Yes",IF($AA495="","","No"))</f>
        <v/>
      </c>
    </row>
    <row r="496">
      <c r="A496" t="inlineStr">
        <is>
          <t>three-way</t>
        </is>
      </c>
      <c r="B496" t="inlineStr">
        <is>
          <t>FICO x CHANNEL / REV_DEBT</t>
        </is>
      </c>
      <c r="C496" t="inlineStr">
        <is>
          <t>496 - 653</t>
        </is>
      </c>
      <c r="D496" t="inlineStr">
        <is>
          <t>Branch / REV_DEBT high half</t>
        </is>
      </c>
      <c r="E496" t="inlineStr">
        <is>
          <t>gco_rate</t>
        </is>
      </c>
      <c r="F496" t="inlineStr">
        <is>
          <t>GCO per booked dollar</t>
        </is>
      </c>
      <c r="G496" t="n">
        <v>251</v>
      </c>
      <c r="H496" t="n">
        <v>8045394.000000007</v>
      </c>
      <c r="I496" t="b">
        <v>0</v>
      </c>
      <c r="J496" t="b">
        <v>0</v>
      </c>
      <c r="K496" t="n">
        <v>2.021266988162755</v>
      </c>
      <c r="L496" t="n">
        <v>0.0015331800153318</v>
      </c>
      <c r="M496" t="n">
        <v>0.9723182419595726</v>
      </c>
      <c r="N496" t="n">
        <v>0.9191762641917627</v>
      </c>
      <c r="O496" t="n">
        <v>331299.778471374</v>
      </c>
      <c r="P496" t="n">
        <v>-18667.69812099717</v>
      </c>
      <c r="Q496">
        <f>'_live'!$C$22</f>
        <v/>
      </c>
      <c r="R496" t="inlineStr">
        <is>
          <t>shuffled: 1 of 10,000</t>
        </is>
      </c>
      <c r="S496" t="inlineStr">
        <is>
          <t>shuffled: 8,792 of 10,000</t>
        </is>
      </c>
      <c r="T496" t="n">
        <v>0.04032130080001374</v>
      </c>
      <c r="U496" t="n">
        <v>0.08382041055055808</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0.08150011422684825</v>
      </c>
      <c r="AI496">
        <f>IF($Y496="worse","Yes",IF($Y496="worse, not significant","Not sure",IF(OR($Y496="too few losses to test",$Y496="too few loans to test"),"Too few losses",IF($Y496="","","No"))))</f>
        <v/>
      </c>
      <c r="AJ496">
        <f>IF($AA496="yes","Yes",IF($AA496="","","No"))</f>
        <v/>
      </c>
    </row>
    <row r="497">
      <c r="A497" t="inlineStr">
        <is>
          <t>three-way</t>
        </is>
      </c>
      <c r="B497" t="inlineStr">
        <is>
          <t>FICO x CHANNEL / REV_DEBT</t>
        </is>
      </c>
      <c r="C497" t="inlineStr">
        <is>
          <t>496 - 653</t>
        </is>
      </c>
      <c r="D497" t="inlineStr">
        <is>
          <t>Branch / REV_DEBT high half</t>
        </is>
      </c>
      <c r="E497" t="inlineStr">
        <is>
          <t>ranr_rate</t>
        </is>
      </c>
      <c r="F497" t="inlineStr">
        <is>
          <t>Profit after losses: RANR per booked dollar</t>
        </is>
      </c>
      <c r="G497" t="n">
        <v>251</v>
      </c>
      <c r="H497" t="n">
        <v>8045394.000000007</v>
      </c>
      <c r="I497" t="b">
        <v>0</v>
      </c>
      <c r="J497" t="b">
        <v>0</v>
      </c>
      <c r="K497" t="n">
        <v>0.07549506570906742</v>
      </c>
      <c r="L497" t="n">
        <v>0.0002466420024664201</v>
      </c>
      <c r="M497" t="n">
        <v>0.01302466379439651</v>
      </c>
      <c r="N497" t="n">
        <v>0.8743852887438529</v>
      </c>
      <c r="O497" t="n">
        <v>-607387.5486853372</v>
      </c>
      <c r="P497" t="n">
        <v>-104788.5519434549</v>
      </c>
      <c r="Q497">
        <f>'_live'!$C$23</f>
        <v/>
      </c>
      <c r="R497" t="inlineStr">
        <is>
          <t>shuffled: 0 of 10,000</t>
        </is>
      </c>
      <c r="S497" t="inlineStr">
        <is>
          <t>shuffled: 4,905 of 10,000</t>
        </is>
      </c>
      <c r="T497" t="n">
        <v>0.1256364587383368</v>
      </c>
      <c r="U497" t="n">
        <v>0.1881068606530077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0.2011315244474042</v>
      </c>
      <c r="AI497">
        <f>IF($Y497="worse","Yes",IF($Y497="worse, not significant","Not sure",IF(OR($Y497="too few losses to test",$Y497="too few loans to test"),"Too few losses",IF($Y497="","","No"))))</f>
        <v/>
      </c>
      <c r="AJ497">
        <f>IF($AA497="yes","Yes",IF($AA497="","","No"))</f>
        <v/>
      </c>
    </row>
    <row r="498">
      <c r="A498" t="inlineStr">
        <is>
          <t>three-way</t>
        </is>
      </c>
      <c r="B498" t="inlineStr">
        <is>
          <t>FICO x CHANNEL / REV_DEBT</t>
        </is>
      </c>
      <c r="C498" t="inlineStr">
        <is>
          <t>496 - 653</t>
        </is>
      </c>
      <c r="D498" t="inlineStr">
        <is>
          <t>Branch / REV_DEBT high half</t>
        </is>
      </c>
      <c r="E498" t="inlineStr">
        <is>
          <t>contribution_rate</t>
        </is>
      </c>
      <c r="F498" t="inlineStr">
        <is>
          <t>Contribution before losses per booked dollar</t>
        </is>
      </c>
      <c r="G498" t="n">
        <v>251</v>
      </c>
      <c r="H498" t="n">
        <v>8045394.000000007</v>
      </c>
      <c r="I498" t="b">
        <v>0</v>
      </c>
      <c r="J498" t="b">
        <v>0</v>
      </c>
      <c r="K498" t="n">
        <v>0.1166772040320969</v>
      </c>
      <c r="L498" t="n">
        <v>0.0001761728589045857</v>
      </c>
      <c r="M498" t="n">
        <v>0.01070436747068648</v>
      </c>
      <c r="N498" t="n">
        <v>0.4562210445622104</v>
      </c>
      <c r="O498" t="n">
        <v>-938714.0772566095</v>
      </c>
      <c r="P498" t="n">
        <v>-86120.85382245621</v>
      </c>
      <c r="Q498">
        <f>'_live'!$C$24</f>
        <v/>
      </c>
      <c r="R498" t="inlineStr">
        <is>
          <t>shuffled: 0 of 10,000</t>
        </is>
      </c>
      <c r="S498" t="inlineStr">
        <is>
          <t>shuffled: 3,414 of 10,000</t>
        </is>
      </c>
      <c r="T498" t="n">
        <v>0.1659544346421553</v>
      </c>
      <c r="U498" t="n">
        <v>0.2719272712035658</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0.2826316386742523</v>
      </c>
      <c r="AI498">
        <f>IF($Y498="worse","Yes",IF($Y498="worse, not significant","Not sure",IF(OR($Y498="too few losses to test",$Y498="too few loans to test"),"Too few losses",IF($Y498="","","No"))))</f>
        <v/>
      </c>
      <c r="AJ498">
        <f>IF($AA498="yes","Yes",IF($AA498="","","No"))</f>
        <v/>
      </c>
    </row>
    <row r="499">
      <c r="A499" t="inlineStr">
        <is>
          <t>three-way</t>
        </is>
      </c>
      <c r="B499" t="inlineStr">
        <is>
          <t>FICO x CHANNEL / REV_DEBT</t>
        </is>
      </c>
      <c r="C499" t="inlineStr">
        <is>
          <t>654 - 685</t>
        </is>
      </c>
      <c r="D499" t="inlineStr">
        <is>
          <t>Branch / REV_DEBT low half</t>
        </is>
      </c>
      <c r="E499" t="inlineStr">
        <is>
          <t>outcome_loans</t>
        </is>
      </c>
      <c r="F499" t="inlineStr">
        <is>
          <t>Outcome, share of loans</t>
        </is>
      </c>
      <c r="G499" t="n">
        <v>252</v>
      </c>
      <c r="H499" t="n">
        <v>252</v>
      </c>
      <c r="I499" t="b">
        <v>0</v>
      </c>
      <c r="J499" t="b">
        <v>0</v>
      </c>
      <c r="K499" t="n">
        <v>0.9734986772486771</v>
      </c>
      <c r="L499" t="n">
        <v>0.92271762559621</v>
      </c>
      <c r="M499" t="n">
        <v>0.8741956241956242</v>
      </c>
      <c r="N499" t="n">
        <v>0.729768433569849</v>
      </c>
      <c r="O499" t="n">
        <v>-0.5172324770879051</v>
      </c>
      <c r="P499" t="n">
        <v>-2.734265734265733</v>
      </c>
      <c r="Q499">
        <f>'_live'!$C$20</f>
        <v/>
      </c>
      <c r="R499" t="inlineStr">
        <is>
          <t>z test</t>
        </is>
      </c>
      <c r="S499" t="inlineStr">
        <is>
          <t>z test</t>
        </is>
      </c>
      <c r="T499" t="n">
        <v>0.07744933522653931</v>
      </c>
      <c r="U499" t="n">
        <v>0.08624708624708624</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0.07539682539682539</v>
      </c>
      <c r="AI499">
        <f>IF($Y499="worse","Yes",IF($Y499="worse, not significant","Not sure",IF(OR($Y499="too few losses to test",$Y499="too few loans to test"),"Too few losses",IF($Y499="","","No"))))</f>
        <v/>
      </c>
      <c r="AJ499">
        <f>IF($AA499="yes","Yes",IF($AA499="","","No"))</f>
        <v/>
      </c>
    </row>
    <row r="500">
      <c r="A500" t="inlineStr">
        <is>
          <t>three-way</t>
        </is>
      </c>
      <c r="B500" t="inlineStr">
        <is>
          <t>FICO x CHANNEL / REV_DEBT</t>
        </is>
      </c>
      <c r="C500" t="inlineStr">
        <is>
          <t>654 - 685</t>
        </is>
      </c>
      <c r="D500" t="inlineStr">
        <is>
          <t>Branch / REV_DEBT low half</t>
        </is>
      </c>
      <c r="E500" t="inlineStr">
        <is>
          <t>outcome_booked</t>
        </is>
      </c>
      <c r="F500" t="inlineStr">
        <is>
          <t>Outcome, share of booked dollars</t>
        </is>
      </c>
      <c r="G500" t="n">
        <v>252</v>
      </c>
      <c r="H500" t="n">
        <v>8471898.719999995</v>
      </c>
      <c r="I500" t="b">
        <v>0</v>
      </c>
      <c r="J500" t="b">
        <v>0</v>
      </c>
      <c r="K500" t="n">
        <v>0.8991119016247576</v>
      </c>
      <c r="L500" t="n">
        <v>0.6811318868113189</v>
      </c>
      <c r="M500" t="n">
        <v>0.819030802748909</v>
      </c>
      <c r="N500" t="n">
        <v>0.7308669133086692</v>
      </c>
      <c r="O500" t="n">
        <v>-64169.82166929252</v>
      </c>
      <c r="P500" t="n">
        <v>-126359.8399930543</v>
      </c>
      <c r="Q500">
        <f>'_live'!$C$21</f>
        <v/>
      </c>
      <c r="R500" t="inlineStr">
        <is>
          <t>shuffled: 6,811 of 10,000</t>
        </is>
      </c>
      <c r="S500" t="inlineStr">
        <is>
          <t>shuffled: 4,612 of 10,000</t>
        </is>
      </c>
      <c r="T500" t="n">
        <v>0.07507755848966202</v>
      </c>
      <c r="U500" t="n">
        <v>0.08241829996676997</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0.06750312638298399</v>
      </c>
      <c r="AI500">
        <f>IF($Y500="worse","Yes",IF($Y500="worse, not significant","Not sure",IF(OR($Y500="too few losses to test",$Y500="too few loans to test"),"Too few losses",IF($Y500="","","No"))))</f>
        <v/>
      </c>
      <c r="AJ500">
        <f>IF($AA500="yes","Yes",IF($AA500="","","No"))</f>
        <v/>
      </c>
    </row>
    <row r="501">
      <c r="A501" t="inlineStr">
        <is>
          <t>three-way</t>
        </is>
      </c>
      <c r="B501" t="inlineStr">
        <is>
          <t>FICO x CHANNEL / REV_DEBT</t>
        </is>
      </c>
      <c r="C501" t="inlineStr">
        <is>
          <t>654 - 685</t>
        </is>
      </c>
      <c r="D501" t="inlineStr">
        <is>
          <t>Branch / REV_DEBT low half</t>
        </is>
      </c>
      <c r="E501" t="inlineStr">
        <is>
          <t>gco_rate</t>
        </is>
      </c>
      <c r="F501" t="inlineStr">
        <is>
          <t>GCO per booked dollar</t>
        </is>
      </c>
      <c r="G501" t="n">
        <v>252</v>
      </c>
      <c r="H501" t="n">
        <v>8471898.719999995</v>
      </c>
      <c r="I501" t="b">
        <v>0</v>
      </c>
      <c r="J501" t="b">
        <v>0</v>
      </c>
      <c r="K501" t="n">
        <v>1.01293884979308</v>
      </c>
      <c r="L501" t="n">
        <v>0.9606039396060394</v>
      </c>
      <c r="M501" t="n">
        <v>0.9186777724967793</v>
      </c>
      <c r="N501" t="n">
        <v>0.8606615528923297</v>
      </c>
      <c r="O501" t="n">
        <v>4558.692129534902</v>
      </c>
      <c r="P501" t="n">
        <v>-31591.76407190145</v>
      </c>
      <c r="Q501">
        <f>'_live'!$C$22</f>
        <v/>
      </c>
      <c r="R501" t="inlineStr">
        <is>
          <t>shuffled: 9,606 of 10,000</t>
        </is>
      </c>
      <c r="S501" t="inlineStr">
        <is>
          <t>shuffled: 7,512 of 10,000</t>
        </is>
      </c>
      <c r="T501" t="n">
        <v>0.04158759795353943</v>
      </c>
      <c r="U501" t="n">
        <v>0.04585469998063217</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0.04212569363671527</v>
      </c>
      <c r="AI501">
        <f>IF($Y501="worse","Yes",IF($Y501="worse, not significant","Not sure",IF(OR($Y501="too few losses to test",$Y501="too few loans to test"),"Too few losses",IF($Y501="","","No"))))</f>
        <v/>
      </c>
      <c r="AJ501">
        <f>IF($AA501="yes","Yes",IF($AA501="","","No"))</f>
        <v/>
      </c>
    </row>
    <row r="502">
      <c r="A502" t="inlineStr">
        <is>
          <t>three-way</t>
        </is>
      </c>
      <c r="B502" t="inlineStr">
        <is>
          <t>FICO x CHANNEL / REV_DEBT</t>
        </is>
      </c>
      <c r="C502" t="inlineStr">
        <is>
          <t>654 - 685</t>
        </is>
      </c>
      <c r="D502" t="inlineStr">
        <is>
          <t>Branch / REV_DEBT low half</t>
        </is>
      </c>
      <c r="E502" t="inlineStr">
        <is>
          <t>ranr_rate</t>
        </is>
      </c>
      <c r="F502" t="inlineStr">
        <is>
          <t>Profit after losses: RANR per booked dollar</t>
        </is>
      </c>
      <c r="G502" t="n">
        <v>252</v>
      </c>
      <c r="H502" t="n">
        <v>8471898.719999995</v>
      </c>
      <c r="I502" t="b">
        <v>0</v>
      </c>
      <c r="J502" t="b">
        <v>0</v>
      </c>
      <c r="K502" t="n">
        <v>0.03051756960792817</v>
      </c>
      <c r="L502" t="n">
        <v>0.03245584532455845</v>
      </c>
      <c r="M502" t="n">
        <v>-0.006723966214483595</v>
      </c>
      <c r="N502" t="n">
        <v>0.8927107289271073</v>
      </c>
      <c r="O502" t="n">
        <v>-258541.7588989174</v>
      </c>
      <c r="P502" t="n">
        <v>56964.76076580677</v>
      </c>
      <c r="Q502">
        <f>'_live'!$C$23</f>
        <v/>
      </c>
      <c r="R502" t="inlineStr">
        <is>
          <t>shuffled: 192 of 10,000</t>
        </is>
      </c>
      <c r="S502" t="inlineStr">
        <is>
          <t>shuffled: 6,328 of 10,000</t>
        </is>
      </c>
      <c r="T502" t="n">
        <v>0.1269882155887108</v>
      </c>
      <c r="U502" t="n">
        <v>0.1642297514111225</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0.1575057851966389</v>
      </c>
      <c r="AI502">
        <f>IF($Y502="worse","Yes",IF($Y502="worse, not significant","Not sure",IF(OR($Y502="too few losses to test",$Y502="too few loans to test"),"Too few losses",IF($Y502="","","No"))))</f>
        <v/>
      </c>
      <c r="AJ502">
        <f>IF($AA502="yes","Yes",IF($AA502="","","No"))</f>
        <v/>
      </c>
    </row>
    <row r="503">
      <c r="A503" t="inlineStr">
        <is>
          <t>three-way</t>
        </is>
      </c>
      <c r="B503" t="inlineStr">
        <is>
          <t>FICO x CHANNEL / REV_DEBT</t>
        </is>
      </c>
      <c r="C503" t="inlineStr">
        <is>
          <t>654 - 685</t>
        </is>
      </c>
      <c r="D503" t="inlineStr">
        <is>
          <t>Branch / REV_DEBT low half</t>
        </is>
      </c>
      <c r="E503" t="inlineStr">
        <is>
          <t>contribution_rate</t>
        </is>
      </c>
      <c r="F503" t="inlineStr">
        <is>
          <t>Contribution before losses per booked dollar</t>
        </is>
      </c>
      <c r="G503" t="n">
        <v>252</v>
      </c>
      <c r="H503" t="n">
        <v>8471898.719999995</v>
      </c>
      <c r="I503" t="b">
        <v>0</v>
      </c>
      <c r="J503" t="b">
        <v>0</v>
      </c>
      <c r="K503" t="n">
        <v>0.03105878091388725</v>
      </c>
      <c r="L503" t="n">
        <v>0.00073992600739926</v>
      </c>
      <c r="M503" t="n">
        <v>-0.0104529725584005</v>
      </c>
      <c r="N503" t="n">
        <v>0.3310032633100327</v>
      </c>
      <c r="O503" t="n">
        <v>-263126.8462691216</v>
      </c>
      <c r="P503" t="n">
        <v>88556.52483770833</v>
      </c>
      <c r="Q503">
        <f>'_live'!$C$24</f>
        <v/>
      </c>
      <c r="R503" t="inlineStr">
        <is>
          <t>shuffled: 4 of 10,000</t>
        </is>
      </c>
      <c r="S503" t="inlineStr">
        <is>
          <t>shuffled: 2,018 of 10,000</t>
        </is>
      </c>
      <c r="T503" t="n">
        <v>0.168572697919467</v>
      </c>
      <c r="U503" t="n">
        <v>0.2100844513917547</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0.1996314788333542</v>
      </c>
      <c r="AI503">
        <f>IF($Y503="worse","Yes",IF($Y503="worse, not significant","Not sure",IF(OR($Y503="too few losses to test",$Y503="too few loans to test"),"Too few losses",IF($Y503="","","No"))))</f>
        <v/>
      </c>
      <c r="AJ503">
        <f>IF($AA503="yes","Yes",IF($AA503="","","No"))</f>
        <v/>
      </c>
    </row>
    <row r="504">
      <c r="A504" t="inlineStr">
        <is>
          <t>three-way</t>
        </is>
      </c>
      <c r="B504" t="inlineStr">
        <is>
          <t>FICO x CHANNEL / REV_DEBT</t>
        </is>
      </c>
      <c r="C504" t="inlineStr">
        <is>
          <t>654 - 685</t>
        </is>
      </c>
      <c r="D504" t="inlineStr">
        <is>
          <t>Online / REV_DEBT high half</t>
        </is>
      </c>
      <c r="E504" t="inlineStr">
        <is>
          <t>outcome_loans</t>
        </is>
      </c>
      <c r="F504" t="inlineStr">
        <is>
          <t>Outcome, share of loans</t>
        </is>
      </c>
      <c r="G504" t="n">
        <v>252</v>
      </c>
      <c r="H504" t="n">
        <v>252</v>
      </c>
      <c r="I504" t="b">
        <v>0</v>
      </c>
      <c r="J504" t="b">
        <v>0</v>
      </c>
      <c r="K504" t="n">
        <v>1.51105057842346</v>
      </c>
      <c r="L504" t="n">
        <v>0.052602495012138</v>
      </c>
      <c r="M504" t="n">
        <v>1.466407355021216</v>
      </c>
      <c r="N504" t="n">
        <v>0.1381316222537689</v>
      </c>
      <c r="O504" t="n">
        <v>9.80805473086356</v>
      </c>
      <c r="P504" t="n">
        <v>9.223776223776223</v>
      </c>
      <c r="Q504">
        <f>'_live'!$C$20</f>
        <v/>
      </c>
      <c r="R504" t="inlineStr">
        <is>
          <t>z test</t>
        </is>
      </c>
      <c r="S504" t="inlineStr">
        <is>
          <t>z test</t>
        </is>
      </c>
      <c r="T504" t="n">
        <v>0.07615851297276365</v>
      </c>
      <c r="U504" t="n">
        <v>0.07847707847707848</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0.1150793650793651</v>
      </c>
      <c r="AI504">
        <f>IF($Y504="worse","Yes",IF($Y504="worse, not significant","Not sure",IF(OR($Y504="too few losses to test",$Y504="too few loans to test"),"Too few losses",IF($Y504="","","No"))))</f>
        <v/>
      </c>
      <c r="AJ504">
        <f>IF($AA504="yes","Yes",IF($AA504="","","No"))</f>
        <v/>
      </c>
    </row>
    <row r="505">
      <c r="A505" t="inlineStr">
        <is>
          <t>three-way</t>
        </is>
      </c>
      <c r="B505" t="inlineStr">
        <is>
          <t>FICO x CHANNEL / REV_DEBT</t>
        </is>
      </c>
      <c r="C505" t="inlineStr">
        <is>
          <t>654 - 685</t>
        </is>
      </c>
      <c r="D505" t="inlineStr">
        <is>
          <t>Online / REV_DEBT high half</t>
        </is>
      </c>
      <c r="E505" t="inlineStr">
        <is>
          <t>outcome_booked</t>
        </is>
      </c>
      <c r="F505" t="inlineStr">
        <is>
          <t>Outcome, share of booked dollars</t>
        </is>
      </c>
      <c r="G505" t="n">
        <v>252</v>
      </c>
      <c r="H505" t="n">
        <v>7627316.480000005</v>
      </c>
      <c r="I505" t="b">
        <v>0</v>
      </c>
      <c r="J505" t="b">
        <v>0</v>
      </c>
      <c r="K505" t="n">
        <v>1.569806704507851</v>
      </c>
      <c r="L505" t="n">
        <v>0.07654948790835203</v>
      </c>
      <c r="M505" t="n">
        <v>1.575184781023838</v>
      </c>
      <c r="N505" t="n">
        <v>0.0978679909786799</v>
      </c>
      <c r="O505" t="n">
        <v>319826.5238016953</v>
      </c>
      <c r="P505" t="n">
        <v>321742.9071672031</v>
      </c>
      <c r="Q505">
        <f>'_live'!$C$21</f>
        <v/>
      </c>
      <c r="R505" t="inlineStr">
        <is>
          <t>shuffled: 232 of 10,000</t>
        </is>
      </c>
      <c r="S505" t="inlineStr">
        <is>
          <t>shuffled: 382 of 10,000</t>
        </is>
      </c>
      <c r="T505" t="n">
        <v>0.07358938201529885</v>
      </c>
      <c r="U505" t="n">
        <v>0.07333812938004597</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0.1155211052682056</v>
      </c>
      <c r="AI505">
        <f>IF($Y505="worse","Yes",IF($Y505="worse, not significant","Not sure",IF(OR($Y505="too few losses to test",$Y505="too few loans to test"),"Too few losses",IF($Y505="","","No"))))</f>
        <v/>
      </c>
      <c r="AJ505">
        <f>IF($AA505="yes","Yes",IF($AA505="","","No"))</f>
        <v/>
      </c>
    </row>
    <row r="506">
      <c r="A506" t="inlineStr">
        <is>
          <t>three-way</t>
        </is>
      </c>
      <c r="B506" t="inlineStr">
        <is>
          <t>FICO x CHANNEL / REV_DEBT</t>
        </is>
      </c>
      <c r="C506" t="inlineStr">
        <is>
          <t>654 - 685</t>
        </is>
      </c>
      <c r="D506" t="inlineStr">
        <is>
          <t>Online / REV_DEBT high half</t>
        </is>
      </c>
      <c r="E506" t="inlineStr">
        <is>
          <t>gco_rate</t>
        </is>
      </c>
      <c r="F506" t="inlineStr">
        <is>
          <t>GCO per booked dollar</t>
        </is>
      </c>
      <c r="G506" t="n">
        <v>252</v>
      </c>
      <c r="H506" t="n">
        <v>7627316.480000005</v>
      </c>
      <c r="I506" t="b">
        <v>0</v>
      </c>
      <c r="J506" t="b">
        <v>0</v>
      </c>
      <c r="K506" t="n">
        <v>1.629834327036447</v>
      </c>
      <c r="L506" t="n">
        <v>0.04915758424157584</v>
      </c>
      <c r="M506" t="n">
        <v>1.611463448498021</v>
      </c>
      <c r="N506" t="n">
        <v>0.09045762090457621</v>
      </c>
      <c r="O506" t="n">
        <v>196216.307695883</v>
      </c>
      <c r="P506" t="n">
        <v>192664.7551956112</v>
      </c>
      <c r="Q506">
        <f>'_live'!$C$22</f>
        <v/>
      </c>
      <c r="R506" t="inlineStr">
        <is>
          <t>shuffled: 170 of 10,000</t>
        </is>
      </c>
      <c r="S506" t="inlineStr">
        <is>
          <t>shuffled: 353 of 10,000</t>
        </is>
      </c>
      <c r="T506" t="n">
        <v>0.04084482178247267</v>
      </c>
      <c r="U506" t="n">
        <v>0.0413104576990607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0.06657029262275997</v>
      </c>
      <c r="AI506">
        <f>IF($Y506="worse","Yes",IF($Y506="worse, not significant","Not sure",IF(OR($Y506="too few losses to test",$Y506="too few loans to test"),"Too few losses",IF($Y506="","","No"))))</f>
        <v/>
      </c>
      <c r="AJ506">
        <f>IF($AA506="yes","Yes",IF($AA506="","","No"))</f>
        <v/>
      </c>
    </row>
    <row r="507">
      <c r="A507" t="inlineStr">
        <is>
          <t>three-way</t>
        </is>
      </c>
      <c r="B507" t="inlineStr">
        <is>
          <t>FICO x CHANNEL / REV_DEBT</t>
        </is>
      </c>
      <c r="C507" t="inlineStr">
        <is>
          <t>654 - 685</t>
        </is>
      </c>
      <c r="D507" t="inlineStr">
        <is>
          <t>Online / REV_DEBT high half</t>
        </is>
      </c>
      <c r="E507" t="inlineStr">
        <is>
          <t>ranr_rate</t>
        </is>
      </c>
      <c r="F507" t="inlineStr">
        <is>
          <t>Profit after losses: RANR per booked dollar</t>
        </is>
      </c>
      <c r="G507" t="n">
        <v>252</v>
      </c>
      <c r="H507" t="n">
        <v>7627316.480000005</v>
      </c>
      <c r="I507" t="b">
        <v>0</v>
      </c>
      <c r="J507" t="b">
        <v>0</v>
      </c>
      <c r="K507" t="n">
        <v>0.03119356068665904</v>
      </c>
      <c r="L507" t="n">
        <v>0.02906852171925665</v>
      </c>
      <c r="M507" t="n">
        <v>-0.005693781433586759</v>
      </c>
      <c r="N507" t="n">
        <v>0.8927107289271073</v>
      </c>
      <c r="O507" t="n">
        <v>-237923.1594952347</v>
      </c>
      <c r="P507" t="n">
        <v>43428.27296191431</v>
      </c>
      <c r="Q507">
        <f>'_live'!$C$23</f>
        <v/>
      </c>
      <c r="R507" t="inlineStr">
        <is>
          <t>shuffled: 164 of 10,000</t>
        </is>
      </c>
      <c r="S507" t="inlineStr">
        <is>
          <t>shuffled: 6,960 of 10,000</t>
        </is>
      </c>
      <c r="T507" t="n">
        <v>0.1270681114447167</v>
      </c>
      <c r="U507" t="n">
        <v>0.1639554535649625</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0.1582616721313757</v>
      </c>
      <c r="AI507">
        <f>IF($Y507="worse","Yes",IF($Y507="worse, not significant","Not sure",IF(OR($Y507="too few losses to test",$Y507="too few loans to test"),"Too few losses",IF($Y507="","","No"))))</f>
        <v/>
      </c>
      <c r="AJ507">
        <f>IF($AA507="yes","Yes",IF($AA507="","","No"))</f>
        <v/>
      </c>
    </row>
    <row r="508">
      <c r="A508" t="inlineStr">
        <is>
          <t>three-way</t>
        </is>
      </c>
      <c r="B508" t="inlineStr">
        <is>
          <t>FICO x CHANNEL / REV_DEBT</t>
        </is>
      </c>
      <c r="C508" t="inlineStr">
        <is>
          <t>654 - 685</t>
        </is>
      </c>
      <c r="D508" t="inlineStr">
        <is>
          <t>Online / REV_DEBT high half</t>
        </is>
      </c>
      <c r="E508" t="inlineStr">
        <is>
          <t>contribution_rate</t>
        </is>
      </c>
      <c r="F508" t="inlineStr">
        <is>
          <t>Contribution before losses per booked dollar</t>
        </is>
      </c>
      <c r="G508" t="n">
        <v>252</v>
      </c>
      <c r="H508" t="n">
        <v>7627316.480000005</v>
      </c>
      <c r="I508" t="b">
        <v>0</v>
      </c>
      <c r="J508" t="b">
        <v>0</v>
      </c>
      <c r="K508" t="n">
        <v>0.05692212397885227</v>
      </c>
      <c r="L508" t="n">
        <v>0.0001761728589045857</v>
      </c>
      <c r="M508" t="n">
        <v>0.01956605349011262</v>
      </c>
      <c r="N508" t="n">
        <v>0.04072092790720928</v>
      </c>
      <c r="O508" t="n">
        <v>-434163.0543005033</v>
      </c>
      <c r="P508" t="n">
        <v>-149236.4822336975</v>
      </c>
      <c r="Q508">
        <f>'_live'!$C$24</f>
        <v/>
      </c>
      <c r="R508" t="inlineStr">
        <is>
          <t>shuffled: 0 of 10,000</t>
        </is>
      </c>
      <c r="S508" t="inlineStr">
        <is>
          <t>shuffled: 179 of 10,000</t>
        </is>
      </c>
      <c r="T508" t="n">
        <v>0.1679098407752835</v>
      </c>
      <c r="U508" t="n">
        <v>0.2052659112640232</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0.2248319647541358</v>
      </c>
      <c r="AI508">
        <f>IF($Y508="worse","Yes",IF($Y508="worse, not significant","Not sure",IF(OR($Y508="too few losses to test",$Y508="too few loans to test"),"Too few losses",IF($Y508="","","No"))))</f>
        <v/>
      </c>
      <c r="AJ508">
        <f>IF($AA508="yes","Yes",IF($AA508="","","No"))</f>
        <v/>
      </c>
    </row>
    <row r="509">
      <c r="A509" t="inlineStr">
        <is>
          <t>three-way</t>
        </is>
      </c>
      <c r="B509" t="inlineStr">
        <is>
          <t>FICO x CHANNEL / REV_DEBT</t>
        </is>
      </c>
      <c r="C509" t="inlineStr">
        <is>
          <t>654 - 685</t>
        </is>
      </c>
      <c r="D509" t="inlineStr">
        <is>
          <t>Online / REV_DEBT low half</t>
        </is>
      </c>
      <c r="E509" t="inlineStr">
        <is>
          <t>outcome_loans</t>
        </is>
      </c>
      <c r="F509" t="inlineStr">
        <is>
          <t>Outcome, share of loans</t>
        </is>
      </c>
      <c r="G509" t="n">
        <v>253</v>
      </c>
      <c r="H509" t="n">
        <v>253</v>
      </c>
      <c r="I509" t="b">
        <v>0</v>
      </c>
      <c r="J509" t="b">
        <v>0</v>
      </c>
      <c r="K509" t="n">
        <v>0.6567917661331351</v>
      </c>
      <c r="L509" t="n">
        <v>0.168319370606903</v>
      </c>
      <c r="M509" t="n">
        <v>0.56477821695213</v>
      </c>
      <c r="N509" t="n">
        <v>0.1104760095678053</v>
      </c>
      <c r="O509" t="n">
        <v>-6.793183578621225</v>
      </c>
      <c r="P509" t="n">
        <v>-10.01788491446345</v>
      </c>
      <c r="Q509">
        <f>'_live'!$C$20</f>
        <v/>
      </c>
      <c r="R509" t="inlineStr">
        <is>
          <t>z test</t>
        </is>
      </c>
      <c r="S509" t="inlineStr">
        <is>
          <t>z test</t>
        </is>
      </c>
      <c r="T509" t="n">
        <v>0.07823392718822618</v>
      </c>
      <c r="U509" t="n">
        <v>0.09097978227060653</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0.05138339920948617</v>
      </c>
      <c r="AI509">
        <f>IF($Y509="worse","Yes",IF($Y509="worse, not significant","Not sure",IF(OR($Y509="too few losses to test",$Y509="too few loans to test"),"Too few losses",IF($Y509="","","No"))))</f>
        <v/>
      </c>
      <c r="AJ509">
        <f>IF($AA509="yes","Yes",IF($AA509="","","No"))</f>
        <v/>
      </c>
    </row>
    <row r="510">
      <c r="A510" t="inlineStr">
        <is>
          <t>three-way</t>
        </is>
      </c>
      <c r="B510" t="inlineStr">
        <is>
          <t>FICO x CHANNEL / REV_DEBT</t>
        </is>
      </c>
      <c r="C510" t="inlineStr">
        <is>
          <t>654 - 685</t>
        </is>
      </c>
      <c r="D510" t="inlineStr">
        <is>
          <t>Online / REV_DEBT low half</t>
        </is>
      </c>
      <c r="E510" t="inlineStr">
        <is>
          <t>outcome_booked</t>
        </is>
      </c>
      <c r="F510" t="inlineStr">
        <is>
          <t>Outcome, share of booked dollars</t>
        </is>
      </c>
      <c r="G510" t="n">
        <v>253</v>
      </c>
      <c r="H510" t="n">
        <v>8224286.019999999</v>
      </c>
      <c r="I510" t="b">
        <v>0</v>
      </c>
      <c r="J510" t="b">
        <v>0</v>
      </c>
      <c r="K510" t="n">
        <v>0.5428754712004802</v>
      </c>
      <c r="L510" t="n">
        <v>0.1144577849907317</v>
      </c>
      <c r="M510" t="n">
        <v>0.4706727986938429</v>
      </c>
      <c r="N510" t="n">
        <v>0.06496850314968503</v>
      </c>
      <c r="O510" t="n">
        <v>-285480.2957777334</v>
      </c>
      <c r="P510" t="n">
        <v>-381282.5625624704</v>
      </c>
      <c r="Q510">
        <f>'_live'!$C$21</f>
        <v/>
      </c>
      <c r="R510" t="inlineStr">
        <is>
          <t>shuffled: 605 of 10,000</t>
        </is>
      </c>
      <c r="S510" t="inlineStr">
        <is>
          <t>shuffled: 225 of 10,000</t>
        </is>
      </c>
      <c r="T510" t="n">
        <v>0.07593524644680749</v>
      </c>
      <c r="U510" t="n">
        <v>0.08758394963535943</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0.0412233826955352</v>
      </c>
      <c r="AI510">
        <f>IF($Y510="worse","Yes",IF($Y510="worse, not significant","Not sure",IF(OR($Y510="too few losses to test",$Y510="too few loans to test"),"Too few losses",IF($Y510="","","No"))))</f>
        <v/>
      </c>
      <c r="AJ510">
        <f>IF($AA510="yes","Yes",IF($AA510="","","No"))</f>
        <v/>
      </c>
    </row>
    <row r="511">
      <c r="A511" t="inlineStr">
        <is>
          <t>three-way</t>
        </is>
      </c>
      <c r="B511" t="inlineStr">
        <is>
          <t>FICO x CHANNEL / REV_DEBT</t>
        </is>
      </c>
      <c r="C511" t="inlineStr">
        <is>
          <t>654 - 685</t>
        </is>
      </c>
      <c r="D511" t="inlineStr">
        <is>
          <t>Online / REV_DEBT low half</t>
        </is>
      </c>
      <c r="E511" t="inlineStr">
        <is>
          <t>gco_rate</t>
        </is>
      </c>
      <c r="F511" t="inlineStr">
        <is>
          <t>GCO per booked dollar</t>
        </is>
      </c>
      <c r="G511" t="n">
        <v>253</v>
      </c>
      <c r="H511" t="n">
        <v>8224286.019999999</v>
      </c>
      <c r="I511" t="b">
        <v>0</v>
      </c>
      <c r="J511" t="b">
        <v>0</v>
      </c>
      <c r="K511" t="n">
        <v>0.5234000087392424</v>
      </c>
      <c r="L511" t="n">
        <v>0.1192047461920475</v>
      </c>
      <c r="M511" t="n">
        <v>0.4437098767580837</v>
      </c>
      <c r="N511" t="n">
        <v>0.06669333066693331</v>
      </c>
      <c r="O511" t="n">
        <v>-165595.4837247521</v>
      </c>
      <c r="P511" t="n">
        <v>-227997.6847442742</v>
      </c>
      <c r="Q511">
        <f>'_live'!$C$22</f>
        <v/>
      </c>
      <c r="R511" t="inlineStr">
        <is>
          <t>shuffled: 621 of 10,000</t>
        </is>
      </c>
      <c r="S511" t="inlineStr">
        <is>
          <t>shuffled: 202 of 10,000</t>
        </is>
      </c>
      <c r="T511" t="n">
        <v>0.04224703674942864</v>
      </c>
      <c r="U511" t="n">
        <v>0.04983458913607606</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0.02211209940385804</v>
      </c>
      <c r="AI511">
        <f>IF($Y511="worse","Yes",IF($Y511="worse, not significant","Not sure",IF(OR($Y511="too few losses to test",$Y511="too few loans to test"),"Too few losses",IF($Y511="","","No"))))</f>
        <v/>
      </c>
      <c r="AJ511">
        <f>IF($AA511="yes","Yes",IF($AA511="","","No"))</f>
        <v/>
      </c>
    </row>
    <row r="512">
      <c r="A512" t="inlineStr">
        <is>
          <t>three-way</t>
        </is>
      </c>
      <c r="B512" t="inlineStr">
        <is>
          <t>FICO x CHANNEL / REV_DEBT</t>
        </is>
      </c>
      <c r="C512" t="inlineStr">
        <is>
          <t>654 - 685</t>
        </is>
      </c>
      <c r="D512" t="inlineStr">
        <is>
          <t>Online / REV_DEBT low half</t>
        </is>
      </c>
      <c r="E512" t="inlineStr">
        <is>
          <t>ranr_rate</t>
        </is>
      </c>
      <c r="F512" t="inlineStr">
        <is>
          <t>Profit after losses: RANR per booked dollar</t>
        </is>
      </c>
      <c r="G512" t="n">
        <v>253</v>
      </c>
      <c r="H512" t="n">
        <v>8224286.019999999</v>
      </c>
      <c r="I512" t="b">
        <v>0</v>
      </c>
      <c r="J512" t="b">
        <v>0</v>
      </c>
      <c r="K512" t="n">
        <v>0.07794666099478165</v>
      </c>
      <c r="L512" t="n">
        <v>0.0002466420024664201</v>
      </c>
      <c r="M512" t="n">
        <v>0.04845189867911226</v>
      </c>
      <c r="N512" t="n">
        <v>0.0080991900809919</v>
      </c>
      <c r="O512" t="n">
        <v>-641055.6343250619</v>
      </c>
      <c r="P512" t="n">
        <v>-398482.2729490795</v>
      </c>
      <c r="Q512">
        <f>'_live'!$C$23</f>
        <v/>
      </c>
      <c r="R512" t="inlineStr">
        <is>
          <t>shuffled: 0 of 10,000</t>
        </is>
      </c>
      <c r="S512" t="inlineStr">
        <is>
          <t>shuffled: 8 of 10,000</t>
        </is>
      </c>
      <c r="T512" t="n">
        <v>0.1255059968932036</v>
      </c>
      <c r="U512" t="n">
        <v>0.155000759208873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0.2034526578879852</v>
      </c>
      <c r="AI512">
        <f>IF($Y512="worse","Yes",IF($Y512="worse, not significant","Not sure",IF(OR($Y512="too few losses to test",$Y512="too few loans to test"),"Too few losses",IF($Y512="","","No"))))</f>
        <v/>
      </c>
      <c r="AJ512">
        <f>IF($AA512="yes","Yes",IF($AA512="","","No"))</f>
        <v/>
      </c>
    </row>
    <row r="513">
      <c r="A513" t="inlineStr">
        <is>
          <t>three-way</t>
        </is>
      </c>
      <c r="B513" t="inlineStr">
        <is>
          <t>FICO x CHANNEL / REV_DEBT</t>
        </is>
      </c>
      <c r="C513" t="inlineStr">
        <is>
          <t>654 - 685</t>
        </is>
      </c>
      <c r="D513" t="inlineStr">
        <is>
          <t>Online / REV_DEBT low half</t>
        </is>
      </c>
      <c r="E513" t="inlineStr">
        <is>
          <t>contribution_rate</t>
        </is>
      </c>
      <c r="F513" t="inlineStr">
        <is>
          <t>Contribution before losses per booked dollar</t>
        </is>
      </c>
      <c r="G513" t="n">
        <v>253</v>
      </c>
      <c r="H513" t="n">
        <v>8224286.019999999</v>
      </c>
      <c r="I513" t="b">
        <v>0</v>
      </c>
      <c r="J513" t="b">
        <v>0</v>
      </c>
      <c r="K513" t="n">
        <v>0.05781507165188321</v>
      </c>
      <c r="L513" t="n">
        <v>0.0001761728589045857</v>
      </c>
      <c r="M513" t="n">
        <v>0.02072940894689423</v>
      </c>
      <c r="N513" t="n">
        <v>0.02353610792766877</v>
      </c>
      <c r="O513" t="n">
        <v>-475487.6855318812</v>
      </c>
      <c r="P513" t="n">
        <v>-170484.588204805</v>
      </c>
      <c r="Q513">
        <f>'_live'!$C$24</f>
        <v/>
      </c>
      <c r="R513" t="inlineStr">
        <is>
          <t>shuffled: 0 of 10,000</t>
        </is>
      </c>
      <c r="S513" t="inlineStr">
        <is>
          <t>shuffled: 84 of 10,000</t>
        </is>
      </c>
      <c r="T513" t="n">
        <v>0.1677496856399601</v>
      </c>
      <c r="U513" t="n">
        <v>0.2048353483449491</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0.2255647572918433</v>
      </c>
      <c r="AI513">
        <f>IF($Y513="worse","Yes",IF($Y513="worse, not significant","Not sure",IF(OR($Y513="too few losses to test",$Y513="too few loans to test"),"Too few losses",IF($Y513="","","No"))))</f>
        <v/>
      </c>
      <c r="AJ513">
        <f>IF($AA513="yes","Yes",IF($AA513="","","No"))</f>
        <v/>
      </c>
    </row>
    <row r="514">
      <c r="A514" t="inlineStr">
        <is>
          <t>three-way</t>
        </is>
      </c>
      <c r="B514" t="inlineStr">
        <is>
          <t>FICO x CHANNEL / REV_DEBT</t>
        </is>
      </c>
      <c r="C514" t="inlineStr">
        <is>
          <t>686 - 711</t>
        </is>
      </c>
      <c r="D514" t="inlineStr">
        <is>
          <t>Online / REV_DEBT low half</t>
        </is>
      </c>
      <c r="E514" t="inlineStr">
        <is>
          <t>outcome_loans</t>
        </is>
      </c>
      <c r="F514" t="inlineStr">
        <is>
          <t>Outcome, share of loans</t>
        </is>
      </c>
      <c r="G514" t="n">
        <v>273</v>
      </c>
      <c r="H514" t="n">
        <v>273</v>
      </c>
      <c r="I514" t="b">
        <v>0</v>
      </c>
      <c r="J514" t="b">
        <v>0</v>
      </c>
      <c r="K514" t="n">
        <v>0.4647022381012529</v>
      </c>
      <c r="L514" t="n">
        <v>0.03963584572235185</v>
      </c>
      <c r="M514" t="n">
        <v>0.5490246187920607</v>
      </c>
      <c r="N514" t="n">
        <v>0.1381316222537689</v>
      </c>
      <c r="O514" t="n">
        <v>-11.51915609629821</v>
      </c>
      <c r="P514" t="n">
        <v>-8.214119472459274</v>
      </c>
      <c r="Q514">
        <f>'_live'!$C$20</f>
        <v/>
      </c>
      <c r="R514" t="inlineStr">
        <is>
          <t>z test</t>
        </is>
      </c>
      <c r="S514" t="inlineStr">
        <is>
          <t>z test</t>
        </is>
      </c>
      <c r="T514" t="n">
        <v>0.07882474760548797</v>
      </c>
      <c r="U514" t="n">
        <v>0.06671838634600466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0.03663003663003663</v>
      </c>
      <c r="AI514">
        <f>IF($Y514="worse","Yes",IF($Y514="worse, not significant","Not sure",IF(OR($Y514="too few losses to test",$Y514="too few loans to test"),"Too few losses",IF($Y514="","","No"))))</f>
        <v/>
      </c>
      <c r="AJ514">
        <f>IF($AA514="yes","Yes",IF($AA514="","","No"))</f>
        <v/>
      </c>
    </row>
    <row r="515">
      <c r="A515" t="inlineStr">
        <is>
          <t>three-way</t>
        </is>
      </c>
      <c r="B515" t="inlineStr">
        <is>
          <t>FICO x CHANNEL / REV_DEBT</t>
        </is>
      </c>
      <c r="C515" t="inlineStr">
        <is>
          <t>686 - 711</t>
        </is>
      </c>
      <c r="D515" t="inlineStr">
        <is>
          <t>Online / REV_DEBT low half</t>
        </is>
      </c>
      <c r="E515" t="inlineStr">
        <is>
          <t>outcome_booked</t>
        </is>
      </c>
      <c r="F515" t="inlineStr">
        <is>
          <t>Outcome, share of booked dollars</t>
        </is>
      </c>
      <c r="G515" t="n">
        <v>273</v>
      </c>
      <c r="H515" t="n">
        <v>8648118.250000007</v>
      </c>
      <c r="I515" t="b">
        <v>0</v>
      </c>
      <c r="J515" t="b">
        <v>0</v>
      </c>
      <c r="K515" t="n">
        <v>0.5636960279336429</v>
      </c>
      <c r="L515" t="n">
        <v>0.1144577849907317</v>
      </c>
      <c r="M515" t="n">
        <v>0.7166554141740161</v>
      </c>
      <c r="N515" t="n">
        <v>0.5996650334966503</v>
      </c>
      <c r="O515" t="n">
        <v>-286534.9273858843</v>
      </c>
      <c r="P515" t="n">
        <v>-146365.2262101407</v>
      </c>
      <c r="Q515">
        <f>'_live'!$C$21</f>
        <v/>
      </c>
      <c r="R515" t="inlineStr">
        <is>
          <t>shuffled: 610 of 10,000</t>
        </is>
      </c>
      <c r="S515" t="inlineStr">
        <is>
          <t>shuffled: 3,128 of 10,000</t>
        </is>
      </c>
      <c r="T515" t="n">
        <v>0.07593933366786279</v>
      </c>
      <c r="U515" t="n">
        <v>0.05973121796873444</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0.04280670075250181</v>
      </c>
      <c r="AI515">
        <f>IF($Y515="worse","Yes",IF($Y515="worse, not significant","Not sure",IF(OR($Y515="too few losses to test",$Y515="too few loans to test"),"Too few losses",IF($Y515="","","No"))))</f>
        <v/>
      </c>
      <c r="AJ515">
        <f>IF($AA515="yes","Yes",IF($AA515="","","No"))</f>
        <v/>
      </c>
    </row>
    <row r="516">
      <c r="A516" t="inlineStr">
        <is>
          <t>three-way</t>
        </is>
      </c>
      <c r="B516" t="inlineStr">
        <is>
          <t>FICO x CHANNEL / REV_DEBT</t>
        </is>
      </c>
      <c r="C516" t="inlineStr">
        <is>
          <t>686 - 711</t>
        </is>
      </c>
      <c r="D516" t="inlineStr">
        <is>
          <t>Online / REV_DEBT low half</t>
        </is>
      </c>
      <c r="E516" t="inlineStr">
        <is>
          <t>gco_rate</t>
        </is>
      </c>
      <c r="F516" t="inlineStr">
        <is>
          <t>GCO per booked dollar</t>
        </is>
      </c>
      <c r="G516" t="n">
        <v>273</v>
      </c>
      <c r="H516" t="n">
        <v>8648118.250000007</v>
      </c>
      <c r="I516" t="b">
        <v>0</v>
      </c>
      <c r="J516" t="b">
        <v>0</v>
      </c>
      <c r="K516" t="n">
        <v>0.468393919460791</v>
      </c>
      <c r="L516" t="n">
        <v>0.06272100062721001</v>
      </c>
      <c r="M516" t="n">
        <v>0.5853225588170431</v>
      </c>
      <c r="N516" t="n">
        <v>0.326149203261492</v>
      </c>
      <c r="O516" t="n">
        <v>-194745.5770164011</v>
      </c>
      <c r="P516" t="n">
        <v>-121563.7417370081</v>
      </c>
      <c r="Q516">
        <f>'_live'!$C$22</f>
        <v/>
      </c>
      <c r="R516" t="inlineStr">
        <is>
          <t>shuffled: 287 of 10,000</t>
        </is>
      </c>
      <c r="S516" t="inlineStr">
        <is>
          <t>shuffled: 1,462 of 10,000</t>
        </is>
      </c>
      <c r="T516" t="n">
        <v>0.04236000901310534</v>
      </c>
      <c r="U516" t="n">
        <v>0.03389784034659885</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0.01984117065004284</v>
      </c>
      <c r="AI516">
        <f>IF($Y516="worse","Yes",IF($Y516="worse, not significant","Not sure",IF(OR($Y516="too few losses to test",$Y516="too few loans to test"),"Too few losses",IF($Y516="","","No"))))</f>
        <v/>
      </c>
      <c r="AJ516">
        <f>IF($AA516="yes","Yes",IF($AA516="","","No"))</f>
        <v/>
      </c>
    </row>
    <row r="517">
      <c r="A517" t="inlineStr">
        <is>
          <t>three-way</t>
        </is>
      </c>
      <c r="B517" t="inlineStr">
        <is>
          <t>FICO x CHANNEL / REV_DEBT</t>
        </is>
      </c>
      <c r="C517" t="inlineStr">
        <is>
          <t>686 - 711</t>
        </is>
      </c>
      <c r="D517" t="inlineStr">
        <is>
          <t>Online / REV_DEBT low half</t>
        </is>
      </c>
      <c r="E517" t="inlineStr">
        <is>
          <t>ranr_rate</t>
        </is>
      </c>
      <c r="F517" t="inlineStr">
        <is>
          <t>Profit after losses: RANR per booked dollar</t>
        </is>
      </c>
      <c r="G517" t="n">
        <v>273</v>
      </c>
      <c r="H517" t="n">
        <v>8648118.250000007</v>
      </c>
      <c r="I517" t="b">
        <v>0</v>
      </c>
      <c r="J517" t="b">
        <v>0</v>
      </c>
      <c r="K517" t="n">
        <v>0.070178167936018</v>
      </c>
      <c r="L517" t="n">
        <v>0.0002466420024664201</v>
      </c>
      <c r="M517" t="n">
        <v>0.06489973087959103</v>
      </c>
      <c r="N517" t="n">
        <v>0.0017998200179982</v>
      </c>
      <c r="O517" t="n">
        <v>-606909.0948790426</v>
      </c>
      <c r="P517" t="n">
        <v>-561260.5470398802</v>
      </c>
      <c r="Q517">
        <f>'_live'!$C$23</f>
        <v/>
      </c>
      <c r="R517" t="inlineStr">
        <is>
          <t>shuffled: 0 of 10,000</t>
        </is>
      </c>
      <c r="S517" t="inlineStr">
        <is>
          <t>shuffled: 0 of 10,000</t>
        </is>
      </c>
      <c r="T517" t="n">
        <v>0.1256383127186031</v>
      </c>
      <c r="U517" t="n">
        <v>0.13091674977503</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0.1958164806546211</v>
      </c>
      <c r="AI517">
        <f>IF($Y517="worse","Yes",IF($Y517="worse, not significant","Not sure",IF(OR($Y517="too few losses to test",$Y517="too few loans to test"),"Too few losses",IF($Y517="","","No"))))</f>
        <v/>
      </c>
      <c r="AJ517">
        <f>IF($AA517="yes","Yes",IF($AA517="","","No"))</f>
        <v/>
      </c>
    </row>
    <row r="518">
      <c r="A518" t="inlineStr">
        <is>
          <t>three-way</t>
        </is>
      </c>
      <c r="B518" t="inlineStr">
        <is>
          <t>FICO x CHANNEL / REV_DEBT</t>
        </is>
      </c>
      <c r="C518" t="inlineStr">
        <is>
          <t>686 - 711</t>
        </is>
      </c>
      <c r="D518" t="inlineStr">
        <is>
          <t>Online / REV_DEBT low half</t>
        </is>
      </c>
      <c r="E518" t="inlineStr">
        <is>
          <t>contribution_rate</t>
        </is>
      </c>
      <c r="F518" t="inlineStr">
        <is>
          <t>Contribution before losses per booked dollar</t>
        </is>
      </c>
      <c r="G518" t="n">
        <v>273</v>
      </c>
      <c r="H518" t="n">
        <v>8648118.250000007</v>
      </c>
      <c r="I518" t="b">
        <v>0</v>
      </c>
      <c r="J518" t="b">
        <v>0</v>
      </c>
      <c r="K518" t="n">
        <v>0.04766266221001361</v>
      </c>
      <c r="L518" t="n">
        <v>0.0001761728589045857</v>
      </c>
      <c r="M518" t="n">
        <v>0.05084306118303489</v>
      </c>
      <c r="N518" t="n">
        <v>0.0005142342908566286</v>
      </c>
      <c r="O518" t="n">
        <v>-412192.3389020043</v>
      </c>
      <c r="P518" t="n">
        <v>-439696.8053028709</v>
      </c>
      <c r="Q518">
        <f>'_live'!$C$24</f>
        <v/>
      </c>
      <c r="R518" t="inlineStr">
        <is>
          <t>shuffled: 0 of 10,000</t>
        </is>
      </c>
      <c r="S518" t="inlineStr">
        <is>
          <t>shuffled: 0 of 10,000</t>
        </is>
      </c>
      <c r="T518" t="n">
        <v>0.1679949890946502</v>
      </c>
      <c r="U518" t="n">
        <v>0.1648145901216289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0.2156576513046638</v>
      </c>
      <c r="AI518">
        <f>IF($Y518="worse","Yes",IF($Y518="worse, not significant","Not sure",IF(OR($Y518="too few losses to test",$Y518="too few loans to test"),"Too few losses",IF($Y518="","","No"))))</f>
        <v/>
      </c>
      <c r="AJ518">
        <f>IF($AA518="yes","Yes",IF($AA518="","","No"))</f>
        <v/>
      </c>
    </row>
    <row r="519">
      <c r="A519" t="inlineStr">
        <is>
          <t>three-way</t>
        </is>
      </c>
      <c r="B519" t="inlineStr">
        <is>
          <t>FICO x CHANNEL / REV_DEBT</t>
        </is>
      </c>
      <c r="C519" t="inlineStr">
        <is>
          <t>654 - 685</t>
        </is>
      </c>
      <c r="D519" t="inlineStr">
        <is>
          <t>Broker / REV_DEBT low half</t>
        </is>
      </c>
      <c r="E519" t="inlineStr">
        <is>
          <t>outcome_loans</t>
        </is>
      </c>
      <c r="F519" t="inlineStr">
        <is>
          <t>Outcome, share of loans</t>
        </is>
      </c>
      <c r="G519" t="n">
        <v>266</v>
      </c>
      <c r="H519" t="n">
        <v>266</v>
      </c>
      <c r="I519" t="b">
        <v>0</v>
      </c>
      <c r="J519" t="b">
        <v>0</v>
      </c>
      <c r="K519" t="n">
        <v>0.5259633458646616</v>
      </c>
      <c r="L519" t="n">
        <v>0.0528991240927523</v>
      </c>
      <c r="M519" t="n">
        <v>0.4423769507803121</v>
      </c>
      <c r="N519" t="n">
        <v>0.02081227286904291</v>
      </c>
      <c r="O519" t="n">
        <v>-9.914004914004913</v>
      </c>
      <c r="P519" t="n">
        <v>-13.86567164179105</v>
      </c>
      <c r="Q519">
        <f>'_live'!$C$20</f>
        <v/>
      </c>
      <c r="R519" t="inlineStr">
        <is>
          <t>z test</t>
        </is>
      </c>
      <c r="S519" t="inlineStr">
        <is>
          <t>z test</t>
        </is>
      </c>
      <c r="T519" t="n">
        <v>0.07862407862407862</v>
      </c>
      <c r="U519" t="n">
        <v>0.09347996857816182</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0.04135338345864661</v>
      </c>
      <c r="AI519">
        <f>IF($Y519="worse","Yes",IF($Y519="worse, not significant","Not sure",IF(OR($Y519="too few losses to test",$Y519="too few loans to test"),"Too few losses",IF($Y519="","","No"))))</f>
        <v/>
      </c>
      <c r="AJ519">
        <f>IF($AA519="yes","Yes",IF($AA519="","","No"))</f>
        <v/>
      </c>
    </row>
    <row r="520">
      <c r="A520" t="inlineStr">
        <is>
          <t>three-way</t>
        </is>
      </c>
      <c r="B520" t="inlineStr">
        <is>
          <t>FICO x CHANNEL / REV_DEBT</t>
        </is>
      </c>
      <c r="C520" t="inlineStr">
        <is>
          <t>654 - 685</t>
        </is>
      </c>
      <c r="D520" t="inlineStr">
        <is>
          <t>Broker / REV_DEBT low half</t>
        </is>
      </c>
      <c r="E520" t="inlineStr">
        <is>
          <t>outcome_booked</t>
        </is>
      </c>
      <c r="F520" t="inlineStr">
        <is>
          <t>Outcome, share of booked dollars</t>
        </is>
      </c>
      <c r="G520" t="n">
        <v>266</v>
      </c>
      <c r="H520" t="n">
        <v>8669542.540000001</v>
      </c>
      <c r="I520" t="b">
        <v>0</v>
      </c>
      <c r="J520" t="b">
        <v>0</v>
      </c>
      <c r="K520" t="n">
        <v>0.4159051566029213</v>
      </c>
      <c r="L520" t="n">
        <v>0.05289471052894711</v>
      </c>
      <c r="M520" t="n">
        <v>0.3522826856359711</v>
      </c>
      <c r="N520" t="n">
        <v>0.01494850514948505</v>
      </c>
      <c r="O520" t="n">
        <v>-386506.1861577702</v>
      </c>
      <c r="P520" t="n">
        <v>-506012.9017584746</v>
      </c>
      <c r="Q520">
        <f>'_live'!$C$21</f>
        <v/>
      </c>
      <c r="R520" t="inlineStr">
        <is>
          <t>shuffled: 137 of 10,000</t>
        </is>
      </c>
      <c r="S520" t="inlineStr">
        <is>
          <t>shuffled: 38 of 10,000</t>
        </is>
      </c>
      <c r="T520" t="n">
        <v>0.07632677192651161</v>
      </c>
      <c r="U520" t="n">
        <v>0.09011143415630261</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0.03174469803109126</v>
      </c>
      <c r="AI520">
        <f>IF($Y520="worse","Yes",IF($Y520="worse, not significant","Not sure",IF(OR($Y520="too few losses to test",$Y520="too few loans to test"),"Too few losses",IF($Y520="","","No"))))</f>
        <v/>
      </c>
      <c r="AJ520">
        <f>IF($AA520="yes","Yes",IF($AA520="","","No"))</f>
        <v/>
      </c>
    </row>
    <row r="521">
      <c r="A521" t="inlineStr">
        <is>
          <t>three-way</t>
        </is>
      </c>
      <c r="B521" t="inlineStr">
        <is>
          <t>FICO x CHANNEL / REV_DEBT</t>
        </is>
      </c>
      <c r="C521" t="inlineStr">
        <is>
          <t>654 - 685</t>
        </is>
      </c>
      <c r="D521" t="inlineStr">
        <is>
          <t>Broker / REV_DEBT low half</t>
        </is>
      </c>
      <c r="E521" t="inlineStr">
        <is>
          <t>gco_rate</t>
        </is>
      </c>
      <c r="F521" t="inlineStr">
        <is>
          <t>GCO per booked dollar</t>
        </is>
      </c>
      <c r="G521" t="n">
        <v>266</v>
      </c>
      <c r="H521" t="n">
        <v>8669542.540000001</v>
      </c>
      <c r="I521" t="b">
        <v>0</v>
      </c>
      <c r="J521" t="b">
        <v>0</v>
      </c>
      <c r="K521" t="n">
        <v>0.4544980328619329</v>
      </c>
      <c r="L521" t="n">
        <v>0.06272100062721001</v>
      </c>
      <c r="M521" t="n">
        <v>0.3795930421097626</v>
      </c>
      <c r="N521" t="n">
        <v>0.02874712528747125</v>
      </c>
      <c r="O521" t="n">
        <v>-200435.4654490425</v>
      </c>
      <c r="P521" t="n">
        <v>-272940.9333195353</v>
      </c>
      <c r="Q521">
        <f>'_live'!$C$22</f>
        <v/>
      </c>
      <c r="R521" t="inlineStr">
        <is>
          <t>shuffled: 246 of 10,000</t>
        </is>
      </c>
      <c r="S521" t="inlineStr">
        <is>
          <t>shuffled: 74 of 10,000</t>
        </is>
      </c>
      <c r="T521" t="n">
        <v>0.04238206038597308</v>
      </c>
      <c r="U521" t="n">
        <v>0.05074530072258406</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0.01926256307406042</v>
      </c>
      <c r="AI521">
        <f>IF($Y521="worse","Yes",IF($Y521="worse, not significant","Not sure",IF(OR($Y521="too few losses to test",$Y521="too few loans to test"),"Too few losses",IF($Y521="","","No"))))</f>
        <v/>
      </c>
      <c r="AJ521">
        <f>IF($AA521="yes","Yes",IF($AA521="","","No"))</f>
        <v/>
      </c>
    </row>
    <row r="522">
      <c r="A522" t="inlineStr">
        <is>
          <t>three-way</t>
        </is>
      </c>
      <c r="B522" t="inlineStr">
        <is>
          <t>FICO x CHANNEL / REV_DEBT</t>
        </is>
      </c>
      <c r="C522" t="inlineStr">
        <is>
          <t>654 - 685</t>
        </is>
      </c>
      <c r="D522" t="inlineStr">
        <is>
          <t>Broker / REV_DEBT low half</t>
        </is>
      </c>
      <c r="E522" t="inlineStr">
        <is>
          <t>ranr_rate</t>
        </is>
      </c>
      <c r="F522" t="inlineStr">
        <is>
          <t>Profit after losses: RANR per booked dollar</t>
        </is>
      </c>
      <c r="G522" t="n">
        <v>266</v>
      </c>
      <c r="H522" t="n">
        <v>8669542.540000001</v>
      </c>
      <c r="I522" t="b">
        <v>0</v>
      </c>
      <c r="J522" t="b">
        <v>0</v>
      </c>
      <c r="K522" t="n">
        <v>0.05448924323680898</v>
      </c>
      <c r="L522" t="n">
        <v>0.0002466420024664201</v>
      </c>
      <c r="M522" t="n">
        <v>0.02131849075370787</v>
      </c>
      <c r="N522" t="n">
        <v>0.3519933720913623</v>
      </c>
      <c r="O522" t="n">
        <v>-472396.8122139229</v>
      </c>
      <c r="P522" t="n">
        <v>-184821.5624778671</v>
      </c>
      <c r="Q522">
        <f>'_live'!$C$23</f>
        <v/>
      </c>
      <c r="R522" t="inlineStr">
        <is>
          <t>shuffled: 0 of 10,000</t>
        </is>
      </c>
      <c r="S522" t="inlineStr">
        <is>
          <t>shuffled: 1,368 of 10,000</t>
        </is>
      </c>
      <c r="T522" t="n">
        <v>0.1261595398764924</v>
      </c>
      <c r="U522" t="n">
        <v>0.1593302923595935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0.1806487831133013</v>
      </c>
      <c r="AI522">
        <f>IF($Y522="worse","Yes",IF($Y522="worse, not significant","Not sure",IF(OR($Y522="too few losses to test",$Y522="too few loans to test"),"Too few losses",IF($Y522="","","No"))))</f>
        <v/>
      </c>
      <c r="AJ522">
        <f>IF($AA522="yes","Yes",IF($AA522="","","No"))</f>
        <v/>
      </c>
    </row>
    <row r="523">
      <c r="A523" t="inlineStr">
        <is>
          <t>three-way</t>
        </is>
      </c>
      <c r="B523" t="inlineStr">
        <is>
          <t>FICO x CHANNEL / REV_DEBT</t>
        </is>
      </c>
      <c r="C523" t="inlineStr">
        <is>
          <t>654 - 685</t>
        </is>
      </c>
      <c r="D523" t="inlineStr">
        <is>
          <t>Broker / REV_DEBT low half</t>
        </is>
      </c>
      <c r="E523" t="inlineStr">
        <is>
          <t>contribution_rate</t>
        </is>
      </c>
      <c r="F523" t="inlineStr">
        <is>
          <t>Contribution before losses per booked dollar</t>
        </is>
      </c>
      <c r="G523" t="n">
        <v>266</v>
      </c>
      <c r="H523" t="n">
        <v>8669542.540000001</v>
      </c>
      <c r="I523" t="b">
        <v>0</v>
      </c>
      <c r="J523" t="b">
        <v>0</v>
      </c>
      <c r="K523" t="n">
        <v>0.03137299589726159</v>
      </c>
      <c r="L523" t="n">
        <v>0.0003363300033633001</v>
      </c>
      <c r="M523" t="n">
        <v>-0.01016424689481588</v>
      </c>
      <c r="N523" t="n">
        <v>0.3310032633100327</v>
      </c>
      <c r="O523" t="n">
        <v>-271989.5225385549</v>
      </c>
      <c r="P523" t="n">
        <v>88119.37084166915</v>
      </c>
      <c r="Q523">
        <f>'_live'!$C$24</f>
        <v/>
      </c>
      <c r="R523" t="inlineStr">
        <is>
          <t>shuffled: 1 of 10,000</t>
        </is>
      </c>
      <c r="S523" t="inlineStr">
        <is>
          <t>shuffled: 2,022 of 10,000</t>
        </is>
      </c>
      <c r="T523" t="n">
        <v>0.1685383502901001</v>
      </c>
      <c r="U523" t="n">
        <v>0.2100755930821776</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0.1999113461873617</v>
      </c>
      <c r="AI523">
        <f>IF($Y523="worse","Yes",IF($Y523="worse, not significant","Not sure",IF(OR($Y523="too few losses to test",$Y523="too few loans to test"),"Too few losses",IF($Y523="","","No"))))</f>
        <v/>
      </c>
      <c r="AJ523">
        <f>IF($AA523="yes","Yes",IF($AA523="","","No"))</f>
        <v/>
      </c>
    </row>
    <row r="524">
      <c r="A524" t="inlineStr">
        <is>
          <t>three-way</t>
        </is>
      </c>
      <c r="B524" t="inlineStr">
        <is>
          <t>FICO x CHANNEL / REV_DEBT</t>
        </is>
      </c>
      <c r="C524" t="inlineStr">
        <is>
          <t>712 - 745</t>
        </is>
      </c>
      <c r="D524" t="inlineStr">
        <is>
          <t>Broker / REV_DEBT high half</t>
        </is>
      </c>
      <c r="E524" t="inlineStr">
        <is>
          <t>outcome_loans</t>
        </is>
      </c>
      <c r="F524" t="inlineStr">
        <is>
          <t>Outcome, share of loans</t>
        </is>
      </c>
      <c r="G524" t="n">
        <v>254</v>
      </c>
      <c r="H524" t="n">
        <v>254</v>
      </c>
      <c r="I524" t="b">
        <v>1</v>
      </c>
      <c r="J524" t="b">
        <v>0</v>
      </c>
      <c r="K524" t="n">
        <v>0.348766146878699</v>
      </c>
      <c r="M524" t="n">
        <v>0.4674704724409449</v>
      </c>
      <c r="O524" t="n">
        <v>-13.07075532601678</v>
      </c>
      <c r="P524" t="n">
        <v>-7.974207811348563</v>
      </c>
      <c r="Q524">
        <f>'_live'!$C$20</f>
        <v/>
      </c>
      <c r="T524" t="n">
        <v>0.07901872175597159</v>
      </c>
      <c r="U524" t="n">
        <v>0.05895357406042741</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0.02755905511811024</v>
      </c>
      <c r="AI524">
        <f>IF($Y524="worse","Yes",IF($Y524="worse, not significant","Not sure",IF(OR($Y524="too few losses to test",$Y524="too few loans to test"),"Too few losses",IF($Y524="","","No"))))</f>
        <v/>
      </c>
      <c r="AJ524">
        <f>IF($AA524="yes","Yes",IF($AA524="","","No"))</f>
        <v/>
      </c>
    </row>
    <row r="525">
      <c r="A525" t="inlineStr">
        <is>
          <t>three-way</t>
        </is>
      </c>
      <c r="B525" t="inlineStr">
        <is>
          <t>FICO x CHANNEL / REV_DEBT</t>
        </is>
      </c>
      <c r="C525" t="inlineStr">
        <is>
          <t>712 - 745</t>
        </is>
      </c>
      <c r="D525" t="inlineStr">
        <is>
          <t>Broker / REV_DEBT high half</t>
        </is>
      </c>
      <c r="E525" t="inlineStr">
        <is>
          <t>outcome_booked</t>
        </is>
      </c>
      <c r="F525" t="inlineStr">
        <is>
          <t>Outcome, share of booked dollars</t>
        </is>
      </c>
      <c r="G525" t="n">
        <v>254</v>
      </c>
      <c r="H525" t="n">
        <v>8019071.95</v>
      </c>
      <c r="I525" t="b">
        <v>1</v>
      </c>
      <c r="J525" t="b">
        <v>0</v>
      </c>
      <c r="K525" t="n">
        <v>0.4920246886140337</v>
      </c>
      <c r="M525" t="n">
        <v>0.6483080108382452</v>
      </c>
      <c r="O525" t="n">
        <v>-309703.9239250801</v>
      </c>
      <c r="P525" t="n">
        <v>-162731.6717088593</v>
      </c>
      <c r="Q525">
        <f>'_live'!$C$21</f>
        <v/>
      </c>
      <c r="T525" t="n">
        <v>0.07602912503174136</v>
      </c>
      <c r="U525" t="n">
        <v>0.05770128695613703</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0.03740820656933998</v>
      </c>
      <c r="AI525">
        <f>IF($Y525="worse","Yes",IF($Y525="worse, not significant","Not sure",IF(OR($Y525="too few losses to test",$Y525="too few loans to test"),"Too few losses",IF($Y525="","","No"))))</f>
        <v/>
      </c>
      <c r="AJ525">
        <f>IF($AA525="yes","Yes",IF($AA525="","","No"))</f>
        <v/>
      </c>
    </row>
    <row r="526">
      <c r="A526" t="inlineStr">
        <is>
          <t>three-way</t>
        </is>
      </c>
      <c r="B526" t="inlineStr">
        <is>
          <t>FICO x CHANNEL / REV_DEBT</t>
        </is>
      </c>
      <c r="C526" t="inlineStr">
        <is>
          <t>712 - 745</t>
        </is>
      </c>
      <c r="D526" t="inlineStr">
        <is>
          <t>Broker / REV_DEBT high half</t>
        </is>
      </c>
      <c r="E526" t="inlineStr">
        <is>
          <t>gco_rate</t>
        </is>
      </c>
      <c r="F526" t="inlineStr">
        <is>
          <t>GCO per booked dollar</t>
        </is>
      </c>
      <c r="G526" t="n">
        <v>254</v>
      </c>
      <c r="H526" t="n">
        <v>8019071.95</v>
      </c>
      <c r="I526" t="b">
        <v>1</v>
      </c>
      <c r="J526" t="b">
        <v>0</v>
      </c>
      <c r="K526" t="n">
        <v>0.4963658952653786</v>
      </c>
      <c r="M526" t="n">
        <v>0.6557581690678148</v>
      </c>
      <c r="O526" t="n">
        <v>-170702.1122395758</v>
      </c>
      <c r="P526" t="n">
        <v>-88317.26894783822</v>
      </c>
      <c r="Q526">
        <f>'_live'!$C$22</f>
        <v/>
      </c>
      <c r="T526" t="n">
        <v>0.04226682767693284</v>
      </c>
      <c r="U526" t="n">
        <v>0.03199321449508109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0.02097981175988825</v>
      </c>
      <c r="AI526">
        <f>IF($Y526="worse","Yes",IF($Y526="worse, not significant","Not sure",IF(OR($Y526="too few losses to test",$Y526="too few loans to test"),"Too few losses",IF($Y526="","","No"))))</f>
        <v/>
      </c>
      <c r="AJ526">
        <f>IF($AA526="yes","Yes",IF($AA526="","","No"))</f>
        <v/>
      </c>
    </row>
    <row r="527">
      <c r="A527" t="inlineStr">
        <is>
          <t>three-way</t>
        </is>
      </c>
      <c r="B527" t="inlineStr">
        <is>
          <t>FICO x CHANNEL / REV_DEBT</t>
        </is>
      </c>
      <c r="C527" t="inlineStr">
        <is>
          <t>712 - 745</t>
        </is>
      </c>
      <c r="D527" t="inlineStr">
        <is>
          <t>Broker / REV_DEBT high half</t>
        </is>
      </c>
      <c r="E527" t="inlineStr">
        <is>
          <t>ranr_rate</t>
        </is>
      </c>
      <c r="F527" t="inlineStr">
        <is>
          <t>Profit after losses: RANR per booked dollar</t>
        </is>
      </c>
      <c r="G527" t="n">
        <v>254</v>
      </c>
      <c r="H527" t="n">
        <v>8019071.95</v>
      </c>
      <c r="I527" t="b">
        <v>0</v>
      </c>
      <c r="J527" t="b">
        <v>0</v>
      </c>
      <c r="K527" t="n">
        <v>-0.03288484848296062</v>
      </c>
      <c r="L527" t="n">
        <v>0.02423257674232577</v>
      </c>
      <c r="M527" t="n">
        <v>0.0001871674569495496</v>
      </c>
      <c r="N527" t="n">
        <v>0.9968003199680032</v>
      </c>
      <c r="O527" t="n">
        <v>263705.9660497096</v>
      </c>
      <c r="P527" t="n">
        <v>-1500.909303977038</v>
      </c>
      <c r="Q527">
        <f>'_live'!$C$23</f>
        <v/>
      </c>
      <c r="R527" t="inlineStr">
        <is>
          <t>shuffled: 130 of 10,000</t>
        </is>
      </c>
      <c r="S527" t="inlineStr">
        <is>
          <t>shuffled: 9,848 of 10,000</t>
        </is>
      </c>
      <c r="T527" t="n">
        <v>0.1290118947055599</v>
      </c>
      <c r="U527" t="n">
        <v>0.09593987876564976</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0.09612704622259931</v>
      </c>
      <c r="AI527">
        <f>IF($Y527="worse","Yes",IF($Y527="worse, not significant","Not sure",IF(OR($Y527="too few losses to test",$Y527="too few loans to test"),"Too few losses",IF($Y527="","","No"))))</f>
        <v/>
      </c>
      <c r="AJ527">
        <f>IF($AA527="yes","Yes",IF($AA527="","","No"))</f>
        <v/>
      </c>
    </row>
    <row r="528">
      <c r="A528" t="inlineStr">
        <is>
          <t>three-way</t>
        </is>
      </c>
      <c r="B528" t="inlineStr">
        <is>
          <t>FICO x CHANNEL / REV_DEBT</t>
        </is>
      </c>
      <c r="C528" t="inlineStr">
        <is>
          <t>712 - 745</t>
        </is>
      </c>
      <c r="D528" t="inlineStr">
        <is>
          <t>Broker / REV_DEBT high half</t>
        </is>
      </c>
      <c r="E528" t="inlineStr">
        <is>
          <t>contribution_rate</t>
        </is>
      </c>
      <c r="F528" t="inlineStr">
        <is>
          <t>Contribution before losses per booked dollar</t>
        </is>
      </c>
      <c r="G528" t="n">
        <v>254</v>
      </c>
      <c r="H528" t="n">
        <v>8019071.95</v>
      </c>
      <c r="I528" t="b">
        <v>0</v>
      </c>
      <c r="J528" t="b">
        <v>0</v>
      </c>
      <c r="K528" t="n">
        <v>-0.05416907564211182</v>
      </c>
      <c r="L528" t="n">
        <v>0.0001761728589045857</v>
      </c>
      <c r="M528" t="n">
        <v>-0.01077955730837299</v>
      </c>
      <c r="N528" t="n">
        <v>0.10057817747637</v>
      </c>
      <c r="O528" t="n">
        <v>434385.7150390871</v>
      </c>
      <c r="P528" t="n">
        <v>86442.04564499133</v>
      </c>
      <c r="Q528">
        <f>'_live'!$C$24</f>
        <v/>
      </c>
      <c r="R528" t="inlineStr">
        <is>
          <t>shuffled: 0 of 10,000</t>
        </is>
      </c>
      <c r="S528" t="inlineStr">
        <is>
          <t>shuffled: 474 of 10,000</t>
        </is>
      </c>
      <c r="T528" t="n">
        <v>0.1712759336245994</v>
      </c>
      <c r="U528" t="n">
        <v>0.1278864152908605</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0.1171068579824875</v>
      </c>
      <c r="AI528">
        <f>IF($Y528="worse","Yes",IF($Y528="worse, not significant","Not sure",IF(OR($Y528="too few losses to test",$Y528="too few loans to test"),"Too few losses",IF($Y528="","","No"))))</f>
        <v/>
      </c>
      <c r="AJ528">
        <f>IF($AA528="yes","Yes",IF($AA528="","","No"))</f>
        <v/>
      </c>
    </row>
    <row r="529">
      <c r="A529" t="inlineStr">
        <is>
          <t>three-way</t>
        </is>
      </c>
      <c r="B529" t="inlineStr">
        <is>
          <t>FICO x CHANNEL / REV_DEBT</t>
        </is>
      </c>
      <c r="C529" t="inlineStr">
        <is>
          <t>654 - 685</t>
        </is>
      </c>
      <c r="D529" t="inlineStr">
        <is>
          <t>Broker / REV_DEBT high half</t>
        </is>
      </c>
      <c r="E529" t="inlineStr">
        <is>
          <t>outcome_loans</t>
        </is>
      </c>
      <c r="F529" t="inlineStr">
        <is>
          <t>Outcome, share of loans</t>
        </is>
      </c>
      <c r="G529" t="n">
        <v>265</v>
      </c>
      <c r="H529" t="n">
        <v>265</v>
      </c>
      <c r="I529" t="b">
        <v>0</v>
      </c>
      <c r="J529" t="b">
        <v>0</v>
      </c>
      <c r="K529" t="n">
        <v>1.590999967857028</v>
      </c>
      <c r="L529" t="n">
        <v>0.03315041741562862</v>
      </c>
      <c r="M529" t="n">
        <v>1.569811320754717</v>
      </c>
      <c r="N529" t="n">
        <v>0.06430585347742498</v>
      </c>
      <c r="O529" t="n">
        <v>11.88686320144815</v>
      </c>
      <c r="P529" t="n">
        <v>11.61538461538461</v>
      </c>
      <c r="Q529">
        <f>'_live'!$C$20</f>
        <v/>
      </c>
      <c r="R529" t="inlineStr">
        <is>
          <t>z test</t>
        </is>
      </c>
      <c r="S529" t="inlineStr">
        <is>
          <t>z test</t>
        </is>
      </c>
      <c r="T529" t="n">
        <v>0.07589862942849754</v>
      </c>
      <c r="U529" t="n">
        <v>0.07692307692307693</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0.1207547169811321</v>
      </c>
      <c r="AI529">
        <f>IF($Y529="worse","Yes",IF($Y529="worse, not significant","Not sure",IF(OR($Y529="too few losses to test",$Y529="too few loans to test"),"Too few losses",IF($Y529="","","No"))))</f>
        <v/>
      </c>
      <c r="AJ529">
        <f>IF($AA529="yes","Yes",IF($AA529="","","No"))</f>
        <v/>
      </c>
    </row>
    <row r="530">
      <c r="A530" t="inlineStr">
        <is>
          <t>three-way</t>
        </is>
      </c>
      <c r="B530" t="inlineStr">
        <is>
          <t>FICO x CHANNEL / REV_DEBT</t>
        </is>
      </c>
      <c r="C530" t="inlineStr">
        <is>
          <t>654 - 685</t>
        </is>
      </c>
      <c r="D530" t="inlineStr">
        <is>
          <t>Broker / REV_DEBT high half</t>
        </is>
      </c>
      <c r="E530" t="inlineStr">
        <is>
          <t>outcome_booked</t>
        </is>
      </c>
      <c r="F530" t="inlineStr">
        <is>
          <t>Outcome, share of booked dollars</t>
        </is>
      </c>
      <c r="G530" t="n">
        <v>265</v>
      </c>
      <c r="H530" t="n">
        <v>8652359.879999997</v>
      </c>
      <c r="I530" t="b">
        <v>0</v>
      </c>
      <c r="J530" t="b">
        <v>0</v>
      </c>
      <c r="K530" t="n">
        <v>1.657776449456752</v>
      </c>
      <c r="L530" t="n">
        <v>0.03311668833116688</v>
      </c>
      <c r="M530" t="n">
        <v>1.708709647934587</v>
      </c>
      <c r="N530" t="n">
        <v>0.03778193609210508</v>
      </c>
      <c r="O530" t="n">
        <v>416684.255314271</v>
      </c>
      <c r="P530" t="n">
        <v>435566.8403180366</v>
      </c>
      <c r="Q530">
        <f>'_live'!$C$21</f>
        <v/>
      </c>
      <c r="R530" t="inlineStr">
        <is>
          <t>shuffled: 71 of 10,000</t>
        </is>
      </c>
      <c r="S530" t="inlineStr">
        <is>
          <t>shuffled: 114 of 10,000</t>
        </is>
      </c>
      <c r="T530" t="n">
        <v>0.07321401022049596</v>
      </c>
      <c r="U530" t="n">
        <v>0.07103164780542665</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0.1213724619138242</v>
      </c>
      <c r="AI530">
        <f>IF($Y530="worse","Yes",IF($Y530="worse, not significant","Not sure",IF(OR($Y530="too few losses to test",$Y530="too few loans to test"),"Too few losses",IF($Y530="","","No"))))</f>
        <v/>
      </c>
      <c r="AJ530">
        <f>IF($AA530="yes","Yes",IF($AA530="","","No"))</f>
        <v/>
      </c>
    </row>
    <row r="531">
      <c r="A531" t="inlineStr">
        <is>
          <t>three-way</t>
        </is>
      </c>
      <c r="B531" t="inlineStr">
        <is>
          <t>FICO x CHANNEL / REV_DEBT</t>
        </is>
      </c>
      <c r="C531" t="inlineStr">
        <is>
          <t>654 - 685</t>
        </is>
      </c>
      <c r="D531" t="inlineStr">
        <is>
          <t>Broker / REV_DEBT high half</t>
        </is>
      </c>
      <c r="E531" t="inlineStr">
        <is>
          <t>gco_rate</t>
        </is>
      </c>
      <c r="F531" t="inlineStr">
        <is>
          <t>GCO per booked dollar</t>
        </is>
      </c>
      <c r="G531" t="n">
        <v>265</v>
      </c>
      <c r="H531" t="n">
        <v>8652359.879999997</v>
      </c>
      <c r="I531" t="b">
        <v>0</v>
      </c>
      <c r="J531" t="b">
        <v>0</v>
      </c>
      <c r="K531" t="n">
        <v>1.601175411006419</v>
      </c>
      <c r="L531" t="n">
        <v>0.04915758424157584</v>
      </c>
      <c r="M531" t="n">
        <v>1.594879816561104</v>
      </c>
      <c r="N531" t="n">
        <v>0.09045762090457621</v>
      </c>
      <c r="O531" t="n">
        <v>212136.9109767411</v>
      </c>
      <c r="P531" t="n">
        <v>210743.998549332</v>
      </c>
      <c r="Q531">
        <f>'_live'!$C$22</f>
        <v/>
      </c>
      <c r="R531" t="inlineStr">
        <is>
          <t>shuffled: 166 of 10,000</t>
        </is>
      </c>
      <c r="S531" t="inlineStr">
        <is>
          <t>shuffled: 348 of 10,000</t>
        </is>
      </c>
      <c r="T531" t="n">
        <v>0.04078312089617558</v>
      </c>
      <c r="U531" t="n">
        <v>0.04094410731453166</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0.0653009303630584</v>
      </c>
      <c r="AI531">
        <f>IF($Y531="worse","Yes",IF($Y531="worse, not significant","Not sure",IF(OR($Y531="too few losses to test",$Y531="too few loans to test"),"Too few losses",IF($Y531="","","No"))))</f>
        <v/>
      </c>
      <c r="AJ531">
        <f>IF($AA531="yes","Yes",IF($AA531="","","No"))</f>
        <v/>
      </c>
    </row>
    <row r="532">
      <c r="A532" t="inlineStr">
        <is>
          <t>three-way</t>
        </is>
      </c>
      <c r="B532" t="inlineStr">
        <is>
          <t>FICO x CHANNEL / REV_DEBT</t>
        </is>
      </c>
      <c r="C532" t="inlineStr">
        <is>
          <t>654 - 685</t>
        </is>
      </c>
      <c r="D532" t="inlineStr">
        <is>
          <t>Broker / REV_DEBT high half</t>
        </is>
      </c>
      <c r="E532" t="inlineStr">
        <is>
          <t>ranr_rate</t>
        </is>
      </c>
      <c r="F532" t="inlineStr">
        <is>
          <t>Profit after losses: RANR per booked dollar</t>
        </is>
      </c>
      <c r="G532" t="n">
        <v>265</v>
      </c>
      <c r="H532" t="n">
        <v>8652359.879999997</v>
      </c>
      <c r="I532" t="b">
        <v>0</v>
      </c>
      <c r="J532" t="b">
        <v>0</v>
      </c>
      <c r="K532" t="n">
        <v>0.007412125849425244</v>
      </c>
      <c r="L532" t="n">
        <v>0.6630691769532724</v>
      </c>
      <c r="M532" t="n">
        <v>-0.03385803128723947</v>
      </c>
      <c r="N532" t="n">
        <v>0.05723427657234277</v>
      </c>
      <c r="O532" t="n">
        <v>-64132.3803250778</v>
      </c>
      <c r="P532" t="n">
        <v>292951.8715254955</v>
      </c>
      <c r="Q532">
        <f>'_live'!$C$23</f>
        <v/>
      </c>
      <c r="R532" t="inlineStr">
        <is>
          <t>shuffled: 5,555 of 10,000</t>
        </is>
      </c>
      <c r="S532" t="inlineStr">
        <is>
          <t>shuffled: 158 of 10,000</t>
        </is>
      </c>
      <c r="T532" t="n">
        <v>0.1277415404587774</v>
      </c>
      <c r="U532" t="n">
        <v>0.1690116975954421</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0.1351536663082026</v>
      </c>
      <c r="AI532">
        <f>IF($Y532="worse","Yes",IF($Y532="worse, not significant","Not sure",IF(OR($Y532="too few losses to test",$Y532="too few loans to test"),"Too few losses",IF($Y532="","","No"))))</f>
        <v/>
      </c>
      <c r="AJ532">
        <f>IF($AA532="yes","Yes",IF($AA532="","","No"))</f>
        <v/>
      </c>
    </row>
    <row r="533">
      <c r="A533" t="inlineStr">
        <is>
          <t>three-way</t>
        </is>
      </c>
      <c r="B533" t="inlineStr">
        <is>
          <t>FICO x CHANNEL / REV_DEBT</t>
        </is>
      </c>
      <c r="C533" t="inlineStr">
        <is>
          <t>654 - 685</t>
        </is>
      </c>
      <c r="D533" t="inlineStr">
        <is>
          <t>Broker / REV_DEBT high half</t>
        </is>
      </c>
      <c r="E533" t="inlineStr">
        <is>
          <t>contribution_rate</t>
        </is>
      </c>
      <c r="F533" t="inlineStr">
        <is>
          <t>Contribution before losses per booked dollar</t>
        </is>
      </c>
      <c r="G533" t="n">
        <v>265</v>
      </c>
      <c r="H533" t="n">
        <v>8652359.879999997</v>
      </c>
      <c r="I533" t="b">
        <v>0</v>
      </c>
      <c r="J533" t="b">
        <v>0</v>
      </c>
      <c r="K533" t="n">
        <v>0.03193293331361019</v>
      </c>
      <c r="L533" t="n">
        <v>0.0001761728589045857</v>
      </c>
      <c r="M533" t="n">
        <v>-0.009501208238712922</v>
      </c>
      <c r="N533" t="n">
        <v>0.3715454541502372</v>
      </c>
      <c r="O533" t="n">
        <v>-276295.2310533961</v>
      </c>
      <c r="P533" t="n">
        <v>82207.87297616526</v>
      </c>
      <c r="Q533">
        <f>'_live'!$C$24</f>
        <v/>
      </c>
      <c r="R533" t="inlineStr">
        <is>
          <t>shuffled: 0 of 10,000</t>
        </is>
      </c>
      <c r="S533" t="inlineStr">
        <is>
          <t>shuffled: 2,373 of 10,000</t>
        </is>
      </c>
      <c r="T533" t="n">
        <v>0.1685216633576507</v>
      </c>
      <c r="U533" t="n">
        <v>0.2099558049099738</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0.2004545966712609</v>
      </c>
      <c r="AI533">
        <f>IF($Y533="worse","Yes",IF($Y533="worse, not significant","Not sure",IF(OR($Y533="too few losses to test",$Y533="too few loans to test"),"Too few losses",IF($Y533="","","No"))))</f>
        <v/>
      </c>
      <c r="AJ533">
        <f>IF($AA533="yes","Yes",IF($AA533="","","No"))</f>
        <v/>
      </c>
    </row>
    <row r="534">
      <c r="A534" t="inlineStr">
        <is>
          <t>three-way</t>
        </is>
      </c>
      <c r="B534" t="inlineStr">
        <is>
          <t>FICO x CHANNEL / REV_DEBT</t>
        </is>
      </c>
      <c r="C534" t="inlineStr">
        <is>
          <t>(marked missing)</t>
        </is>
      </c>
      <c r="D534" t="inlineStr">
        <is>
          <t>Online / REV_DEBT low half</t>
        </is>
      </c>
      <c r="E534" t="inlineStr">
        <is>
          <t>outcome_loans</t>
        </is>
      </c>
      <c r="F534" t="inlineStr">
        <is>
          <t>Outcome, share of loans</t>
        </is>
      </c>
      <c r="G534" t="n">
        <v>28</v>
      </c>
      <c r="H534" t="n">
        <v>28</v>
      </c>
      <c r="I534" t="b">
        <v>1</v>
      </c>
      <c r="J534" t="b">
        <v>0</v>
      </c>
      <c r="K534" t="n">
        <v>0.4606449375866851</v>
      </c>
      <c r="M534" t="n">
        <v>0.5238095238095238</v>
      </c>
      <c r="O534" t="n">
        <v>-1.17086940158073</v>
      </c>
      <c r="P534" t="n">
        <v>-0.9090909090909089</v>
      </c>
      <c r="Q534">
        <f>'_live'!$C$20</f>
        <v/>
      </c>
      <c r="T534" t="n">
        <v>0.07753105005645465</v>
      </c>
      <c r="U534" t="n">
        <v>0.06818181818181818</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0.03571428571428571</v>
      </c>
      <c r="AI534">
        <f>IF($Y534="worse","Yes",IF($Y534="worse, not significant","Not sure",IF(OR($Y534="too few losses to test",$Y534="too few loans to test"),"Too few losses",IF($Y534="","","No"))))</f>
        <v/>
      </c>
      <c r="AJ534">
        <f>IF($AA534="yes","Yes",IF($AA534="","","No"))</f>
        <v/>
      </c>
    </row>
    <row r="535">
      <c r="A535" t="inlineStr">
        <is>
          <t>three-way</t>
        </is>
      </c>
      <c r="B535" t="inlineStr">
        <is>
          <t>FICO x CHANNEL / REV_DEBT</t>
        </is>
      </c>
      <c r="C535" t="inlineStr">
        <is>
          <t>(marked missing)</t>
        </is>
      </c>
      <c r="D535" t="inlineStr">
        <is>
          <t>Online / REV_DEBT low half</t>
        </is>
      </c>
      <c r="E535" t="inlineStr">
        <is>
          <t>outcome_booked</t>
        </is>
      </c>
      <c r="F535" t="inlineStr">
        <is>
          <t>Outcome, share of booked dollars</t>
        </is>
      </c>
      <c r="G535" t="n">
        <v>28</v>
      </c>
      <c r="H535" t="n">
        <v>990667.0999999999</v>
      </c>
      <c r="I535" t="b">
        <v>1</v>
      </c>
      <c r="J535" t="b">
        <v>0</v>
      </c>
      <c r="K535" t="n">
        <v>0.6268779312280387</v>
      </c>
      <c r="M535" t="n">
        <v>0.9701522465454194</v>
      </c>
      <c r="O535" t="n">
        <v>-27699.40529591635</v>
      </c>
      <c r="P535" t="n">
        <v>-1431.773250511462</v>
      </c>
      <c r="Q535">
        <f>'_live'!$C$21</f>
        <v/>
      </c>
      <c r="T535" t="n">
        <v>0.07493621752041263</v>
      </c>
      <c r="U535" t="n">
        <v>0.04842112274699692</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0.04697586101325057</v>
      </c>
      <c r="AI535">
        <f>IF($Y535="worse","Yes",IF($Y535="worse, not significant","Not sure",IF(OR($Y535="too few losses to test",$Y535="too few loans to test"),"Too few losses",IF($Y535="","","No"))))</f>
        <v/>
      </c>
      <c r="AJ535">
        <f>IF($AA535="yes","Yes",IF($AA535="","","No"))</f>
        <v/>
      </c>
    </row>
    <row r="536">
      <c r="A536" t="inlineStr">
        <is>
          <t>three-way</t>
        </is>
      </c>
      <c r="B536" t="inlineStr">
        <is>
          <t>FICO x CHANNEL / REV_DEBT</t>
        </is>
      </c>
      <c r="C536" t="inlineStr">
        <is>
          <t>(marked missing)</t>
        </is>
      </c>
      <c r="D536" t="inlineStr">
        <is>
          <t>Online / REV_DEBT low half</t>
        </is>
      </c>
      <c r="E536" t="inlineStr">
        <is>
          <t>gco_rate</t>
        </is>
      </c>
      <c r="F536" t="inlineStr">
        <is>
          <t>GCO per booked dollar</t>
        </is>
      </c>
      <c r="G536" t="n">
        <v>28</v>
      </c>
      <c r="H536" t="n">
        <v>990667.0999999999</v>
      </c>
      <c r="I536" t="b">
        <v>1</v>
      </c>
      <c r="J536" t="b">
        <v>0</v>
      </c>
      <c r="K536" t="n">
        <v>0.7510055183052815</v>
      </c>
      <c r="M536" t="n">
        <v>1.293199184190253</v>
      </c>
      <c r="O536" t="n">
        <v>-10272.61790219225</v>
      </c>
      <c r="P536" t="n">
        <v>7024.76622486459</v>
      </c>
      <c r="Q536">
        <f>'_live'!$C$22</f>
        <v/>
      </c>
      <c r="T536" t="n">
        <v>0.04164507724359904</v>
      </c>
      <c r="U536" t="n">
        <v>0.02418473751185985</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0.03127568282019258</v>
      </c>
      <c r="AI536">
        <f>IF($Y536="worse","Yes",IF($Y536="worse, not significant","Not sure",IF(OR($Y536="too few losses to test",$Y536="too few loans to test"),"Too few losses",IF($Y536="","","No"))))</f>
        <v/>
      </c>
      <c r="AJ536">
        <f>IF($AA536="yes","Yes",IF($AA536="","","No"))</f>
        <v/>
      </c>
    </row>
    <row r="537">
      <c r="A537" t="inlineStr">
        <is>
          <t>three-way</t>
        </is>
      </c>
      <c r="B537" t="inlineStr">
        <is>
          <t>FICO x CHANNEL / REV_DEBT</t>
        </is>
      </c>
      <c r="C537" t="inlineStr">
        <is>
          <t>(marked missing)</t>
        </is>
      </c>
      <c r="D537" t="inlineStr">
        <is>
          <t>Online / REV_DEBT low half</t>
        </is>
      </c>
      <c r="E537" t="inlineStr">
        <is>
          <t>ranr_rate</t>
        </is>
      </c>
      <c r="F537" t="inlineStr">
        <is>
          <t>Profit after losses: RANR per booked dollar</t>
        </is>
      </c>
      <c r="G537" t="n">
        <v>28</v>
      </c>
      <c r="H537" t="n">
        <v>990667.0999999999</v>
      </c>
      <c r="I537" t="b">
        <v>0</v>
      </c>
      <c r="J537" t="b">
        <v>0</v>
      </c>
      <c r="K537" t="n">
        <v>-0.004697486793982075</v>
      </c>
      <c r="L537" t="n">
        <v>0.9415058494150585</v>
      </c>
      <c r="M537" t="n">
        <v>-0.03920749622618808</v>
      </c>
      <c r="N537" t="n">
        <v>0.606989301069893</v>
      </c>
      <c r="O537" t="n">
        <v>4653.645619482515</v>
      </c>
      <c r="P537" t="n">
        <v>38841.57658465867</v>
      </c>
      <c r="Q537">
        <f>'_live'!$C$23</f>
        <v/>
      </c>
      <c r="R537" t="inlineStr">
        <is>
          <t>shuffled: 8,998 of 10,000</t>
        </is>
      </c>
      <c r="S537" t="inlineStr">
        <is>
          <t>shuffled: 2,588 of 10,000</t>
        </is>
      </c>
      <c r="T537" t="n">
        <v>0.1280080822503165</v>
      </c>
      <c r="U537" t="n">
        <v>0.1625180916825225</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0.1233105954563344</v>
      </c>
      <c r="AI537">
        <f>IF($Y537="worse","Yes",IF($Y537="worse, not significant","Not sure",IF(OR($Y537="too few losses to test",$Y537="too few loans to test"),"Too few losses",IF($Y537="","","No"))))</f>
        <v/>
      </c>
      <c r="AJ537">
        <f>IF($AA537="yes","Yes",IF($AA537="","","No"))</f>
        <v/>
      </c>
    </row>
    <row r="538">
      <c r="A538" t="inlineStr">
        <is>
          <t>three-way</t>
        </is>
      </c>
      <c r="B538" t="inlineStr">
        <is>
          <t>FICO x CHANNEL / REV_DEBT</t>
        </is>
      </c>
      <c r="C538" t="inlineStr">
        <is>
          <t>(marked missing)</t>
        </is>
      </c>
      <c r="D538" t="inlineStr">
        <is>
          <t>Online / REV_DEBT low half</t>
        </is>
      </c>
      <c r="E538" t="inlineStr">
        <is>
          <t>contribution_rate</t>
        </is>
      </c>
      <c r="F538" t="inlineStr">
        <is>
          <t>Contribution before losses per booked dollar</t>
        </is>
      </c>
      <c r="G538" t="n">
        <v>28</v>
      </c>
      <c r="H538" t="n">
        <v>990667.0999999999</v>
      </c>
      <c r="I538" t="b">
        <v>0</v>
      </c>
      <c r="J538" t="b">
        <v>0</v>
      </c>
      <c r="K538" t="n">
        <v>-0.01506401373495569</v>
      </c>
      <c r="L538" t="n">
        <v>0.5896153241818676</v>
      </c>
      <c r="M538" t="n">
        <v>-0.03211655091785534</v>
      </c>
      <c r="N538" t="n">
        <v>0.3911608839116088</v>
      </c>
      <c r="O538" t="n">
        <v>14923.42280116872</v>
      </c>
      <c r="P538" t="n">
        <v>31816.81035979406</v>
      </c>
      <c r="Q538">
        <f>'_live'!$C$24</f>
        <v/>
      </c>
      <c r="R538" t="inlineStr">
        <is>
          <t>shuffled: 5,577 of 10,000</t>
        </is>
      </c>
      <c r="S538" t="inlineStr">
        <is>
          <t>shuffled: 2,607 of 10,000</t>
        </is>
      </c>
      <c r="T538" t="n">
        <v>0.1696502920114827</v>
      </c>
      <c r="U538" t="n">
        <v>0.1867028291943824</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0.154586278276527</v>
      </c>
      <c r="AI538">
        <f>IF($Y538="worse","Yes",IF($Y538="worse, not significant","Not sure",IF(OR($Y538="too few losses to test",$Y538="too few loans to test"),"Too few losses",IF($Y538="","","No"))))</f>
        <v/>
      </c>
      <c r="AJ538">
        <f>IF($AA538="yes","Yes",IF($AA538="","","No"))</f>
        <v/>
      </c>
    </row>
    <row r="539">
      <c r="A539" t="inlineStr">
        <is>
          <t>three-way</t>
        </is>
      </c>
      <c r="B539" t="inlineStr">
        <is>
          <t>FICO x CHANNEL / REV_DEBT</t>
        </is>
      </c>
      <c r="C539" t="inlineStr">
        <is>
          <t>746 - 921</t>
        </is>
      </c>
      <c r="D539" t="inlineStr">
        <is>
          <t>Broker / REV_DEBT high half</t>
        </is>
      </c>
      <c r="E539" t="inlineStr">
        <is>
          <t>outcome_loans</t>
        </is>
      </c>
      <c r="F539" t="inlineStr">
        <is>
          <t>Outcome, share of loans</t>
        </is>
      </c>
      <c r="G539" t="n">
        <v>268</v>
      </c>
      <c r="H539" t="n">
        <v>268</v>
      </c>
      <c r="I539" t="b">
        <v>0</v>
      </c>
      <c r="J539" t="b">
        <v>0</v>
      </c>
      <c r="K539" t="n">
        <v>0.667534229678056</v>
      </c>
      <c r="L539" t="n">
        <v>0.168319370606903</v>
      </c>
      <c r="M539" t="n">
        <v>1.41806592039801</v>
      </c>
      <c r="N539" t="n">
        <v>0.4501821955874574</v>
      </c>
      <c r="O539" t="n">
        <v>-6.972707282369683</v>
      </c>
      <c r="P539" t="n">
        <v>4.127398311588641</v>
      </c>
      <c r="Q539">
        <f>'_live'!$C$20</f>
        <v/>
      </c>
      <c r="R539" t="inlineStr">
        <is>
          <t>z test</t>
        </is>
      </c>
      <c r="S539" t="inlineStr">
        <is>
          <t>z test</t>
        </is>
      </c>
      <c r="T539" t="n">
        <v>0.07825637045660329</v>
      </c>
      <c r="U539" t="n">
        <v>0.03683806600153492</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0.05223880597014925</v>
      </c>
      <c r="AI539">
        <f>IF($Y539="worse","Yes",IF($Y539="worse, not significant","Not sure",IF(OR($Y539="too few losses to test",$Y539="too few loans to test"),"Too few losses",IF($Y539="","","No"))))</f>
        <v/>
      </c>
      <c r="AJ539">
        <f>IF($AA539="yes","Yes",IF($AA539="","","No"))</f>
        <v/>
      </c>
    </row>
    <row r="540">
      <c r="A540" t="inlineStr">
        <is>
          <t>three-way</t>
        </is>
      </c>
      <c r="B540" t="inlineStr">
        <is>
          <t>FICO x CHANNEL / REV_DEBT</t>
        </is>
      </c>
      <c r="C540" t="inlineStr">
        <is>
          <t>746 - 921</t>
        </is>
      </c>
      <c r="D540" t="inlineStr">
        <is>
          <t>Broker / REV_DEBT high half</t>
        </is>
      </c>
      <c r="E540" t="inlineStr">
        <is>
          <t>outcome_booked</t>
        </is>
      </c>
      <c r="F540" t="inlineStr">
        <is>
          <t>Outcome, share of booked dollars</t>
        </is>
      </c>
      <c r="G540" t="n">
        <v>268</v>
      </c>
      <c r="H540" t="n">
        <v>8093972.680000002</v>
      </c>
      <c r="I540" t="b">
        <v>0</v>
      </c>
      <c r="J540" t="b">
        <v>0</v>
      </c>
      <c r="K540" t="n">
        <v>0.6763995152971608</v>
      </c>
      <c r="L540" t="n">
        <v>0.24248200179982</v>
      </c>
      <c r="M540" t="n">
        <v>1.499442581014647</v>
      </c>
      <c r="N540" t="n">
        <v>0.4449009644490097</v>
      </c>
      <c r="O540" t="n">
        <v>-198002.6574230734</v>
      </c>
      <c r="P540" t="n">
        <v>137854.4753805783</v>
      </c>
      <c r="Q540">
        <f>'_live'!$C$21</f>
        <v/>
      </c>
      <c r="R540" t="inlineStr">
        <is>
          <t>shuffled: 1,686 of 10,000</t>
        </is>
      </c>
      <c r="S540" t="inlineStr">
        <is>
          <t>shuffled: 2,127 of 10,000</t>
        </is>
      </c>
      <c r="T540" t="n">
        <v>0.07559622716975531</v>
      </c>
      <c r="U540" t="n">
        <v>0.03410150682883471</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0.05113325141591655</v>
      </c>
      <c r="AI540">
        <f>IF($Y540="worse","Yes",IF($Y540="worse, not significant","Not sure",IF(OR($Y540="too few losses to test",$Y540="too few loans to test"),"Too few losses",IF($Y540="","","No"))))</f>
        <v/>
      </c>
      <c r="AJ540">
        <f>IF($AA540="yes","Yes",IF($AA540="","","No"))</f>
        <v/>
      </c>
    </row>
    <row r="541">
      <c r="A541" t="inlineStr">
        <is>
          <t>three-way</t>
        </is>
      </c>
      <c r="B541" t="inlineStr">
        <is>
          <t>FICO x CHANNEL / REV_DEBT</t>
        </is>
      </c>
      <c r="C541" t="inlineStr">
        <is>
          <t>746 - 921</t>
        </is>
      </c>
      <c r="D541" t="inlineStr">
        <is>
          <t>Broker / REV_DEBT high half</t>
        </is>
      </c>
      <c r="E541" t="inlineStr">
        <is>
          <t>gco_rate</t>
        </is>
      </c>
      <c r="F541" t="inlineStr">
        <is>
          <t>GCO per booked dollar</t>
        </is>
      </c>
      <c r="G541" t="n">
        <v>268</v>
      </c>
      <c r="H541" t="n">
        <v>8093972.680000002</v>
      </c>
      <c r="I541" t="b">
        <v>0</v>
      </c>
      <c r="J541" t="b">
        <v>0</v>
      </c>
      <c r="K541" t="n">
        <v>0.6666990571475226</v>
      </c>
      <c r="L541" t="n">
        <v>0.2297064411205938</v>
      </c>
      <c r="M541" t="n">
        <v>1.578025565847082</v>
      </c>
      <c r="N541" t="n">
        <v>0.326149203261492</v>
      </c>
      <c r="O541" t="n">
        <v>-113425.6007994672</v>
      </c>
      <c r="P541" t="n">
        <v>83106.96061388188</v>
      </c>
      <c r="Q541">
        <f>'_live'!$C$22</f>
        <v/>
      </c>
      <c r="R541" t="inlineStr">
        <is>
          <t>shuffled: 1,697 of 10,000</t>
        </is>
      </c>
      <c r="S541" t="inlineStr">
        <is>
          <t>shuffled: 1,559 of 10,000</t>
        </is>
      </c>
      <c r="T541" t="n">
        <v>0.04204485044042267</v>
      </c>
      <c r="U541" t="n">
        <v>0.01776350317334134</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0.0280312621465384</v>
      </c>
      <c r="AI541">
        <f>IF($Y541="worse","Yes",IF($Y541="worse, not significant","Not sure",IF(OR($Y541="too few losses to test",$Y541="too few loans to test"),"Too few losses",IF($Y541="","","No"))))</f>
        <v/>
      </c>
      <c r="AJ541">
        <f>IF($AA541="yes","Yes",IF($AA541="","","No"))</f>
        <v/>
      </c>
    </row>
    <row r="542">
      <c r="A542" t="inlineStr">
        <is>
          <t>three-way</t>
        </is>
      </c>
      <c r="B542" t="inlineStr">
        <is>
          <t>FICO x CHANNEL / REV_DEBT</t>
        </is>
      </c>
      <c r="C542" t="inlineStr">
        <is>
          <t>746 - 921</t>
        </is>
      </c>
      <c r="D542" t="inlineStr">
        <is>
          <t>Broker / REV_DEBT high half</t>
        </is>
      </c>
      <c r="E542" t="inlineStr">
        <is>
          <t>ranr_rate</t>
        </is>
      </c>
      <c r="F542" t="inlineStr">
        <is>
          <t>Profit after losses: RANR per booked dollar</t>
        </is>
      </c>
      <c r="G542" t="n">
        <v>268</v>
      </c>
      <c r="H542" t="n">
        <v>8093972.680000002</v>
      </c>
      <c r="I542" t="b">
        <v>0</v>
      </c>
      <c r="J542" t="b">
        <v>0</v>
      </c>
      <c r="K542" t="n">
        <v>-0.08703876363790911</v>
      </c>
      <c r="L542" t="n">
        <v>0.0002466420024664201</v>
      </c>
      <c r="M542" t="n">
        <v>-0.003646414101735961</v>
      </c>
      <c r="N542" t="n">
        <v>0.8927107289271073</v>
      </c>
      <c r="O542" t="n">
        <v>704489.3749862139</v>
      </c>
      <c r="P542" t="n">
        <v>29513.97611941758</v>
      </c>
      <c r="Q542">
        <f>'_live'!$C$23</f>
        <v/>
      </c>
      <c r="R542" t="inlineStr">
        <is>
          <t>shuffled: 0 of 10,000</t>
        </is>
      </c>
      <c r="S542" t="inlineStr">
        <is>
          <t>shuffled: 6,376 of 10,000</t>
        </is>
      </c>
      <c r="T542" t="n">
        <v>0.1307199044049916</v>
      </c>
      <c r="U542" t="n">
        <v>0.04732755486881848</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0.04368114076708252</v>
      </c>
      <c r="AI542">
        <f>IF($Y542="worse","Yes",IF($Y542="worse, not significant","Not sure",IF(OR($Y542="too few losses to test",$Y542="too few loans to test"),"Too few losses",IF($Y542="","","No"))))</f>
        <v/>
      </c>
      <c r="AJ542">
        <f>IF($AA542="yes","Yes",IF($AA542="","","No"))</f>
        <v/>
      </c>
    </row>
    <row r="543">
      <c r="A543" t="inlineStr">
        <is>
          <t>three-way</t>
        </is>
      </c>
      <c r="B543" t="inlineStr">
        <is>
          <t>FICO x CHANNEL / REV_DEBT</t>
        </is>
      </c>
      <c r="C543" t="inlineStr">
        <is>
          <t>746 - 921</t>
        </is>
      </c>
      <c r="D543" t="inlineStr">
        <is>
          <t>Broker / REV_DEBT high half</t>
        </is>
      </c>
      <c r="E543" t="inlineStr">
        <is>
          <t>contribution_rate</t>
        </is>
      </c>
      <c r="F543" t="inlineStr">
        <is>
          <t>Contribution before losses per booked dollar</t>
        </is>
      </c>
      <c r="G543" t="n">
        <v>268</v>
      </c>
      <c r="H543" t="n">
        <v>8093972.680000002</v>
      </c>
      <c r="I543" t="b">
        <v>0</v>
      </c>
      <c r="J543" t="b">
        <v>0</v>
      </c>
      <c r="K543" t="n">
        <v>-0.1010498335344674</v>
      </c>
      <c r="L543" t="n">
        <v>0.0001761728589045857</v>
      </c>
      <c r="M543" t="n">
        <v>0.006621344871461141</v>
      </c>
      <c r="N543" t="n">
        <v>0.0101989801019898</v>
      </c>
      <c r="O543" t="n">
        <v>817894.5919465275</v>
      </c>
      <c r="P543" t="n">
        <v>-53592.98449446459</v>
      </c>
      <c r="Q543">
        <f>'_live'!$C$24</f>
        <v/>
      </c>
      <c r="R543" t="inlineStr">
        <is>
          <t>shuffled: 0 of 10,000</t>
        </is>
      </c>
      <c r="S543" t="inlineStr">
        <is>
          <t>shuffled: 33 of 10,000</t>
        </is>
      </c>
      <c r="T543" t="n">
        <v>0.1727622364480884</v>
      </c>
      <c r="U543" t="n">
        <v>0.06509105804215978</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0.07171240291362092</v>
      </c>
      <c r="AI543">
        <f>IF($Y543="worse","Yes",IF($Y543="worse, not significant","Not sure",IF(OR($Y543="too few losses to test",$Y543="too few loans to test"),"Too few losses",IF($Y543="","","No"))))</f>
        <v/>
      </c>
      <c r="AJ543">
        <f>IF($AA543="yes","Yes",IF($AA543="","","No"))</f>
        <v/>
      </c>
    </row>
    <row r="544">
      <c r="A544" t="inlineStr">
        <is>
          <t>three-way</t>
        </is>
      </c>
      <c r="B544" t="inlineStr">
        <is>
          <t>FICO x CHANNEL / REV_DEBT</t>
        </is>
      </c>
      <c r="C544" t="inlineStr">
        <is>
          <t>746 - 921</t>
        </is>
      </c>
      <c r="D544" t="inlineStr">
        <is>
          <t>Branch / REV_DEBT high half</t>
        </is>
      </c>
      <c r="E544" t="inlineStr">
        <is>
          <t>outcome_loans</t>
        </is>
      </c>
      <c r="F544" t="inlineStr">
        <is>
          <t>Outcome, share of loans</t>
        </is>
      </c>
      <c r="G544" t="n">
        <v>259</v>
      </c>
      <c r="H544" t="n">
        <v>259</v>
      </c>
      <c r="I544" t="b">
        <v>0</v>
      </c>
      <c r="J544" t="b">
        <v>0</v>
      </c>
      <c r="K544" t="n">
        <v>0.641079551970641</v>
      </c>
      <c r="L544" t="n">
        <v>0.168319370606903</v>
      </c>
      <c r="M544" t="n">
        <v>1.343944527617997</v>
      </c>
      <c r="N544" t="n">
        <v>0.5088932578455794</v>
      </c>
      <c r="O544" t="n">
        <v>-7.278294573643411</v>
      </c>
      <c r="P544" t="n">
        <v>3.326981707317074</v>
      </c>
      <c r="Q544">
        <f>'_live'!$C$20</f>
        <v/>
      </c>
      <c r="R544" t="inlineStr">
        <is>
          <t>z test</t>
        </is>
      </c>
      <c r="S544" t="inlineStr">
        <is>
          <t>z test</t>
        </is>
      </c>
      <c r="T544" t="n">
        <v>0.07829457364341086</v>
      </c>
      <c r="U544" t="n">
        <v>0.03734756097560975</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0.05019305019305019</v>
      </c>
      <c r="AI544">
        <f>IF($Y544="worse","Yes",IF($Y544="worse, not significant","Not sure",IF(OR($Y544="too few losses to test",$Y544="too few loans to test"),"Too few losses",IF($Y544="","","No"))))</f>
        <v/>
      </c>
      <c r="AJ544">
        <f>IF($AA544="yes","Yes",IF($AA544="","","No"))</f>
        <v/>
      </c>
    </row>
    <row r="545">
      <c r="A545" t="inlineStr">
        <is>
          <t>three-way</t>
        </is>
      </c>
      <c r="B545" t="inlineStr">
        <is>
          <t>FICO x CHANNEL / REV_DEBT</t>
        </is>
      </c>
      <c r="C545" t="inlineStr">
        <is>
          <t>746 - 921</t>
        </is>
      </c>
      <c r="D545" t="inlineStr">
        <is>
          <t>Branch / REV_DEBT high half</t>
        </is>
      </c>
      <c r="E545" t="inlineStr">
        <is>
          <t>outcome_booked</t>
        </is>
      </c>
      <c r="F545" t="inlineStr">
        <is>
          <t>Outcome, share of booked dollars</t>
        </is>
      </c>
      <c r="G545" t="n">
        <v>259</v>
      </c>
      <c r="H545" t="n">
        <v>8314870.610000003</v>
      </c>
      <c r="I545" t="b">
        <v>0</v>
      </c>
      <c r="J545" t="b">
        <v>0</v>
      </c>
      <c r="K545" t="n">
        <v>0.5817814014619224</v>
      </c>
      <c r="L545" t="n">
        <v>0.1212745392127454</v>
      </c>
      <c r="M545" t="n">
        <v>1.246851560495764</v>
      </c>
      <c r="N545" t="n">
        <v>0.7678357164283571</v>
      </c>
      <c r="O545" t="n">
        <v>-263767.1490413808</v>
      </c>
      <c r="P545" t="n">
        <v>72643.76088381652</v>
      </c>
      <c r="Q545">
        <f>'_live'!$C$21</f>
        <v/>
      </c>
      <c r="R545" t="inlineStr">
        <is>
          <t>shuffled: 790 of 10,000</t>
        </is>
      </c>
      <c r="S545" t="inlineStr">
        <is>
          <t>shuffled: 5,341 of 10,000</t>
        </is>
      </c>
      <c r="T545" t="n">
        <v>0.07585109722367413</v>
      </c>
      <c r="U545" t="n">
        <v>0.03539215015111142</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0.04412875764521366</v>
      </c>
      <c r="AI545">
        <f>IF($Y545="worse","Yes",IF($Y545="worse, not significant","Not sure",IF(OR($Y545="too few losses to test",$Y545="too few loans to test"),"Too few losses",IF($Y545="","","No"))))</f>
        <v/>
      </c>
      <c r="AJ545">
        <f>IF($AA545="yes","Yes",IF($AA545="","","No"))</f>
        <v/>
      </c>
    </row>
    <row r="546">
      <c r="A546" t="inlineStr">
        <is>
          <t>three-way</t>
        </is>
      </c>
      <c r="B546" t="inlineStr">
        <is>
          <t>FICO x CHANNEL / REV_DEBT</t>
        </is>
      </c>
      <c r="C546" t="inlineStr">
        <is>
          <t>746 - 921</t>
        </is>
      </c>
      <c r="D546" t="inlineStr">
        <is>
          <t>Branch / REV_DEBT high half</t>
        </is>
      </c>
      <c r="E546" t="inlineStr">
        <is>
          <t>gco_rate</t>
        </is>
      </c>
      <c r="F546" t="inlineStr">
        <is>
          <t>GCO per booked dollar</t>
        </is>
      </c>
      <c r="G546" t="n">
        <v>259</v>
      </c>
      <c r="H546" t="n">
        <v>8314870.610000003</v>
      </c>
      <c r="I546" t="b">
        <v>0</v>
      </c>
      <c r="J546" t="b">
        <v>0</v>
      </c>
      <c r="K546" t="n">
        <v>0.6054843524576939</v>
      </c>
      <c r="L546" t="n">
        <v>0.1852957561386719</v>
      </c>
      <c r="M546" t="n">
        <v>1.401555211020743</v>
      </c>
      <c r="N546" t="n">
        <v>0.5498093047838074</v>
      </c>
      <c r="O546" t="n">
        <v>-138237.1119609935</v>
      </c>
      <c r="P546" t="n">
        <v>60785.27679526646</v>
      </c>
      <c r="Q546">
        <f>'_live'!$C$22</f>
        <v/>
      </c>
      <c r="R546" t="inlineStr">
        <is>
          <t>shuffled: 1,127 of 10,000</t>
        </is>
      </c>
      <c r="S546" t="inlineStr">
        <is>
          <t>shuffled: 3,268 of 10,000</t>
        </is>
      </c>
      <c r="T546" t="n">
        <v>0.04214100836873916</v>
      </c>
      <c r="U546" t="n">
        <v>0.01820529149577873</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0.02551572116406029</v>
      </c>
      <c r="AI546">
        <f>IF($Y546="worse","Yes",IF($Y546="worse, not significant","Not sure",IF(OR($Y546="too few losses to test",$Y546="too few loans to test"),"Too few losses",IF($Y546="","","No"))))</f>
        <v/>
      </c>
      <c r="AJ546">
        <f>IF($AA546="yes","Yes",IF($AA546="","","No"))</f>
        <v/>
      </c>
    </row>
    <row r="547">
      <c r="A547" t="inlineStr">
        <is>
          <t>three-way</t>
        </is>
      </c>
      <c r="B547" t="inlineStr">
        <is>
          <t>FICO x CHANNEL / REV_DEBT</t>
        </is>
      </c>
      <c r="C547" t="inlineStr">
        <is>
          <t>746 - 921</t>
        </is>
      </c>
      <c r="D547" t="inlineStr">
        <is>
          <t>Branch / REV_DEBT high half</t>
        </is>
      </c>
      <c r="E547" t="inlineStr">
        <is>
          <t>ranr_rate</t>
        </is>
      </c>
      <c r="F547" t="inlineStr">
        <is>
          <t>Profit after losses: RANR per booked dollar</t>
        </is>
      </c>
      <c r="G547" t="n">
        <v>259</v>
      </c>
      <c r="H547" t="n">
        <v>8314870.610000003</v>
      </c>
      <c r="I547" t="b">
        <v>0</v>
      </c>
      <c r="J547" t="b">
        <v>0</v>
      </c>
      <c r="K547" t="n">
        <v>-0.08835618276227841</v>
      </c>
      <c r="L547" t="n">
        <v>0.0002466420024664201</v>
      </c>
      <c r="M547" t="n">
        <v>-0.005102440130167224</v>
      </c>
      <c r="N547" t="n">
        <v>0.8743852887438529</v>
      </c>
      <c r="O547" t="n">
        <v>734670.2272618576</v>
      </c>
      <c r="P547" t="n">
        <v>42426.12947761203</v>
      </c>
      <c r="Q547">
        <f>'_live'!$C$23</f>
        <v/>
      </c>
      <c r="R547" t="inlineStr">
        <is>
          <t>shuffled: 0 of 10,000</t>
        </is>
      </c>
      <c r="S547" t="inlineStr">
        <is>
          <t>shuffled: 5,157 of 10,000</t>
        </is>
      </c>
      <c r="T547" t="n">
        <v>0.1308368534266172</v>
      </c>
      <c r="U547" t="n">
        <v>0.04758311079450602</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0.0424806706643388</v>
      </c>
      <c r="AI547">
        <f>IF($Y547="worse","Yes",IF($Y547="worse, not significant","Not sure",IF(OR($Y547="too few losses to test",$Y547="too few loans to test"),"Too few losses",IF($Y547="","","No"))))</f>
        <v/>
      </c>
      <c r="AJ547">
        <f>IF($AA547="yes","Yes",IF($AA547="","","No"))</f>
        <v/>
      </c>
    </row>
    <row r="548">
      <c r="A548" t="inlineStr">
        <is>
          <t>three-way</t>
        </is>
      </c>
      <c r="B548" t="inlineStr">
        <is>
          <t>FICO x CHANNEL / REV_DEBT</t>
        </is>
      </c>
      <c r="C548" t="inlineStr">
        <is>
          <t>746 - 921</t>
        </is>
      </c>
      <c r="D548" t="inlineStr">
        <is>
          <t>Branch / REV_DEBT high half</t>
        </is>
      </c>
      <c r="E548" t="inlineStr">
        <is>
          <t>contribution_rate</t>
        </is>
      </c>
      <c r="F548" t="inlineStr">
        <is>
          <t>Contribution before losses per booked dollar</t>
        </is>
      </c>
      <c r="G548" t="n">
        <v>259</v>
      </c>
      <c r="H548" t="n">
        <v>8314870.610000003</v>
      </c>
      <c r="I548" t="b">
        <v>0</v>
      </c>
      <c r="J548" t="b">
        <v>0</v>
      </c>
      <c r="K548" t="n">
        <v>-0.1049789679273378</v>
      </c>
      <c r="L548" t="n">
        <v>0.0001761728589045857</v>
      </c>
      <c r="M548" t="n">
        <v>0.002207989538114283</v>
      </c>
      <c r="N548" t="n">
        <v>0.4562210445622104</v>
      </c>
      <c r="O548" t="n">
        <v>872886.5350871538</v>
      </c>
      <c r="P548" t="n">
        <v>-18359.14731765387</v>
      </c>
      <c r="Q548">
        <f>'_live'!$C$24</f>
        <v/>
      </c>
      <c r="R548" t="inlineStr">
        <is>
          <t>shuffled: 0 of 10,000</t>
        </is>
      </c>
      <c r="S548" t="inlineStr">
        <is>
          <t>shuffled: 3,421 of 10,000</t>
        </is>
      </c>
      <c r="T548" t="n">
        <v>0.1729753597557368</v>
      </c>
      <c r="U548" t="n">
        <v>0.06578840229028475</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0.06799639182839903</v>
      </c>
      <c r="AI548">
        <f>IF($Y548="worse","Yes",IF($Y548="worse, not significant","Not sure",IF(OR($Y548="too few losses to test",$Y548="too few loans to test"),"Too few losses",IF($Y548="","","No"))))</f>
        <v/>
      </c>
      <c r="AJ548">
        <f>IF($AA548="yes","Yes",IF($AA548="","","No"))</f>
        <v/>
      </c>
    </row>
    <row r="549">
      <c r="A549" t="inlineStr">
        <is>
          <t>three-way</t>
        </is>
      </c>
      <c r="B549" t="inlineStr">
        <is>
          <t>FICO x CHANNEL / REV_DEBT</t>
        </is>
      </c>
      <c r="C549" t="inlineStr">
        <is>
          <t>686 - 711</t>
        </is>
      </c>
      <c r="D549" t="inlineStr">
        <is>
          <t>Broker / REV_DEBT high half</t>
        </is>
      </c>
      <c r="E549" t="inlineStr">
        <is>
          <t>outcome_loans</t>
        </is>
      </c>
      <c r="F549" t="inlineStr">
        <is>
          <t>Outcome, share of loans</t>
        </is>
      </c>
      <c r="G549" t="n">
        <v>250</v>
      </c>
      <c r="H549" t="n">
        <v>250</v>
      </c>
      <c r="I549" t="b">
        <v>0</v>
      </c>
      <c r="J549" t="b">
        <v>0</v>
      </c>
      <c r="K549" t="n">
        <v>0.8753023255813954</v>
      </c>
      <c r="L549" t="n">
        <v>0.6584972306074447</v>
      </c>
      <c r="M549" t="n">
        <v>1.129316455696203</v>
      </c>
      <c r="N549" t="n">
        <v>0.772910227022698</v>
      </c>
      <c r="O549" t="n">
        <v>-2.421860885275517</v>
      </c>
      <c r="P549" t="n">
        <v>1.946646341463415</v>
      </c>
      <c r="Q549">
        <f>'_live'!$C$20</f>
        <v/>
      </c>
      <c r="R549" t="inlineStr">
        <is>
          <t>z test</t>
        </is>
      </c>
      <c r="S549" t="inlineStr">
        <is>
          <t>z test</t>
        </is>
      </c>
      <c r="T549" t="n">
        <v>0.07768744354110207</v>
      </c>
      <c r="U549" t="n">
        <v>0.06021341463414634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0.068</v>
      </c>
      <c r="AI549">
        <f>IF($Y549="worse","Yes",IF($Y549="worse, not significant","Not sure",IF(OR($Y549="too few losses to test",$Y549="too few loans to test"),"Too few losses",IF($Y549="","","No"))))</f>
        <v/>
      </c>
      <c r="AJ549">
        <f>IF($AA549="yes","Yes",IF($AA549="","","No"))</f>
        <v/>
      </c>
    </row>
    <row r="550">
      <c r="A550" t="inlineStr">
        <is>
          <t>three-way</t>
        </is>
      </c>
      <c r="B550" t="inlineStr">
        <is>
          <t>FICO x CHANNEL / REV_DEBT</t>
        </is>
      </c>
      <c r="C550" t="inlineStr">
        <is>
          <t>686 - 711</t>
        </is>
      </c>
      <c r="D550" t="inlineStr">
        <is>
          <t>Broker / REV_DEBT high half</t>
        </is>
      </c>
      <c r="E550" t="inlineStr">
        <is>
          <t>outcome_booked</t>
        </is>
      </c>
      <c r="F550" t="inlineStr">
        <is>
          <t>Outcome, share of booked dollars</t>
        </is>
      </c>
      <c r="G550" t="n">
        <v>250</v>
      </c>
      <c r="H550" t="n">
        <v>8314330.489999998</v>
      </c>
      <c r="I550" t="b">
        <v>0</v>
      </c>
      <c r="J550" t="b">
        <v>0</v>
      </c>
      <c r="K550" t="n">
        <v>0.8952249452549437</v>
      </c>
      <c r="L550" t="n">
        <v>0.6811318868113189</v>
      </c>
      <c r="M550" t="n">
        <v>1.225524719414166</v>
      </c>
      <c r="N550" t="n">
        <v>0.7308669133086692</v>
      </c>
      <c r="O550" t="n">
        <v>-65406.82250202016</v>
      </c>
      <c r="P550" t="n">
        <v>102841.7375831113</v>
      </c>
      <c r="Q550">
        <f>'_live'!$C$21</f>
        <v/>
      </c>
      <c r="R550" t="inlineStr">
        <is>
          <t>shuffled: 6,725 of 10,000</t>
        </is>
      </c>
      <c r="S550" t="inlineStr">
        <is>
          <t>shuffled: 4,766 of 10,000</t>
        </is>
      </c>
      <c r="T550" t="n">
        <v>0.07508235248200007</v>
      </c>
      <c r="U550" t="n">
        <v>0.05484638035081149</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0.0672155948903109</v>
      </c>
      <c r="AI550">
        <f>IF($Y550="worse","Yes",IF($Y550="worse, not significant","Not sure",IF(OR($Y550="too few losses to test",$Y550="too few loans to test"),"Too few losses",IF($Y550="","","No"))))</f>
        <v/>
      </c>
      <c r="AJ550">
        <f>IF($AA550="yes","Yes",IF($AA550="","","No"))</f>
        <v/>
      </c>
    </row>
    <row r="551">
      <c r="A551" t="inlineStr">
        <is>
          <t>three-way</t>
        </is>
      </c>
      <c r="B551" t="inlineStr">
        <is>
          <t>FICO x CHANNEL / REV_DEBT</t>
        </is>
      </c>
      <c r="C551" t="inlineStr">
        <is>
          <t>686 - 711</t>
        </is>
      </c>
      <c r="D551" t="inlineStr">
        <is>
          <t>Broker / REV_DEBT high half</t>
        </is>
      </c>
      <c r="E551" t="inlineStr">
        <is>
          <t>gco_rate</t>
        </is>
      </c>
      <c r="F551" t="inlineStr">
        <is>
          <t>GCO per booked dollar</t>
        </is>
      </c>
      <c r="G551" t="n">
        <v>250</v>
      </c>
      <c r="H551" t="n">
        <v>8314330.489999998</v>
      </c>
      <c r="I551" t="b">
        <v>0</v>
      </c>
      <c r="J551" t="b">
        <v>0</v>
      </c>
      <c r="K551" t="n">
        <v>0.9519723514659058</v>
      </c>
      <c r="L551" t="n">
        <v>0.8927289089272891</v>
      </c>
      <c r="M551" t="n">
        <v>1.325485669164689</v>
      </c>
      <c r="N551" t="n">
        <v>0.5498093047838074</v>
      </c>
      <c r="O551" t="n">
        <v>-16639.47138976358</v>
      </c>
      <c r="P551" t="n">
        <v>80989.62196248231</v>
      </c>
      <c r="Q551">
        <f>'_live'!$C$22</f>
        <v/>
      </c>
      <c r="R551" t="inlineStr">
        <is>
          <t>shuffled: 8,539 of 10,000</t>
        </is>
      </c>
      <c r="S551" t="inlineStr">
        <is>
          <t>shuffled: 3,346 of 10,000</t>
        </is>
      </c>
      <c r="T551" t="n">
        <v>0.04166975221955169</v>
      </c>
      <c r="U551" t="n">
        <v>0.02992748464074079</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0.03966845200544827</v>
      </c>
      <c r="AI551">
        <f>IF($Y551="worse","Yes",IF($Y551="worse, not significant","Not sure",IF(OR($Y551="too few losses to test",$Y551="too few loans to test"),"Too few losses",IF($Y551="","","No"))))</f>
        <v/>
      </c>
      <c r="AJ551">
        <f>IF($AA551="yes","Yes",IF($AA551="","","No"))</f>
        <v/>
      </c>
    </row>
    <row r="552">
      <c r="A552" t="inlineStr">
        <is>
          <t>three-way</t>
        </is>
      </c>
      <c r="B552" t="inlineStr">
        <is>
          <t>FICO x CHANNEL / REV_DEBT</t>
        </is>
      </c>
      <c r="C552" t="inlineStr">
        <is>
          <t>686 - 711</t>
        </is>
      </c>
      <c r="D552" t="inlineStr">
        <is>
          <t>Broker / REV_DEBT high half</t>
        </is>
      </c>
      <c r="E552" t="inlineStr">
        <is>
          <t>ranr_rate</t>
        </is>
      </c>
      <c r="F552" t="inlineStr">
        <is>
          <t>Profit after losses: RANR per booked dollar</t>
        </is>
      </c>
      <c r="G552" t="n">
        <v>250</v>
      </c>
      <c r="H552" t="n">
        <v>8314330.489999998</v>
      </c>
      <c r="I552" t="b">
        <v>0</v>
      </c>
      <c r="J552" t="b">
        <v>0</v>
      </c>
      <c r="K552" t="n">
        <v>-0.01238061239440937</v>
      </c>
      <c r="L552" t="n">
        <v>0.4698530146985301</v>
      </c>
      <c r="M552" t="n">
        <v>-0.03095482356164463</v>
      </c>
      <c r="N552" t="n">
        <v>0.0527947205279472</v>
      </c>
      <c r="O552" t="n">
        <v>102936.5031157098</v>
      </c>
      <c r="P552" t="n">
        <v>257368.6333511522</v>
      </c>
      <c r="Q552">
        <f>'_live'!$C$23</f>
        <v/>
      </c>
      <c r="R552" t="inlineStr">
        <is>
          <t>shuffled: 3,428 of 10,000</t>
        </is>
      </c>
      <c r="S552" t="inlineStr">
        <is>
          <t>shuffled: 131 of 10,000</t>
        </is>
      </c>
      <c r="T552" t="n">
        <v>0.1283889225235392</v>
      </c>
      <c r="U552" t="n">
        <v>0.1469631336907745</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0.1160083101291299</v>
      </c>
      <c r="AI552">
        <f>IF($Y552="worse","Yes",IF($Y552="worse, not significant","Not sure",IF(OR($Y552="too few losses to test",$Y552="too few loans to test"),"Too few losses",IF($Y552="","","No"))))</f>
        <v/>
      </c>
      <c r="AJ552">
        <f>IF($AA552="yes","Yes",IF($AA552="","","No"))</f>
        <v/>
      </c>
    </row>
    <row r="553">
      <c r="A553" t="inlineStr">
        <is>
          <t>three-way</t>
        </is>
      </c>
      <c r="B553" t="inlineStr">
        <is>
          <t>FICO x CHANNEL / REV_DEBT</t>
        </is>
      </c>
      <c r="C553" t="inlineStr">
        <is>
          <t>686 - 711</t>
        </is>
      </c>
      <c r="D553" t="inlineStr">
        <is>
          <t>Broker / REV_DEBT high half</t>
        </is>
      </c>
      <c r="E553" t="inlineStr">
        <is>
          <t>contribution_rate</t>
        </is>
      </c>
      <c r="F553" t="inlineStr">
        <is>
          <t>Contribution before losses per booked dollar</t>
        </is>
      </c>
      <c r="G553" t="n">
        <v>250</v>
      </c>
      <c r="H553" t="n">
        <v>8314330.489999998</v>
      </c>
      <c r="I553" t="b">
        <v>0</v>
      </c>
      <c r="J553" t="b">
        <v>0</v>
      </c>
      <c r="K553" t="n">
        <v>-0.01437902155096291</v>
      </c>
      <c r="L553" t="n">
        <v>0.108960071734762</v>
      </c>
      <c r="M553" t="n">
        <v>-0.02121385619693714</v>
      </c>
      <c r="N553" t="n">
        <v>0.00647935206479352</v>
      </c>
      <c r="O553" t="n">
        <v>119551.9372975379</v>
      </c>
      <c r="P553" t="n">
        <v>176379.01138867</v>
      </c>
      <c r="Q553">
        <f>'_live'!$C$24</f>
        <v/>
      </c>
      <c r="R553" t="inlineStr">
        <is>
          <t>shuffled: 912 of 10,000</t>
        </is>
      </c>
      <c r="S553" t="inlineStr">
        <is>
          <t>shuffled: 17 of 10,000</t>
        </is>
      </c>
      <c r="T553" t="n">
        <v>0.170055783685541</v>
      </c>
      <c r="U553" t="n">
        <v>0.1768906183315153</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0.1556767621345781</v>
      </c>
      <c r="AI553">
        <f>IF($Y553="worse","Yes",IF($Y553="worse, not significant","Not sure",IF(OR($Y553="too few losses to test",$Y553="too few loans to test"),"Too few losses",IF($Y553="","","No"))))</f>
        <v/>
      </c>
      <c r="AJ553">
        <f>IF($AA553="yes","Yes",IF($AA553="","","No"))</f>
        <v/>
      </c>
    </row>
    <row r="554">
      <c r="A554" t="inlineStr">
        <is>
          <t>three-way</t>
        </is>
      </c>
      <c r="B554" t="inlineStr">
        <is>
          <t>FICO x CHANNEL / REV_DEBT</t>
        </is>
      </c>
      <c r="C554" t="inlineStr">
        <is>
          <t>496 - 653</t>
        </is>
      </c>
      <c r="D554" t="inlineStr">
        <is>
          <t>Online / REV_DEBT high half</t>
        </is>
      </c>
      <c r="E554" t="inlineStr">
        <is>
          <t>outcome_loans</t>
        </is>
      </c>
      <c r="F554" t="inlineStr">
        <is>
          <t>Outcome, share of loans</t>
        </is>
      </c>
      <c r="G554" t="n">
        <v>265</v>
      </c>
      <c r="H554" t="n">
        <v>265</v>
      </c>
      <c r="I554" t="b">
        <v>0</v>
      </c>
      <c r="J554" t="b">
        <v>0</v>
      </c>
      <c r="K554" t="n">
        <v>1.696216739235607</v>
      </c>
      <c r="L554" t="n">
        <v>0.009236420041389951</v>
      </c>
      <c r="M554" t="n">
        <v>0.8275471698113208</v>
      </c>
      <c r="N554" t="n">
        <v>0.4501821955874574</v>
      </c>
      <c r="O554" t="n">
        <v>13.95539177657098</v>
      </c>
      <c r="P554" t="n">
        <v>-7.085271317829459</v>
      </c>
      <c r="Q554">
        <f>'_live'!$C$20</f>
        <v/>
      </c>
      <c r="R554" t="inlineStr">
        <is>
          <t>z test</t>
        </is>
      </c>
      <c r="S554" t="inlineStr">
        <is>
          <t>z test</t>
        </is>
      </c>
      <c r="T554" t="n">
        <v>0.07564003103180761</v>
      </c>
      <c r="U554" t="n">
        <v>0.1550387596899225</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0.1283018867924528</v>
      </c>
      <c r="AI554">
        <f>IF($Y554="worse","Yes",IF($Y554="worse, not significant","Not sure",IF(OR($Y554="too few losses to test",$Y554="too few loans to test"),"Too few losses",IF($Y554="","","No"))))</f>
        <v/>
      </c>
      <c r="AJ554">
        <f>IF($AA554="yes","Yes",IF($AA554="","","No"))</f>
        <v/>
      </c>
    </row>
    <row r="555">
      <c r="A555" t="inlineStr">
        <is>
          <t>three-way</t>
        </is>
      </c>
      <c r="B555" t="inlineStr">
        <is>
          <t>FICO x CHANNEL / REV_DEBT</t>
        </is>
      </c>
      <c r="C555" t="inlineStr">
        <is>
          <t>496 - 653</t>
        </is>
      </c>
      <c r="D555" t="inlineStr">
        <is>
          <t>Online / REV_DEBT high half</t>
        </is>
      </c>
      <c r="E555" t="inlineStr">
        <is>
          <t>outcome_booked</t>
        </is>
      </c>
      <c r="F555" t="inlineStr">
        <is>
          <t>Outcome, share of booked dollars</t>
        </is>
      </c>
      <c r="G555" t="n">
        <v>265</v>
      </c>
      <c r="H555" t="n">
        <v>8466411.169999998</v>
      </c>
      <c r="I555" t="b">
        <v>0</v>
      </c>
      <c r="J555" t="b">
        <v>0</v>
      </c>
      <c r="K555" t="n">
        <v>1.823526948513694</v>
      </c>
      <c r="L555" t="n">
        <v>0.009774022597740226</v>
      </c>
      <c r="M555" t="n">
        <v>0.8716116761498696</v>
      </c>
      <c r="N555" t="n">
        <v>0.7308669133086692</v>
      </c>
      <c r="O555" t="n">
        <v>508003.7809249288</v>
      </c>
      <c r="P555" t="n">
        <v>-165692.8639850952</v>
      </c>
      <c r="Q555">
        <f>'_live'!$C$21</f>
        <v/>
      </c>
      <c r="R555" t="inlineStr">
        <is>
          <t>shuffled: 16 of 10,000</t>
        </is>
      </c>
      <c r="S555" t="inlineStr">
        <is>
          <t>shuffled: 4,673 of 10,000</t>
        </is>
      </c>
      <c r="T555" t="n">
        <v>0.07286010172301509</v>
      </c>
      <c r="U555" t="n">
        <v>0.1524329728466395</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0.132862358963367</v>
      </c>
      <c r="AI555">
        <f>IF($Y555="worse","Yes",IF($Y555="worse, not significant","Not sure",IF(OR($Y555="too few losses to test",$Y555="too few loans to test"),"Too few losses",IF($Y555="","","No"))))</f>
        <v/>
      </c>
      <c r="AJ555">
        <f>IF($AA555="yes","Yes",IF($AA555="","","No"))</f>
        <v/>
      </c>
    </row>
    <row r="556">
      <c r="A556" t="inlineStr">
        <is>
          <t>three-way</t>
        </is>
      </c>
      <c r="B556" t="inlineStr">
        <is>
          <t>FICO x CHANNEL / REV_DEBT</t>
        </is>
      </c>
      <c r="C556" t="inlineStr">
        <is>
          <t>496 - 653</t>
        </is>
      </c>
      <c r="D556" t="inlineStr">
        <is>
          <t>Online / REV_DEBT high half</t>
        </is>
      </c>
      <c r="E556" t="inlineStr">
        <is>
          <t>gco_rate</t>
        </is>
      </c>
      <c r="F556" t="inlineStr">
        <is>
          <t>GCO per booked dollar</t>
        </is>
      </c>
      <c r="G556" t="n">
        <v>265</v>
      </c>
      <c r="H556" t="n">
        <v>8466411.169999998</v>
      </c>
      <c r="I556" t="b">
        <v>0</v>
      </c>
      <c r="J556" t="b">
        <v>0</v>
      </c>
      <c r="K556" t="n">
        <v>1.809989587061206</v>
      </c>
      <c r="L556" t="n">
        <v>0.0114988501149885</v>
      </c>
      <c r="M556" t="n">
        <v>0.8582162798326666</v>
      </c>
      <c r="N556" t="n">
        <v>0.6308556644335567</v>
      </c>
      <c r="O556" t="n">
        <v>277930.0054311843</v>
      </c>
      <c r="P556" t="n">
        <v>-102603.3865062619</v>
      </c>
      <c r="Q556">
        <f>'_live'!$C$22</f>
        <v/>
      </c>
      <c r="R556" t="inlineStr">
        <is>
          <t>shuffled: 19 of 10,000</t>
        </is>
      </c>
      <c r="S556" t="inlineStr">
        <is>
          <t>shuffled: 4,388 of 10,000</t>
        </is>
      </c>
      <c r="T556" t="n">
        <v>0.04052813732749715</v>
      </c>
      <c r="U556" t="n">
        <v>0.08547438247158294</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0.0733555065457564</v>
      </c>
      <c r="AI556">
        <f>IF($Y556="worse","Yes",IF($Y556="worse, not significant","Not sure",IF(OR($Y556="too few losses to test",$Y556="too few loans to test"),"Too few losses",IF($Y556="","","No"))))</f>
        <v/>
      </c>
      <c r="AJ556">
        <f>IF($AA556="yes","Yes",IF($AA556="","","No"))</f>
        <v/>
      </c>
    </row>
    <row r="557">
      <c r="A557" t="inlineStr">
        <is>
          <t>three-way</t>
        </is>
      </c>
      <c r="B557" t="inlineStr">
        <is>
          <t>FICO x CHANNEL / REV_DEBT</t>
        </is>
      </c>
      <c r="C557" t="inlineStr">
        <is>
          <t>496 - 653</t>
        </is>
      </c>
      <c r="D557" t="inlineStr">
        <is>
          <t>Online / REV_DEBT high half</t>
        </is>
      </c>
      <c r="E557" t="inlineStr">
        <is>
          <t>ranr_rate</t>
        </is>
      </c>
      <c r="F557" t="inlineStr">
        <is>
          <t>Profit after losses: RANR per booked dollar</t>
        </is>
      </c>
      <c r="G557" t="n">
        <v>265</v>
      </c>
      <c r="H557" t="n">
        <v>8466411.169999998</v>
      </c>
      <c r="I557" t="b">
        <v>0</v>
      </c>
      <c r="J557" t="b">
        <v>0</v>
      </c>
      <c r="K557" t="n">
        <v>0.06707930275379867</v>
      </c>
      <c r="L557" t="n">
        <v>0.0002466420024664201</v>
      </c>
      <c r="M557" t="n">
        <v>0.003236983442592628</v>
      </c>
      <c r="N557" t="n">
        <v>0.9302952057735404</v>
      </c>
      <c r="O557" t="n">
        <v>-567920.9581105728</v>
      </c>
      <c r="P557" t="n">
        <v>-27405.63277547131</v>
      </c>
      <c r="Q557">
        <f>'_live'!$C$23</f>
        <v/>
      </c>
      <c r="R557" t="inlineStr">
        <is>
          <t>shuffled: 0 of 10,000</t>
        </is>
      </c>
      <c r="S557" t="inlineStr">
        <is>
          <t>shuffled: 8,591 of 10,000</t>
        </is>
      </c>
      <c r="T557" t="n">
        <v>0.1257893894479291</v>
      </c>
      <c r="U557" t="n">
        <v>0.1896317087591352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0.1928686922017278</v>
      </c>
      <c r="AI557">
        <f>IF($Y557="worse","Yes",IF($Y557="worse, not significant","Not sure",IF(OR($Y557="too few losses to test",$Y557="too few loans to test"),"Too few losses",IF($Y557="","","No"))))</f>
        <v/>
      </c>
      <c r="AJ557">
        <f>IF($AA557="yes","Yes",IF($AA557="","","No"))</f>
        <v/>
      </c>
    </row>
    <row r="558">
      <c r="A558" t="inlineStr">
        <is>
          <t>three-way</t>
        </is>
      </c>
      <c r="B558" t="inlineStr">
        <is>
          <t>FICO x CHANNEL / REV_DEBT</t>
        </is>
      </c>
      <c r="C558" t="inlineStr">
        <is>
          <t>496 - 653</t>
        </is>
      </c>
      <c r="D558" t="inlineStr">
        <is>
          <t>Online / REV_DEBT high half</t>
        </is>
      </c>
      <c r="E558" t="inlineStr">
        <is>
          <t>contribution_rate</t>
        </is>
      </c>
      <c r="F558" t="inlineStr">
        <is>
          <t>Contribution before losses per booked dollar</t>
        </is>
      </c>
      <c r="G558" t="n">
        <v>265</v>
      </c>
      <c r="H558" t="n">
        <v>8466411.169999998</v>
      </c>
      <c r="I558" t="b">
        <v>0</v>
      </c>
      <c r="J558" t="b">
        <v>0</v>
      </c>
      <c r="K558" t="n">
        <v>0.09990997815898209</v>
      </c>
      <c r="L558" t="n">
        <v>0.0001761728589045857</v>
      </c>
      <c r="M558" t="n">
        <v>-0.0088818924832339</v>
      </c>
      <c r="N558" t="n">
        <v>0.5135486451354865</v>
      </c>
      <c r="O558" t="n">
        <v>-845878.9550796617</v>
      </c>
      <c r="P558" t="n">
        <v>75197.75373079069</v>
      </c>
      <c r="Q558">
        <f>'_live'!$C$24</f>
        <v/>
      </c>
      <c r="R558" t="inlineStr">
        <is>
          <t>shuffled: 0 of 10,000</t>
        </is>
      </c>
      <c r="S558" t="inlineStr">
        <is>
          <t>shuffled: 4,165 of 10,000</t>
        </is>
      </c>
      <c r="T558" t="n">
        <v>0.1663142205885021</v>
      </c>
      <c r="U558" t="n">
        <v>0.2751060912307181</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0.2662241987474842</v>
      </c>
      <c r="AI558">
        <f>IF($Y558="worse","Yes",IF($Y558="worse, not significant","Not sure",IF(OR($Y558="too few losses to test",$Y558="too few loans to test"),"Too few losses",IF($Y558="","","No"))))</f>
        <v/>
      </c>
      <c r="AJ558">
        <f>IF($AA558="yes","Yes",IF($AA558="","","No"))</f>
        <v/>
      </c>
    </row>
    <row r="559">
      <c r="A559" t="inlineStr">
        <is>
          <t>three-way</t>
        </is>
      </c>
      <c r="B559" t="inlineStr">
        <is>
          <t>FICO x CHANNEL / REV_DEBT</t>
        </is>
      </c>
      <c r="C559" t="inlineStr">
        <is>
          <t>686 - 711</t>
        </is>
      </c>
      <c r="D559" t="inlineStr">
        <is>
          <t>Branch / REV_DEBT high half</t>
        </is>
      </c>
      <c r="E559" t="inlineStr">
        <is>
          <t>outcome_loans</t>
        </is>
      </c>
      <c r="F559" t="inlineStr">
        <is>
          <t>Outcome, share of loans</t>
        </is>
      </c>
      <c r="G559" t="n">
        <v>257</v>
      </c>
      <c r="H559" t="n">
        <v>257</v>
      </c>
      <c r="I559" t="b">
        <v>0</v>
      </c>
      <c r="J559" t="b">
        <v>0</v>
      </c>
      <c r="K559" t="n">
        <v>0.9539429312581064</v>
      </c>
      <c r="L559" t="n">
        <v>0.9124798137002843</v>
      </c>
      <c r="M559" t="n">
        <v>1.252968821062206</v>
      </c>
      <c r="N559" t="n">
        <v>0.5210560798561491</v>
      </c>
      <c r="O559" t="n">
        <v>-0.9173340222164796</v>
      </c>
      <c r="P559" t="n">
        <v>3.836015325670498</v>
      </c>
      <c r="Q559">
        <f>'_live'!$C$20</f>
        <v/>
      </c>
      <c r="R559" t="inlineStr">
        <is>
          <t>z test</t>
        </is>
      </c>
      <c r="S559" t="inlineStr">
        <is>
          <t>z test</t>
        </is>
      </c>
      <c r="T559" t="n">
        <v>0.07749935417204856</v>
      </c>
      <c r="U559" t="n">
        <v>0.05900383141762452</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0.07392996108949416</v>
      </c>
      <c r="AI559">
        <f>IF($Y559="worse","Yes",IF($Y559="worse, not significant","Not sure",IF(OR($Y559="too few losses to test",$Y559="too few loans to test"),"Too few losses",IF($Y559="","","No"))))</f>
        <v/>
      </c>
      <c r="AJ559">
        <f>IF($AA559="yes","Yes",IF($AA559="","","No"))</f>
        <v/>
      </c>
    </row>
    <row r="560">
      <c r="A560" t="inlineStr">
        <is>
          <t>three-way</t>
        </is>
      </c>
      <c r="B560" t="inlineStr">
        <is>
          <t>FICO x CHANNEL / REV_DEBT</t>
        </is>
      </c>
      <c r="C560" t="inlineStr">
        <is>
          <t>686 - 711</t>
        </is>
      </c>
      <c r="D560" t="inlineStr">
        <is>
          <t>Branch / REV_DEBT high half</t>
        </is>
      </c>
      <c r="E560" t="inlineStr">
        <is>
          <t>outcome_booked</t>
        </is>
      </c>
      <c r="F560" t="inlineStr">
        <is>
          <t>Outcome, share of booked dollars</t>
        </is>
      </c>
      <c r="G560" t="n">
        <v>257</v>
      </c>
      <c r="H560" t="n">
        <v>8275964.539999999</v>
      </c>
      <c r="I560" t="b">
        <v>0</v>
      </c>
      <c r="J560" t="b">
        <v>0</v>
      </c>
      <c r="K560" t="n">
        <v>0.850515295271143</v>
      </c>
      <c r="L560" t="n">
        <v>0.6182931706829318</v>
      </c>
      <c r="M560" t="n">
        <v>1.152457305785378</v>
      </c>
      <c r="N560" t="n">
        <v>0.7864003073376873</v>
      </c>
      <c r="O560" t="n">
        <v>-93019.02593257977</v>
      </c>
      <c r="P560" t="n">
        <v>70013.30077464518</v>
      </c>
      <c r="Q560">
        <f>'_live'!$C$21</f>
        <v/>
      </c>
      <c r="R560" t="inlineStr">
        <is>
          <t>shuffled: 5,376 of 10,000</t>
        </is>
      </c>
      <c r="S560" t="inlineStr">
        <is>
          <t>shuffled: 6,184 of 10,000</t>
        </is>
      </c>
      <c r="T560" t="n">
        <v>0.07518936347842059</v>
      </c>
      <c r="U560" t="n">
        <v>0.05548986791880996</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0.06394970368009818</v>
      </c>
      <c r="AI560">
        <f>IF($Y560="worse","Yes",IF($Y560="worse, not significant","Not sure",IF(OR($Y560="too few losses to test",$Y560="too few loans to test"),"Too few losses",IF($Y560="","","No"))))</f>
        <v/>
      </c>
      <c r="AJ560">
        <f>IF($AA560="yes","Yes",IF($AA560="","","No"))</f>
        <v/>
      </c>
    </row>
    <row r="561">
      <c r="A561" t="inlineStr">
        <is>
          <t>three-way</t>
        </is>
      </c>
      <c r="B561" t="inlineStr">
        <is>
          <t>FICO x CHANNEL / REV_DEBT</t>
        </is>
      </c>
      <c r="C561" t="inlineStr">
        <is>
          <t>686 - 711</t>
        </is>
      </c>
      <c r="D561" t="inlineStr">
        <is>
          <t>Branch / REV_DEBT high half</t>
        </is>
      </c>
      <c r="E561" t="inlineStr">
        <is>
          <t>gco_rate</t>
        </is>
      </c>
      <c r="F561" t="inlineStr">
        <is>
          <t>GCO per booked dollar</t>
        </is>
      </c>
      <c r="G561" t="n">
        <v>257</v>
      </c>
      <c r="H561" t="n">
        <v>8275964.539999999</v>
      </c>
      <c r="I561" t="b">
        <v>0</v>
      </c>
      <c r="J561" t="b">
        <v>0</v>
      </c>
      <c r="K561" t="n">
        <v>0.8064726666717729</v>
      </c>
      <c r="L561" t="n">
        <v>0.5282208621243139</v>
      </c>
      <c r="M561" t="n">
        <v>1.086338626851793</v>
      </c>
      <c r="N561" t="n">
        <v>0.8606615528923297</v>
      </c>
      <c r="O561" t="n">
        <v>-67052.25150818599</v>
      </c>
      <c r="P561" t="n">
        <v>22207.54858528747</v>
      </c>
      <c r="Q561">
        <f>'_live'!$C$22</f>
        <v/>
      </c>
      <c r="R561" t="inlineStr">
        <is>
          <t>shuffled: 4,363 of 10,000</t>
        </is>
      </c>
      <c r="S561" t="inlineStr">
        <is>
          <t>shuffled: 7,858 of 10,000</t>
        </is>
      </c>
      <c r="T561" t="n">
        <v>0.04186512881170296</v>
      </c>
      <c r="U561" t="n">
        <v>0.03107970317798299</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0.03376308207333135</v>
      </c>
      <c r="AI561">
        <f>IF($Y561="worse","Yes",IF($Y561="worse, not significant","Not sure",IF(OR($Y561="too few losses to test",$Y561="too few loans to test"),"Too few losses",IF($Y561="","","No"))))</f>
        <v/>
      </c>
      <c r="AJ561">
        <f>IF($AA561="yes","Yes",IF($AA561="","","No"))</f>
        <v/>
      </c>
    </row>
    <row r="562">
      <c r="A562" t="inlineStr">
        <is>
          <t>three-way</t>
        </is>
      </c>
      <c r="B562" t="inlineStr">
        <is>
          <t>FICO x CHANNEL / REV_DEBT</t>
        </is>
      </c>
      <c r="C562" t="inlineStr">
        <is>
          <t>686 - 711</t>
        </is>
      </c>
      <c r="D562" t="inlineStr">
        <is>
          <t>Branch / REV_DEBT high half</t>
        </is>
      </c>
      <c r="E562" t="inlineStr">
        <is>
          <t>ranr_rate</t>
        </is>
      </c>
      <c r="F562" t="inlineStr">
        <is>
          <t>Profit after losses: RANR per booked dollar</t>
        </is>
      </c>
      <c r="G562" t="n">
        <v>257</v>
      </c>
      <c r="H562" t="n">
        <v>8275964.539999999</v>
      </c>
      <c r="I562" t="b">
        <v>0</v>
      </c>
      <c r="J562" t="b">
        <v>0</v>
      </c>
      <c r="K562" t="n">
        <v>-0.001877804480821199</v>
      </c>
      <c r="L562" t="n">
        <v>0.9415058494150585</v>
      </c>
      <c r="M562" t="n">
        <v>-0.01879476709919251</v>
      </c>
      <c r="N562" t="n">
        <v>0.3331051510233592</v>
      </c>
      <c r="O562" t="n">
        <v>15540.64329632919</v>
      </c>
      <c r="P562" t="n">
        <v>155544.8260504758</v>
      </c>
      <c r="Q562">
        <f>'_live'!$C$23</f>
        <v/>
      </c>
      <c r="R562" t="inlineStr">
        <is>
          <t>shuffled: 8,795 of 10,000</t>
        </is>
      </c>
      <c r="S562" t="inlineStr">
        <is>
          <t>shuffled: 1,202 of 10,000</t>
        </is>
      </c>
      <c r="T562" t="n">
        <v>0.1280502687238832</v>
      </c>
      <c r="U562" t="n">
        <v>0.1449672313422545</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0.126172464243062</v>
      </c>
      <c r="AI562">
        <f>IF($Y562="worse","Yes",IF($Y562="worse, not significant","Not sure",IF(OR($Y562="too few losses to test",$Y562="too few loans to test"),"Too few losses",IF($Y562="","","No"))))</f>
        <v/>
      </c>
      <c r="AJ562">
        <f>IF($AA562="yes","Yes",IF($AA562="","","No"))</f>
        <v/>
      </c>
    </row>
    <row r="563">
      <c r="A563" t="inlineStr">
        <is>
          <t>three-way</t>
        </is>
      </c>
      <c r="B563" t="inlineStr">
        <is>
          <t>FICO x CHANNEL / REV_DEBT</t>
        </is>
      </c>
      <c r="C563" t="inlineStr">
        <is>
          <t>686 - 711</t>
        </is>
      </c>
      <c r="D563" t="inlineStr">
        <is>
          <t>Branch / REV_DEBT high half</t>
        </is>
      </c>
      <c r="E563" t="inlineStr">
        <is>
          <t>contribution_rate</t>
        </is>
      </c>
      <c r="F563" t="inlineStr">
        <is>
          <t>Contribution before losses per booked dollar</t>
        </is>
      </c>
      <c r="G563" t="n">
        <v>257</v>
      </c>
      <c r="H563" t="n">
        <v>8275964.539999999</v>
      </c>
      <c r="I563" t="b">
        <v>0</v>
      </c>
      <c r="J563" t="b">
        <v>0</v>
      </c>
      <c r="K563" t="n">
        <v>-0.009976906795414242</v>
      </c>
      <c r="L563" t="n">
        <v>0.2801313618638136</v>
      </c>
      <c r="M563" t="n">
        <v>-0.01611138820384397</v>
      </c>
      <c r="N563" t="n">
        <v>0.04072092790720928</v>
      </c>
      <c r="O563" t="n">
        <v>82568.52685773326</v>
      </c>
      <c r="P563" t="n">
        <v>133337.277465187</v>
      </c>
      <c r="Q563">
        <f>'_live'!$C$24</f>
        <v/>
      </c>
      <c r="R563" t="inlineStr">
        <is>
          <t>shuffled: 2,422 of 10,000</t>
        </is>
      </c>
      <c r="S563" t="inlineStr">
        <is>
          <t>shuffled: 177 of 10,000</t>
        </is>
      </c>
      <c r="T563" t="n">
        <v>0.1699124531118077</v>
      </c>
      <c r="U563" t="n">
        <v>0.1760469345202375</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0.1599355463163935</v>
      </c>
      <c r="AI563">
        <f>IF($Y563="worse","Yes",IF($Y563="worse, not significant","Not sure",IF(OR($Y563="too few losses to test",$Y563="too few loans to test"),"Too few losses",IF($Y563="","","No"))))</f>
        <v/>
      </c>
      <c r="AJ563">
        <f>IF($AA563="yes","Yes",IF($AA563="","","No"))</f>
        <v/>
      </c>
    </row>
    <row r="564">
      <c r="A564" t="inlineStr">
        <is>
          <t>three-way</t>
        </is>
      </c>
      <c r="B564" t="inlineStr">
        <is>
          <t>FICO x CHANNEL / REV_DEBT</t>
        </is>
      </c>
      <c r="C564" t="inlineStr">
        <is>
          <t>686 - 711</t>
        </is>
      </c>
      <c r="D564" t="inlineStr">
        <is>
          <t>Branch / REV_DEBT low half</t>
        </is>
      </c>
      <c r="E564" t="inlineStr">
        <is>
          <t>outcome_loans</t>
        </is>
      </c>
      <c r="F564" t="inlineStr">
        <is>
          <t>Outcome, share of loans</t>
        </is>
      </c>
      <c r="G564" t="n">
        <v>258</v>
      </c>
      <c r="H564" t="n">
        <v>258</v>
      </c>
      <c r="I564" t="b">
        <v>1</v>
      </c>
      <c r="J564" t="b">
        <v>0</v>
      </c>
      <c r="K564" t="n">
        <v>0.4426801372474266</v>
      </c>
      <c r="M564" t="n">
        <v>0.5228548516439454</v>
      </c>
      <c r="O564" t="n">
        <v>-11.33070662705077</v>
      </c>
      <c r="P564" t="n">
        <v>-8.213190184049079</v>
      </c>
      <c r="Q564">
        <f>'_live'!$C$20</f>
        <v/>
      </c>
      <c r="T564" t="n">
        <v>0.07880118847694097</v>
      </c>
      <c r="U564" t="n">
        <v>0.06671779141104295</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0.03488372093023256</v>
      </c>
      <c r="AI564">
        <f>IF($Y564="worse","Yes",IF($Y564="worse, not significant","Not sure",IF(OR($Y564="too few losses to test",$Y564="too few loans to test"),"Too few losses",IF($Y564="","","No"))))</f>
        <v/>
      </c>
      <c r="AJ564">
        <f>IF($AA564="yes","Yes",IF($AA564="","","No"))</f>
        <v/>
      </c>
    </row>
    <row r="565">
      <c r="A565" t="inlineStr">
        <is>
          <t>three-way</t>
        </is>
      </c>
      <c r="B565" t="inlineStr">
        <is>
          <t>FICO x CHANNEL / REV_DEBT</t>
        </is>
      </c>
      <c r="C565" t="inlineStr">
        <is>
          <t>686 - 711</t>
        </is>
      </c>
      <c r="D565" t="inlineStr">
        <is>
          <t>Branch / REV_DEBT low half</t>
        </is>
      </c>
      <c r="E565" t="inlineStr">
        <is>
          <t>outcome_booked</t>
        </is>
      </c>
      <c r="F565" t="inlineStr">
        <is>
          <t>Outcome, share of booked dollars</t>
        </is>
      </c>
      <c r="G565" t="n">
        <v>258</v>
      </c>
      <c r="H565" t="n">
        <v>8563830.729999995</v>
      </c>
      <c r="I565" t="b">
        <v>1</v>
      </c>
      <c r="J565" t="b">
        <v>0</v>
      </c>
      <c r="K565" t="n">
        <v>0.3495518942611209</v>
      </c>
      <c r="M565" t="n">
        <v>0.4247490536849399</v>
      </c>
      <c r="O565" t="n">
        <v>-426018.0892761977</v>
      </c>
      <c r="P565" t="n">
        <v>-310064.4450340244</v>
      </c>
      <c r="Q565">
        <f>'_live'!$C$21</f>
        <v/>
      </c>
      <c r="T565" t="n">
        <v>0.07647990016684952</v>
      </c>
      <c r="U565" t="n">
        <v>0.0629399730129912</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0.02673369397622367</v>
      </c>
      <c r="AI565">
        <f>IF($Y565="worse","Yes",IF($Y565="worse, not significant","Not sure",IF(OR($Y565="too few losses to test",$Y565="too few loans to test"),"Too few losses",IF($Y565="","","No"))))</f>
        <v/>
      </c>
      <c r="AJ565">
        <f>IF($AA565="yes","Yes",IF($AA565="","","No"))</f>
        <v/>
      </c>
    </row>
    <row r="566">
      <c r="A566" t="inlineStr">
        <is>
          <t>three-way</t>
        </is>
      </c>
      <c r="B566" t="inlineStr">
        <is>
          <t>FICO x CHANNEL / REV_DEBT</t>
        </is>
      </c>
      <c r="C566" t="inlineStr">
        <is>
          <t>686 - 711</t>
        </is>
      </c>
      <c r="D566" t="inlineStr">
        <is>
          <t>Branch / REV_DEBT low half</t>
        </is>
      </c>
      <c r="E566" t="inlineStr">
        <is>
          <t>gco_rate</t>
        </is>
      </c>
      <c r="F566" t="inlineStr">
        <is>
          <t>GCO per booked dollar</t>
        </is>
      </c>
      <c r="G566" t="n">
        <v>258</v>
      </c>
      <c r="H566" t="n">
        <v>8563830.729999995</v>
      </c>
      <c r="I566" t="b">
        <v>1</v>
      </c>
      <c r="J566" t="b">
        <v>0</v>
      </c>
      <c r="K566" t="n">
        <v>0.3503462579358406</v>
      </c>
      <c r="M566" t="n">
        <v>0.4272628257135173</v>
      </c>
      <c r="O566" t="n">
        <v>-236572.8197753192</v>
      </c>
      <c r="P566" t="n">
        <v>-171017.5377281705</v>
      </c>
      <c r="Q566">
        <f>'_live'!$C$22</f>
        <v/>
      </c>
      <c r="T566" t="n">
        <v>0.04252211203797572</v>
      </c>
      <c r="U566" t="n">
        <v>0.03486721038076504</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0.01489746283203336</v>
      </c>
      <c r="AI566">
        <f>IF($Y566="worse","Yes",IF($Y566="worse, not significant","Not sure",IF(OR($Y566="too few losses to test",$Y566="too few loans to test"),"Too few losses",IF($Y566="","","No"))))</f>
        <v/>
      </c>
      <c r="AJ566">
        <f>IF($AA566="yes","Yes",IF($AA566="","","No"))</f>
        <v/>
      </c>
    </row>
    <row r="567">
      <c r="A567" t="inlineStr">
        <is>
          <t>three-way</t>
        </is>
      </c>
      <c r="B567" t="inlineStr">
        <is>
          <t>FICO x CHANNEL / REV_DEBT</t>
        </is>
      </c>
      <c r="C567" t="inlineStr">
        <is>
          <t>686 - 711</t>
        </is>
      </c>
      <c r="D567" t="inlineStr">
        <is>
          <t>Branch / REV_DEBT low half</t>
        </is>
      </c>
      <c r="E567" t="inlineStr">
        <is>
          <t>ranr_rate</t>
        </is>
      </c>
      <c r="F567" t="inlineStr">
        <is>
          <t>Profit after losses: RANR per booked dollar</t>
        </is>
      </c>
      <c r="G567" t="n">
        <v>258</v>
      </c>
      <c r="H567" t="n">
        <v>8563830.729999995</v>
      </c>
      <c r="I567" t="b">
        <v>0</v>
      </c>
      <c r="J567" t="b">
        <v>0</v>
      </c>
      <c r="K567" t="n">
        <v>0.005504850268304051</v>
      </c>
      <c r="L567" t="n">
        <v>0.748782697487827</v>
      </c>
      <c r="M567" t="n">
        <v>-0.01034216957727521</v>
      </c>
      <c r="N567" t="n">
        <v>0.7616080497213437</v>
      </c>
      <c r="O567" t="n">
        <v>-47142.60589175089</v>
      </c>
      <c r="P567" t="n">
        <v>88568.58964074054</v>
      </c>
      <c r="Q567">
        <f>'_live'!$C$23</f>
        <v/>
      </c>
      <c r="R567" t="inlineStr">
        <is>
          <t>shuffled: 6,678 of 10,000</t>
        </is>
      </c>
      <c r="S567" t="inlineStr">
        <is>
          <t>shuffled: 4,019 of 10,000</t>
        </is>
      </c>
      <c r="T567" t="n">
        <v>0.1278073748321565</v>
      </c>
      <c r="U567" t="n">
        <v>0.1436543946777358</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0.1333122251004606</v>
      </c>
      <c r="AI567">
        <f>IF($Y567="worse","Yes",IF($Y567="worse, not significant","Not sure",IF(OR($Y567="too few losses to test",$Y567="too few loans to test"),"Too few losses",IF($Y567="","","No"))))</f>
        <v/>
      </c>
      <c r="AJ567">
        <f>IF($AA567="yes","Yes",IF($AA567="","","No"))</f>
        <v/>
      </c>
    </row>
    <row r="568">
      <c r="A568" t="inlineStr">
        <is>
          <t>three-way</t>
        </is>
      </c>
      <c r="B568" t="inlineStr">
        <is>
          <t>FICO x CHANNEL / REV_DEBT</t>
        </is>
      </c>
      <c r="C568" t="inlineStr">
        <is>
          <t>686 - 711</t>
        </is>
      </c>
      <c r="D568" t="inlineStr">
        <is>
          <t>Branch / REV_DEBT low half</t>
        </is>
      </c>
      <c r="E568" t="inlineStr">
        <is>
          <t>contribution_rate</t>
        </is>
      </c>
      <c r="F568" t="inlineStr">
        <is>
          <t>Contribution before losses per booked dollar</t>
        </is>
      </c>
      <c r="G568" t="n">
        <v>258</v>
      </c>
      <c r="H568" t="n">
        <v>8563830.729999995</v>
      </c>
      <c r="I568" t="b">
        <v>0</v>
      </c>
      <c r="J568" t="b">
        <v>0</v>
      </c>
      <c r="K568" t="n">
        <v>-0.02211681247706684</v>
      </c>
      <c r="L568" t="n">
        <v>0.01237953127764147</v>
      </c>
      <c r="M568" t="n">
        <v>-0.03031191712600695</v>
      </c>
      <c r="N568" t="n">
        <v>0.0005142342908566286</v>
      </c>
      <c r="O568" t="n">
        <v>189404.6383407523</v>
      </c>
      <c r="P568" t="n">
        <v>259586.1273689114</v>
      </c>
      <c r="Q568">
        <f>'_live'!$C$24</f>
        <v/>
      </c>
      <c r="R568" t="inlineStr">
        <is>
          <t>shuffled: 86 of 10,000</t>
        </is>
      </c>
      <c r="S568" t="inlineStr">
        <is>
          <t>shuffled: 0 of 10,000</t>
        </is>
      </c>
      <c r="T568" t="n">
        <v>0.1703265004095607</v>
      </c>
      <c r="U568" t="n">
        <v>0.1785216050585008</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0.1482096879324939</v>
      </c>
      <c r="AI568">
        <f>IF($Y568="worse","Yes",IF($Y568="worse, not significant","Not sure",IF(OR($Y568="too few losses to test",$Y568="too few loans to test"),"Too few losses",IF($Y568="","","No"))))</f>
        <v/>
      </c>
      <c r="AJ568">
        <f>IF($AA568="yes","Yes",IF($AA568="","","No"))</f>
        <v/>
      </c>
    </row>
    <row r="569">
      <c r="A569" t="inlineStr">
        <is>
          <t>three-way</t>
        </is>
      </c>
      <c r="B569" t="inlineStr">
        <is>
          <t>FICO x CHANNEL / REV_DEBT</t>
        </is>
      </c>
      <c r="C569" t="inlineStr">
        <is>
          <t>(marked missing)</t>
        </is>
      </c>
      <c r="D569" t="inlineStr">
        <is>
          <t>Branch / REV_DEBT high half</t>
        </is>
      </c>
      <c r="E569" t="inlineStr">
        <is>
          <t>outcome_loans</t>
        </is>
      </c>
      <c r="F569" t="inlineStr">
        <is>
          <t>Outcome, share of loans</t>
        </is>
      </c>
      <c r="G569" t="n">
        <v>25</v>
      </c>
      <c r="H569" t="n">
        <v>25</v>
      </c>
      <c r="I569" t="b">
        <v>1</v>
      </c>
      <c r="J569" t="b">
        <v>0</v>
      </c>
      <c r="K569" t="n">
        <v>0.516116504854369</v>
      </c>
      <c r="M569" t="n">
        <v>0.6</v>
      </c>
      <c r="O569" t="n">
        <v>-0.9375470278404816</v>
      </c>
      <c r="P569" t="n">
        <v>-0.6666666666666667</v>
      </c>
      <c r="Q569">
        <f>'_live'!$C$20</f>
        <v/>
      </c>
      <c r="T569" t="n">
        <v>0.07750188111361926</v>
      </c>
      <c r="U569" t="n">
        <v>0.06666666666666667</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0.04</v>
      </c>
      <c r="AI569">
        <f>IF($Y569="worse","Yes",IF($Y569="worse, not significant","Not sure",IF(OR($Y569="too few losses to test",$Y569="too few loans to test"),"Too few losses",IF($Y569="","","No"))))</f>
        <v/>
      </c>
      <c r="AJ569">
        <f>IF($AA569="yes","Yes",IF($AA569="","","No"))</f>
        <v/>
      </c>
    </row>
    <row r="570">
      <c r="A570" t="inlineStr">
        <is>
          <t>three-way</t>
        </is>
      </c>
      <c r="B570" t="inlineStr">
        <is>
          <t>FICO x CHANNEL / REV_DEBT</t>
        </is>
      </c>
      <c r="C570" t="inlineStr">
        <is>
          <t>(marked missing)</t>
        </is>
      </c>
      <c r="D570" t="inlineStr">
        <is>
          <t>Branch / REV_DEBT high half</t>
        </is>
      </c>
      <c r="E570" t="inlineStr">
        <is>
          <t>outcome_booked</t>
        </is>
      </c>
      <c r="F570" t="inlineStr">
        <is>
          <t>Outcome, share of booked dollars</t>
        </is>
      </c>
      <c r="G570" t="n">
        <v>25</v>
      </c>
      <c r="H570" t="n">
        <v>798276.53</v>
      </c>
      <c r="I570" t="b">
        <v>1</v>
      </c>
      <c r="J570" t="b">
        <v>0</v>
      </c>
      <c r="K570" t="n">
        <v>0.4737250299664676</v>
      </c>
      <c r="M570" t="n">
        <v>0.7045086163102764</v>
      </c>
      <c r="O570" t="n">
        <v>-31487.84405416638</v>
      </c>
      <c r="P570" t="n">
        <v>-11888.17132677594</v>
      </c>
      <c r="Q570">
        <f>'_live'!$C$21</f>
        <v/>
      </c>
      <c r="T570" t="n">
        <v>0.07495089960137796</v>
      </c>
      <c r="U570" t="n">
        <v>0.05039841435244995</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0.03550611715967648</v>
      </c>
      <c r="AI570">
        <f>IF($Y570="worse","Yes",IF($Y570="worse, not significant","Not sure",IF(OR($Y570="too few losses to test",$Y570="too few loans to test"),"Too few losses",IF($Y570="","","No"))))</f>
        <v/>
      </c>
      <c r="AJ570">
        <f>IF($AA570="yes","Yes",IF($AA570="","","No"))</f>
        <v/>
      </c>
    </row>
    <row r="571">
      <c r="A571" t="inlineStr">
        <is>
          <t>three-way</t>
        </is>
      </c>
      <c r="B571" t="inlineStr">
        <is>
          <t>FICO x CHANNEL / REV_DEBT</t>
        </is>
      </c>
      <c r="C571" t="inlineStr">
        <is>
          <t>(marked missing)</t>
        </is>
      </c>
      <c r="D571" t="inlineStr">
        <is>
          <t>Branch / REV_DEBT high half</t>
        </is>
      </c>
      <c r="E571" t="inlineStr">
        <is>
          <t>gco_rate</t>
        </is>
      </c>
      <c r="F571" t="inlineStr">
        <is>
          <t>GCO per booked dollar</t>
        </is>
      </c>
      <c r="G571" t="n">
        <v>25</v>
      </c>
      <c r="H571" t="n">
        <v>798276.53</v>
      </c>
      <c r="I571" t="b">
        <v>1</v>
      </c>
      <c r="J571" t="b">
        <v>0</v>
      </c>
      <c r="K571" t="n">
        <v>0.4139894385490389</v>
      </c>
      <c r="M571" t="n">
        <v>0.6395337517921638</v>
      </c>
      <c r="O571" t="n">
        <v>-19498.22949120051</v>
      </c>
      <c r="P571" t="n">
        <v>-7763.903576080969</v>
      </c>
      <c r="Q571">
        <f>'_live'!$C$22</f>
        <v/>
      </c>
      <c r="T571" t="n">
        <v>0.04168083144220776</v>
      </c>
      <c r="U571" t="n">
        <v>0.02698125620213458</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0.01725542400701672</v>
      </c>
      <c r="AI571">
        <f>IF($Y571="worse","Yes",IF($Y571="worse, not significant","Not sure",IF(OR($Y571="too few losses to test",$Y571="too few loans to test"),"Too few losses",IF($Y571="","","No"))))</f>
        <v/>
      </c>
      <c r="AJ571">
        <f>IF($AA571="yes","Yes",IF($AA571="","","No"))</f>
        <v/>
      </c>
    </row>
    <row r="572">
      <c r="A572" t="inlineStr">
        <is>
          <t>three-way</t>
        </is>
      </c>
      <c r="B572" t="inlineStr">
        <is>
          <t>FICO x CHANNEL / REV_DEBT</t>
        </is>
      </c>
      <c r="C572" t="inlineStr">
        <is>
          <t>(marked missing)</t>
        </is>
      </c>
      <c r="D572" t="inlineStr">
        <is>
          <t>Branch / REV_DEBT high half</t>
        </is>
      </c>
      <c r="E572" t="inlineStr">
        <is>
          <t>ranr_rate</t>
        </is>
      </c>
      <c r="F572" t="inlineStr">
        <is>
          <t>Profit after losses: RANR per booked dollar</t>
        </is>
      </c>
      <c r="G572" t="n">
        <v>25</v>
      </c>
      <c r="H572" t="n">
        <v>798276.53</v>
      </c>
      <c r="I572" t="b">
        <v>0</v>
      </c>
      <c r="J572" t="b">
        <v>0</v>
      </c>
      <c r="K572" t="n">
        <v>0.0458099717950872</v>
      </c>
      <c r="L572" t="n">
        <v>0.3837256274372562</v>
      </c>
      <c r="M572" t="n">
        <v>0.02177161157733998</v>
      </c>
      <c r="N572" t="n">
        <v>0.8743852887438529</v>
      </c>
      <c r="O572" t="n">
        <v>-36569.02532398008</v>
      </c>
      <c r="P572" t="n">
        <v>-17379.76654246679</v>
      </c>
      <c r="Q572">
        <f>'_live'!$C$23</f>
        <v/>
      </c>
      <c r="R572" t="inlineStr">
        <is>
          <t>shuffled: 2,592 of 10,000</t>
        </is>
      </c>
      <c r="S572" t="inlineStr">
        <is>
          <t>shuffled: 5,343 of 10,000</t>
        </is>
      </c>
      <c r="T572" t="n">
        <v>0.12784834683292</v>
      </c>
      <c r="U572" t="n">
        <v>0.1518867070506673</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0.1736583186280072</v>
      </c>
      <c r="AI572">
        <f>IF($Y572="worse","Yes",IF($Y572="worse, not significant","Not sure",IF(OR($Y572="too few losses to test",$Y572="too few loans to test"),"Too few losses",IF($Y572="","","No"))))</f>
        <v/>
      </c>
      <c r="AJ572">
        <f>IF($AA572="yes","Yes",IF($AA572="","","No"))</f>
        <v/>
      </c>
    </row>
    <row r="573">
      <c r="A573" t="inlineStr">
        <is>
          <t>three-way</t>
        </is>
      </c>
      <c r="B573" t="inlineStr">
        <is>
          <t>FICO x CHANNEL / REV_DEBT</t>
        </is>
      </c>
      <c r="C573" t="inlineStr">
        <is>
          <t>(marked missing)</t>
        </is>
      </c>
      <c r="D573" t="inlineStr">
        <is>
          <t>Branch / REV_DEBT high half</t>
        </is>
      </c>
      <c r="E573" t="inlineStr">
        <is>
          <t>contribution_rate</t>
        </is>
      </c>
      <c r="F573" t="inlineStr">
        <is>
          <t>Contribution before losses per booked dollar</t>
        </is>
      </c>
      <c r="G573" t="n">
        <v>25</v>
      </c>
      <c r="H573" t="n">
        <v>798276.53</v>
      </c>
      <c r="I573" t="b">
        <v>0</v>
      </c>
      <c r="J573" t="b">
        <v>0</v>
      </c>
      <c r="K573" t="n">
        <v>0.02138745434095474</v>
      </c>
      <c r="L573" t="n">
        <v>0.4664798226059746</v>
      </c>
      <c r="M573" t="n">
        <v>0.01204577938222212</v>
      </c>
      <c r="N573" t="n">
        <v>0.7438165274381653</v>
      </c>
      <c r="O573" t="n">
        <v>-17073.10283683077</v>
      </c>
      <c r="P573" t="n">
        <v>-9615.862966385816</v>
      </c>
      <c r="Q573">
        <f>'_live'!$C$24</f>
        <v/>
      </c>
      <c r="R573" t="inlineStr">
        <is>
          <t>shuffled: 4,286 of 10,000</t>
        </is>
      </c>
      <c r="S573" t="inlineStr">
        <is>
          <t>shuffled: 6,818 of 10,000</t>
        </is>
      </c>
      <c r="T573" t="n">
        <v>0.1695262882940692</v>
      </c>
      <c r="U573" t="n">
        <v>0.1788679632528019</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0.190913742635024</v>
      </c>
      <c r="AI573">
        <f>IF($Y573="worse","Yes",IF($Y573="worse, not significant","Not sure",IF(OR($Y573="too few losses to test",$Y573="too few loans to test"),"Too few losses",IF($Y573="","","No"))))</f>
        <v/>
      </c>
      <c r="AJ573">
        <f>IF($AA573="yes","Yes",IF($AA573="","","No"))</f>
        <v/>
      </c>
    </row>
    <row r="574">
      <c r="A574" t="inlineStr">
        <is>
          <t>three-way</t>
        </is>
      </c>
      <c r="B574" t="inlineStr">
        <is>
          <t>FICO x CHANNEL / REV_DEBT</t>
        </is>
      </c>
      <c r="C574" t="inlineStr">
        <is>
          <t>496 - 653</t>
        </is>
      </c>
      <c r="D574" t="inlineStr">
        <is>
          <t>Online / REV_DEBT low half</t>
        </is>
      </c>
      <c r="E574" t="inlineStr">
        <is>
          <t>outcome_loans</t>
        </is>
      </c>
      <c r="F574" t="inlineStr">
        <is>
          <t>Outcome, share of loans</t>
        </is>
      </c>
      <c r="G574" t="n">
        <v>266</v>
      </c>
      <c r="H574" t="n">
        <v>266</v>
      </c>
      <c r="I574" t="b">
        <v>0</v>
      </c>
      <c r="J574" t="b">
        <v>0</v>
      </c>
      <c r="K574" t="n">
        <v>1.020903010033445</v>
      </c>
      <c r="L574" t="n">
        <v>0.92271762559621</v>
      </c>
      <c r="M574" t="n">
        <v>0.477761304670126</v>
      </c>
      <c r="N574" t="n">
        <v>0.001556468824551485</v>
      </c>
      <c r="O574" t="n">
        <v>0.4299754299754319</v>
      </c>
      <c r="P574" t="n">
        <v>-22.95500387897595</v>
      </c>
      <c r="Q574">
        <f>'_live'!$C$20</f>
        <v/>
      </c>
      <c r="R574" t="inlineStr">
        <is>
          <t>z test</t>
        </is>
      </c>
      <c r="S574" t="inlineStr">
        <is>
          <t>z test</t>
        </is>
      </c>
      <c r="T574" t="n">
        <v>0.07733091943618259</v>
      </c>
      <c r="U574" t="n">
        <v>0.165244375484872</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0.07894736842105263</v>
      </c>
      <c r="AI574">
        <f>IF($Y574="worse","Yes",IF($Y574="worse, not significant","Not sure",IF(OR($Y574="too few losses to test",$Y574="too few loans to test"),"Too few losses",IF($Y574="","","No"))))</f>
        <v/>
      </c>
      <c r="AJ574">
        <f>IF($AA574="yes","Yes",IF($AA574="","","No"))</f>
        <v/>
      </c>
    </row>
    <row r="575">
      <c r="A575" t="inlineStr">
        <is>
          <t>three-way</t>
        </is>
      </c>
      <c r="B575" t="inlineStr">
        <is>
          <t>FICO x CHANNEL / REV_DEBT</t>
        </is>
      </c>
      <c r="C575" t="inlineStr">
        <is>
          <t>496 - 653</t>
        </is>
      </c>
      <c r="D575" t="inlineStr">
        <is>
          <t>Online / REV_DEBT low half</t>
        </is>
      </c>
      <c r="E575" t="inlineStr">
        <is>
          <t>outcome_booked</t>
        </is>
      </c>
      <c r="F575" t="inlineStr">
        <is>
          <t>Outcome, share of booked dollars</t>
        </is>
      </c>
      <c r="G575" t="n">
        <v>266</v>
      </c>
      <c r="H575" t="n">
        <v>8900767.100000001</v>
      </c>
      <c r="I575" t="b">
        <v>0</v>
      </c>
      <c r="J575" t="b">
        <v>0</v>
      </c>
      <c r="K575" t="n">
        <v>0.863549984597707</v>
      </c>
      <c r="L575" t="n">
        <v>0.6342984749144134</v>
      </c>
      <c r="M575" t="n">
        <v>0.388535677843638</v>
      </c>
      <c r="N575" t="n">
        <v>0.00114988501149885</v>
      </c>
      <c r="O575" t="n">
        <v>-91310.17613047187</v>
      </c>
      <c r="P575" t="n">
        <v>-909438.4031906377</v>
      </c>
      <c r="Q575">
        <f>'_live'!$C$21</f>
        <v/>
      </c>
      <c r="R575" t="inlineStr">
        <is>
          <t>shuffled: 5,791 of 10,000</t>
        </is>
      </c>
      <c r="S575" t="inlineStr">
        <is>
          <t>shuffled: 1 of 10,000</t>
        </is>
      </c>
      <c r="T575" t="n">
        <v>0.07518274083707593</v>
      </c>
      <c r="U575" t="n">
        <v>0.1670993383469878</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0.06492405469187032</v>
      </c>
      <c r="AI575">
        <f>IF($Y575="worse","Yes",IF($Y575="worse, not significant","Not sure",IF(OR($Y575="too few losses to test",$Y575="too few loans to test"),"Too few losses",IF($Y575="","","No"))))</f>
        <v/>
      </c>
      <c r="AJ575">
        <f>IF($AA575="yes","Yes",IF($AA575="","","No"))</f>
        <v/>
      </c>
    </row>
    <row r="576">
      <c r="A576" t="inlineStr">
        <is>
          <t>three-way</t>
        </is>
      </c>
      <c r="B576" t="inlineStr">
        <is>
          <t>FICO x CHANNEL / REV_DEBT</t>
        </is>
      </c>
      <c r="C576" t="inlineStr">
        <is>
          <t>496 - 653</t>
        </is>
      </c>
      <c r="D576" t="inlineStr">
        <is>
          <t>Online / REV_DEBT low half</t>
        </is>
      </c>
      <c r="E576" t="inlineStr">
        <is>
          <t>gco_rate</t>
        </is>
      </c>
      <c r="F576" t="inlineStr">
        <is>
          <t>GCO per booked dollar</t>
        </is>
      </c>
      <c r="G576" t="n">
        <v>266</v>
      </c>
      <c r="H576" t="n">
        <v>8900767.100000001</v>
      </c>
      <c r="I576" t="b">
        <v>0</v>
      </c>
      <c r="J576" t="b">
        <v>0</v>
      </c>
      <c r="K576" t="n">
        <v>0.8600035726653026</v>
      </c>
      <c r="L576" t="n">
        <v>0.6278372162783721</v>
      </c>
      <c r="M576" t="n">
        <v>0.3843107912920031</v>
      </c>
      <c r="N576" t="n">
        <v>0.00114988501149885</v>
      </c>
      <c r="O576" t="n">
        <v>-52094.88297067693</v>
      </c>
      <c r="P576" t="n">
        <v>-512692.9336082505</v>
      </c>
      <c r="Q576">
        <f>'_live'!$C$22</f>
        <v/>
      </c>
      <c r="R576" t="inlineStr">
        <is>
          <t>shuffled: 5,732 of 10,000</t>
        </is>
      </c>
      <c r="S576" t="inlineStr">
        <is>
          <t>shuffled: 1 of 10,000</t>
        </is>
      </c>
      <c r="T576" t="n">
        <v>0.04180716097724621</v>
      </c>
      <c r="U576" t="n">
        <v>0.09355529071289265</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0.03595430780342516</v>
      </c>
      <c r="AI576">
        <f>IF($Y576="worse","Yes",IF($Y576="worse, not significant","Not sure",IF(OR($Y576="too few losses to test",$Y576="too few loans to test"),"Too few losses",IF($Y576="","","No"))))</f>
        <v/>
      </c>
      <c r="AJ576">
        <f>IF($AA576="yes","Yes",IF($AA576="","","No"))</f>
        <v/>
      </c>
    </row>
    <row r="577">
      <c r="A577" t="inlineStr">
        <is>
          <t>three-way</t>
        </is>
      </c>
      <c r="B577" t="inlineStr">
        <is>
          <t>FICO x CHANNEL / REV_DEBT</t>
        </is>
      </c>
      <c r="C577" t="inlineStr">
        <is>
          <t>496 - 653</t>
        </is>
      </c>
      <c r="D577" t="inlineStr">
        <is>
          <t>Online / REV_DEBT low half</t>
        </is>
      </c>
      <c r="E577" t="inlineStr">
        <is>
          <t>ranr_rate</t>
        </is>
      </c>
      <c r="F577" t="inlineStr">
        <is>
          <t>Profit after losses: RANR per booked dollar</t>
        </is>
      </c>
      <c r="G577" t="n">
        <v>266</v>
      </c>
      <c r="H577" t="n">
        <v>8900767.100000001</v>
      </c>
      <c r="I577" t="b">
        <v>0</v>
      </c>
      <c r="J577" t="b">
        <v>0</v>
      </c>
      <c r="K577" t="n">
        <v>0.1141521977744255</v>
      </c>
      <c r="L577" t="n">
        <v>0.0002466420024664201</v>
      </c>
      <c r="M577" t="n">
        <v>0.05824995721710488</v>
      </c>
      <c r="N577" t="n">
        <v>0.01727827217278272</v>
      </c>
      <c r="O577" t="n">
        <v>-1016042.1263433</v>
      </c>
      <c r="P577" t="n">
        <v>-518469.3027744149</v>
      </c>
      <c r="Q577">
        <f>'_live'!$C$23</f>
        <v/>
      </c>
      <c r="R577" t="inlineStr">
        <is>
          <t>shuffled: 0 of 10,000</t>
        </is>
      </c>
      <c r="S577" t="inlineStr">
        <is>
          <t>shuffled: 23 of 10,000</t>
        </is>
      </c>
      <c r="T577" t="n">
        <v>0.1240529463642186</v>
      </c>
      <c r="U577" t="n">
        <v>0.1799551869215392</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0.2382051441386441</v>
      </c>
      <c r="AI577">
        <f>IF($Y577="worse","Yes",IF($Y577="worse, not significant","Not sure",IF(OR($Y577="too few losses to test",$Y577="too few loans to test"),"Too few losses",IF($Y577="","","No"))))</f>
        <v/>
      </c>
      <c r="AJ577">
        <f>IF($AA577="yes","Yes",IF($AA577="","","No"))</f>
        <v/>
      </c>
    </row>
    <row r="578">
      <c r="A578" t="inlineStr">
        <is>
          <t>three-way</t>
        </is>
      </c>
      <c r="B578" t="inlineStr">
        <is>
          <t>FICO x CHANNEL / REV_DEBT</t>
        </is>
      </c>
      <c r="C578" t="inlineStr">
        <is>
          <t>496 - 653</t>
        </is>
      </c>
      <c r="D578" t="inlineStr">
        <is>
          <t>Online / REV_DEBT low half</t>
        </is>
      </c>
      <c r="E578" t="inlineStr">
        <is>
          <t>contribution_rate</t>
        </is>
      </c>
      <c r="F578" t="inlineStr">
        <is>
          <t>Contribution before losses per booked dollar</t>
        </is>
      </c>
      <c r="G578" t="n">
        <v>266</v>
      </c>
      <c r="H578" t="n">
        <v>8900767.100000001</v>
      </c>
      <c r="I578" t="b">
        <v>0</v>
      </c>
      <c r="J578" t="b">
        <v>0</v>
      </c>
      <c r="K578" t="n">
        <v>0.1083029331556984</v>
      </c>
      <c r="L578" t="n">
        <v>0.0001761728589045857</v>
      </c>
      <c r="M578" t="n">
        <v>0.0006489743076371624</v>
      </c>
      <c r="N578" t="n">
        <v>0.9525047495250474</v>
      </c>
      <c r="O578" t="n">
        <v>-963979.1842657398</v>
      </c>
      <c r="P578" t="n">
        <v>-5776.369166162331</v>
      </c>
      <c r="Q578">
        <f>'_live'!$C$24</f>
        <v/>
      </c>
      <c r="R578" t="inlineStr">
        <is>
          <t>shuffled: 0 of 10,000</t>
        </is>
      </c>
      <c r="S578" t="inlineStr">
        <is>
          <t>shuffled: 9,525 of 10,000</t>
        </is>
      </c>
      <c r="T578" t="n">
        <v>0.1658565187863706</v>
      </c>
      <c r="U578" t="n">
        <v>0.2735104776344319</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0.274159451942069</v>
      </c>
      <c r="AI578">
        <f>IF($Y578="worse","Yes",IF($Y578="worse, not significant","Not sure",IF(OR($Y578="too few losses to test",$Y578="too few loans to test"),"Too few losses",IF($Y578="","","No"))))</f>
        <v/>
      </c>
      <c r="AJ578">
        <f>IF($AA578="yes","Yes",IF($AA578="","","No"))</f>
        <v/>
      </c>
    </row>
    <row r="579">
      <c r="A579" t="inlineStr">
        <is>
          <t>three-way</t>
        </is>
      </c>
      <c r="B579" t="inlineStr">
        <is>
          <t>FICO x CHANNEL / REV_DEBT</t>
        </is>
      </c>
      <c r="C579" t="inlineStr">
        <is>
          <t>(marked missing)</t>
        </is>
      </c>
      <c r="D579" t="inlineStr">
        <is>
          <t>Broker / REV_DEBT low half</t>
        </is>
      </c>
      <c r="E579" t="inlineStr">
        <is>
          <t>outcome_loans</t>
        </is>
      </c>
      <c r="F579" t="inlineStr">
        <is>
          <t>Outcome, share of loans</t>
        </is>
      </c>
      <c r="G579" t="n">
        <v>27</v>
      </c>
      <c r="H579" t="n">
        <v>27</v>
      </c>
      <c r="I579" t="b">
        <v>1</v>
      </c>
      <c r="J579" t="b">
        <v>0</v>
      </c>
      <c r="K579" t="n">
        <v>0.4777657916816492</v>
      </c>
      <c r="M579" t="n">
        <v>0.5473251028806584</v>
      </c>
      <c r="O579" t="n">
        <v>-1.093075765178123</v>
      </c>
      <c r="P579" t="n">
        <v>-0.8270676691729322</v>
      </c>
      <c r="Q579">
        <f>'_live'!$C$20</f>
        <v/>
      </c>
      <c r="T579" t="n">
        <v>0.0775213246362268</v>
      </c>
      <c r="U579" t="n">
        <v>0.06766917293233082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0.03703703703703703</v>
      </c>
      <c r="AI579">
        <f>IF($Y579="worse","Yes",IF($Y579="worse, not significant","Not sure",IF(OR($Y579="too few losses to test",$Y579="too few loans to test"),"Too few losses",IF($Y579="","","No"))))</f>
        <v/>
      </c>
      <c r="AJ579">
        <f>IF($AA579="yes","Yes",IF($AA579="","","No"))</f>
        <v/>
      </c>
    </row>
    <row r="580">
      <c r="A580" t="inlineStr">
        <is>
          <t>three-way</t>
        </is>
      </c>
      <c r="B580" t="inlineStr">
        <is>
          <t>FICO x CHANNEL / REV_DEBT</t>
        </is>
      </c>
      <c r="C580" t="inlineStr">
        <is>
          <t>(marked missing)</t>
        </is>
      </c>
      <c r="D580" t="inlineStr">
        <is>
          <t>Broker / REV_DEBT low half</t>
        </is>
      </c>
      <c r="E580" t="inlineStr">
        <is>
          <t>outcome_booked</t>
        </is>
      </c>
      <c r="F580" t="inlineStr">
        <is>
          <t>Outcome, share of booked dollars</t>
        </is>
      </c>
      <c r="G580" t="n">
        <v>27</v>
      </c>
      <c r="H580" t="n">
        <v>832738.9200000002</v>
      </c>
      <c r="I580" t="b">
        <v>1</v>
      </c>
      <c r="J580" t="b">
        <v>0</v>
      </c>
      <c r="K580" t="n">
        <v>0.4672998422629714</v>
      </c>
      <c r="M580" t="n">
        <v>0.6922065526895819</v>
      </c>
      <c r="O580" t="n">
        <v>-33251.26222550904</v>
      </c>
      <c r="P580" t="n">
        <v>-12970.13834667621</v>
      </c>
      <c r="Q580">
        <f>'_live'!$C$21</f>
        <v/>
      </c>
      <c r="T580" t="n">
        <v>0.07495773372224397</v>
      </c>
      <c r="U580" t="n">
        <v>0.05060301294273144</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0.03502773714479442</v>
      </c>
      <c r="AI580">
        <f>IF($Y580="worse","Yes",IF($Y580="worse, not significant","Not sure",IF(OR($Y580="too few losses to test",$Y580="too few loans to test"),"Too few losses",IF($Y580="","","No"))))</f>
        <v/>
      </c>
      <c r="AJ580">
        <f>IF($AA580="yes","Yes",IF($AA580="","","No"))</f>
        <v/>
      </c>
    </row>
    <row r="581">
      <c r="A581" t="inlineStr">
        <is>
          <t>three-way</t>
        </is>
      </c>
      <c r="B581" t="inlineStr">
        <is>
          <t>FICO x CHANNEL / REV_DEBT</t>
        </is>
      </c>
      <c r="C581" t="inlineStr">
        <is>
          <t>(marked missing)</t>
        </is>
      </c>
      <c r="D581" t="inlineStr">
        <is>
          <t>Broker / REV_DEBT low half</t>
        </is>
      </c>
      <c r="E581" t="inlineStr">
        <is>
          <t>gco_rate</t>
        </is>
      </c>
      <c r="F581" t="inlineStr">
        <is>
          <t>GCO per booked dollar</t>
        </is>
      </c>
      <c r="G581" t="n">
        <v>27</v>
      </c>
      <c r="H581" t="n">
        <v>832738.9200000002</v>
      </c>
      <c r="I581" t="b">
        <v>1</v>
      </c>
      <c r="J581" t="b">
        <v>0</v>
      </c>
      <c r="K581" t="n">
        <v>0.3056138999127486</v>
      </c>
      <c r="M581" t="n">
        <v>0.4567680958127865</v>
      </c>
      <c r="O581" t="n">
        <v>-24111.96050221449</v>
      </c>
      <c r="P581" t="n">
        <v>-12621.01009642383</v>
      </c>
      <c r="Q581">
        <f>'_live'!$C$22</f>
        <v/>
      </c>
      <c r="T581" t="n">
        <v>0.04169871212722288</v>
      </c>
      <c r="U581" t="n">
        <v>0.02789972888072029</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0.01274370603453961</v>
      </c>
      <c r="AI581">
        <f>IF($Y581="worse","Yes",IF($Y581="worse, not significant","Not sure",IF(OR($Y581="too few losses to test",$Y581="too few loans to test"),"Too few losses",IF($Y581="","","No"))))</f>
        <v/>
      </c>
      <c r="AJ581">
        <f>IF($AA581="yes","Yes",IF($AA581="","","No"))</f>
        <v/>
      </c>
    </row>
    <row r="582">
      <c r="A582" t="inlineStr">
        <is>
          <t>three-way</t>
        </is>
      </c>
      <c r="B582" t="inlineStr">
        <is>
          <t>FICO x CHANNEL / REV_DEBT</t>
        </is>
      </c>
      <c r="C582" t="inlineStr">
        <is>
          <t>(marked missing)</t>
        </is>
      </c>
      <c r="D582" t="inlineStr">
        <is>
          <t>Broker / REV_DEBT low half</t>
        </is>
      </c>
      <c r="E582" t="inlineStr">
        <is>
          <t>ranr_rate</t>
        </is>
      </c>
      <c r="F582" t="inlineStr">
        <is>
          <t>Profit after losses: RANR per booked dollar</t>
        </is>
      </c>
      <c r="G582" t="n">
        <v>27</v>
      </c>
      <c r="H582" t="n">
        <v>832738.9200000002</v>
      </c>
      <c r="I582" t="b">
        <v>0</v>
      </c>
      <c r="J582" t="b">
        <v>0</v>
      </c>
      <c r="K582" t="n">
        <v>0.02026117376462155</v>
      </c>
      <c r="L582" t="n">
        <v>0.702004799520048</v>
      </c>
      <c r="M582" t="n">
        <v>-0.008293299255970221</v>
      </c>
      <c r="N582" t="n">
        <v>0.9302952057735404</v>
      </c>
      <c r="O582" t="n">
        <v>-16872.26795868328</v>
      </c>
      <c r="P582" t="n">
        <v>6906.15306565346</v>
      </c>
      <c r="Q582">
        <f>'_live'!$C$23</f>
        <v/>
      </c>
      <c r="R582" t="inlineStr">
        <is>
          <t>shuffled: 6,071 of 10,000</t>
        </is>
      </c>
      <c r="S582" t="inlineStr">
        <is>
          <t>shuffled: 8,101 of 10,000</t>
        </is>
      </c>
      <c r="T582" t="n">
        <v>0.1279246706054242</v>
      </c>
      <c r="U582" t="n">
        <v>0.156479143626016</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0.1481858443700458</v>
      </c>
      <c r="AI582">
        <f>IF($Y582="worse","Yes",IF($Y582="worse, not significant","Not sure",IF(OR($Y582="too few losses to test",$Y582="too few loans to test"),"Too few losses",IF($Y582="","","No"))))</f>
        <v/>
      </c>
      <c r="AJ582">
        <f>IF($AA582="yes","Yes",IF($AA582="","","No"))</f>
        <v/>
      </c>
    </row>
    <row r="583">
      <c r="A583" t="inlineStr">
        <is>
          <t>three-way</t>
        </is>
      </c>
      <c r="B583" t="inlineStr">
        <is>
          <t>FICO x CHANNEL / REV_DEBT</t>
        </is>
      </c>
      <c r="C583" t="inlineStr">
        <is>
          <t>(marked missing)</t>
        </is>
      </c>
      <c r="D583" t="inlineStr">
        <is>
          <t>Broker / REV_DEBT low half</t>
        </is>
      </c>
      <c r="E583" t="inlineStr">
        <is>
          <t>contribution_rate</t>
        </is>
      </c>
      <c r="F583" t="inlineStr">
        <is>
          <t>Contribution before losses per booked dollar</t>
        </is>
      </c>
      <c r="G583" t="n">
        <v>27</v>
      </c>
      <c r="H583" t="n">
        <v>832738.9200000002</v>
      </c>
      <c r="I583" t="b">
        <v>0</v>
      </c>
      <c r="J583" t="b">
        <v>0</v>
      </c>
      <c r="K583" t="n">
        <v>-0.008690953736252977</v>
      </c>
      <c r="L583" t="n">
        <v>0.7553411325534114</v>
      </c>
      <c r="M583" t="n">
        <v>-0.02344932210215089</v>
      </c>
      <c r="N583" t="n">
        <v>0.5135486451354865</v>
      </c>
      <c r="O583" t="n">
        <v>7237.295428097248</v>
      </c>
      <c r="P583" t="n">
        <v>19527.16316207725</v>
      </c>
      <c r="Q583">
        <f>'_live'!$C$24</f>
        <v/>
      </c>
      <c r="R583" t="inlineStr">
        <is>
          <t>shuffled: 7,349 of 10,000</t>
        </is>
      </c>
      <c r="S583" t="inlineStr">
        <is>
          <t>shuffled: 4,159 of 10,000</t>
        </is>
      </c>
      <c r="T583" t="n">
        <v>0.1696205041408383</v>
      </c>
      <c r="U583" t="n">
        <v>0.1843788725067363</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0.1609295504045854</v>
      </c>
      <c r="AI583">
        <f>IF($Y583="worse","Yes",IF($Y583="worse, not significant","Not sure",IF(OR($Y583="too few losses to test",$Y583="too few loans to test"),"Too few losses",IF($Y583="","","No"))))</f>
        <v/>
      </c>
      <c r="AJ583">
        <f>IF($AA583="yes","Yes",IF($AA583="","","No"))</f>
        <v/>
      </c>
    </row>
    <row r="584">
      <c r="A584" t="inlineStr">
        <is>
          <t>three-way</t>
        </is>
      </c>
      <c r="B584" t="inlineStr">
        <is>
          <t>FICO x CHANNEL / REV_DEBT</t>
        </is>
      </c>
      <c r="C584" t="inlineStr">
        <is>
          <t>(marked missing)</t>
        </is>
      </c>
      <c r="D584" t="inlineStr">
        <is>
          <t>Branch / REV_DEBT low half</t>
        </is>
      </c>
      <c r="E584" t="inlineStr">
        <is>
          <t>outcome_loans</t>
        </is>
      </c>
      <c r="F584" t="inlineStr">
        <is>
          <t>Outcome, share of loans</t>
        </is>
      </c>
      <c r="G584" t="n">
        <v>26</v>
      </c>
      <c r="H584" t="n">
        <v>26</v>
      </c>
      <c r="I584" t="b">
        <v>1</v>
      </c>
      <c r="J584" t="b">
        <v>0</v>
      </c>
      <c r="K584" t="n">
        <v>0</v>
      </c>
      <c r="M584" t="n">
        <v>0</v>
      </c>
      <c r="O584" t="n">
        <v>-2.018562648940173</v>
      </c>
      <c r="P584" t="n">
        <v>-1.940298507462686</v>
      </c>
      <c r="Q584">
        <f>'_live'!$C$20</f>
        <v/>
      </c>
      <c r="T584" t="n">
        <v>0.07763702495923742</v>
      </c>
      <c r="U584" t="n">
        <v>0.07462686567164178</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v>
      </c>
      <c r="AI584">
        <f>IF($Y584="worse","Yes",IF($Y584="worse, not significant","Not sure",IF(OR($Y584="too few losses to test",$Y584="too few loans to test"),"Too few losses",IF($Y584="","","No"))))</f>
        <v/>
      </c>
      <c r="AJ584">
        <f>IF($AA584="yes","Yes",IF($AA584="","","No"))</f>
        <v/>
      </c>
    </row>
    <row r="585">
      <c r="A585" t="inlineStr">
        <is>
          <t>three-way</t>
        </is>
      </c>
      <c r="B585" t="inlineStr">
        <is>
          <t>FICO x CHANNEL / REV_DEBT</t>
        </is>
      </c>
      <c r="C585" t="inlineStr">
        <is>
          <t>(marked missing)</t>
        </is>
      </c>
      <c r="D585" t="inlineStr">
        <is>
          <t>Branch / REV_DEBT low half</t>
        </is>
      </c>
      <c r="E585" t="inlineStr">
        <is>
          <t>outcome_booked</t>
        </is>
      </c>
      <c r="F585" t="inlineStr">
        <is>
          <t>Outcome, share of booked dollars</t>
        </is>
      </c>
      <c r="G585" t="n">
        <v>26</v>
      </c>
      <c r="H585" t="n">
        <v>972727.01</v>
      </c>
      <c r="I585" t="b">
        <v>1</v>
      </c>
      <c r="J585" t="b">
        <v>0</v>
      </c>
      <c r="K585" t="n">
        <v>0</v>
      </c>
      <c r="M585" t="n">
        <v>0</v>
      </c>
      <c r="O585" t="n">
        <v>-73063.4963632845</v>
      </c>
      <c r="P585" t="n">
        <v>-57394.37582500713</v>
      </c>
      <c r="Q585">
        <f>'_live'!$C$21</f>
        <v/>
      </c>
      <c r="T585" t="n">
        <v>0.07511202589438172</v>
      </c>
      <c r="U585" t="n">
        <v>0.05900357986873124</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v>
      </c>
      <c r="AI585">
        <f>IF($Y585="worse","Yes",IF($Y585="worse, not significant","Not sure",IF(OR($Y585="too few losses to test",$Y585="too few loans to test"),"Too few losses",IF($Y585="","","No"))))</f>
        <v/>
      </c>
      <c r="AJ585">
        <f>IF($AA585="yes","Yes",IF($AA585="","","No"))</f>
        <v/>
      </c>
    </row>
    <row r="586">
      <c r="A586" t="inlineStr">
        <is>
          <t>three-way</t>
        </is>
      </c>
      <c r="B586" t="inlineStr">
        <is>
          <t>FICO x CHANNEL / REV_DEBT</t>
        </is>
      </c>
      <c r="C586" t="inlineStr">
        <is>
          <t>(marked missing)</t>
        </is>
      </c>
      <c r="D586" t="inlineStr">
        <is>
          <t>Branch / REV_DEBT low half</t>
        </is>
      </c>
      <c r="E586" t="inlineStr">
        <is>
          <t>gco_rate</t>
        </is>
      </c>
      <c r="F586" t="inlineStr">
        <is>
          <t>GCO per booked dollar</t>
        </is>
      </c>
      <c r="G586" t="n">
        <v>26</v>
      </c>
      <c r="H586" t="n">
        <v>972727.01</v>
      </c>
      <c r="I586" t="b">
        <v>1</v>
      </c>
      <c r="J586" t="b">
        <v>0</v>
      </c>
      <c r="K586" t="n">
        <v>0</v>
      </c>
      <c r="M586" t="n">
        <v>0</v>
      </c>
      <c r="O586" t="n">
        <v>-40623.71021415509</v>
      </c>
      <c r="P586" t="n">
        <v>-30411.16698396253</v>
      </c>
      <c r="Q586">
        <f>'_live'!$C$22</f>
        <v/>
      </c>
      <c r="T586" t="n">
        <v>0.04176270402335707</v>
      </c>
      <c r="U586" t="n">
        <v>0.03126382496972355</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v>
      </c>
      <c r="AI586">
        <f>IF($Y586="worse","Yes",IF($Y586="worse, not significant","Not sure",IF(OR($Y586="too few losses to test",$Y586="too few loans to test"),"Too few losses",IF($Y586="","","No"))))</f>
        <v/>
      </c>
      <c r="AJ586">
        <f>IF($AA586="yes","Yes",IF($AA586="","","No"))</f>
        <v/>
      </c>
    </row>
    <row r="587">
      <c r="A587" t="inlineStr">
        <is>
          <t>three-way</t>
        </is>
      </c>
      <c r="B587" t="inlineStr">
        <is>
          <t>FICO x CHANNEL / REV_DEBT</t>
        </is>
      </c>
      <c r="C587" t="inlineStr">
        <is>
          <t>(marked missing)</t>
        </is>
      </c>
      <c r="D587" t="inlineStr">
        <is>
          <t>Branch / REV_DEBT low half</t>
        </is>
      </c>
      <c r="E587" t="inlineStr">
        <is>
          <t>ranr_rate</t>
        </is>
      </c>
      <c r="F587" t="inlineStr">
        <is>
          <t>Profit after losses: RANR per booked dollar</t>
        </is>
      </c>
      <c r="G587" t="n">
        <v>26</v>
      </c>
      <c r="H587" t="n">
        <v>972727.01</v>
      </c>
      <c r="I587" t="b">
        <v>0</v>
      </c>
      <c r="J587" t="b">
        <v>0</v>
      </c>
      <c r="K587" t="n">
        <v>-0.002977964902521446</v>
      </c>
      <c r="L587" t="n">
        <v>0.9415058494150585</v>
      </c>
      <c r="M587" t="n">
        <v>-0.03694574258261302</v>
      </c>
      <c r="N587" t="n">
        <v>0.6149385061493851</v>
      </c>
      <c r="O587" t="n">
        <v>2896.746895514618</v>
      </c>
      <c r="P587" t="n">
        <v>35938.12171461481</v>
      </c>
      <c r="Q587">
        <f>'_live'!$C$23</f>
        <v/>
      </c>
      <c r="R587" t="inlineStr">
        <is>
          <t>shuffled: 9,415 of 10,000</t>
        </is>
      </c>
      <c r="S587" t="inlineStr">
        <is>
          <t>shuffled: 2,935 of 10,000</t>
        </is>
      </c>
      <c r="T587" t="n">
        <v>0.128001274371434</v>
      </c>
      <c r="U587" t="n">
        <v>0.1619690520515256</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0.1250233094689125</v>
      </c>
      <c r="AI587">
        <f>IF($Y587="worse","Yes",IF($Y587="worse, not significant","Not sure",IF(OR($Y587="too few losses to test",$Y587="too few loans to test"),"Too few losses",IF($Y587="","","No"))))</f>
        <v/>
      </c>
      <c r="AJ587">
        <f>IF($AA587="yes","Yes",IF($AA587="","","No"))</f>
        <v/>
      </c>
    </row>
    <row r="588">
      <c r="A588" t="inlineStr">
        <is>
          <t>three-way</t>
        </is>
      </c>
      <c r="B588" t="inlineStr">
        <is>
          <t>FICO x CHANNEL / REV_DEBT</t>
        </is>
      </c>
      <c r="C588" t="inlineStr">
        <is>
          <t>(marked missing)</t>
        </is>
      </c>
      <c r="D588" t="inlineStr">
        <is>
          <t>Branch / REV_DEBT low half</t>
        </is>
      </c>
      <c r="E588" t="inlineStr">
        <is>
          <t>contribution_rate</t>
        </is>
      </c>
      <c r="F588" t="inlineStr">
        <is>
          <t>Contribution before losses per booked dollar</t>
        </is>
      </c>
      <c r="G588" t="n">
        <v>26</v>
      </c>
      <c r="H588" t="n">
        <v>972727.01</v>
      </c>
      <c r="I588" t="b">
        <v>0</v>
      </c>
      <c r="J588" t="b">
        <v>0</v>
      </c>
      <c r="K588" t="n">
        <v>-0.04473780059256549</v>
      </c>
      <c r="L588" t="n">
        <v>0.108645802086458</v>
      </c>
      <c r="M588" t="n">
        <v>-0.06820956755233656</v>
      </c>
      <c r="N588" t="n">
        <v>0.04072092790720928</v>
      </c>
      <c r="O588" t="n">
        <v>43517.66700438246</v>
      </c>
      <c r="P588" t="n">
        <v>66349.28869857737</v>
      </c>
      <c r="Q588">
        <f>'_live'!$C$24</f>
        <v/>
      </c>
      <c r="R588" t="inlineStr">
        <is>
          <t>shuffled: 880 of 10,000</t>
        </is>
      </c>
      <c r="S588" t="inlineStr">
        <is>
          <t>shuffled: 180 of 10,000</t>
        </is>
      </c>
      <c r="T588" t="n">
        <v>0.169761110061478</v>
      </c>
      <c r="U588" t="n">
        <v>0.1932328770212491</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0.1250233094689125</v>
      </c>
      <c r="AI588">
        <f>IF($Y588="worse","Yes",IF($Y588="worse, not significant","Not sure",IF(OR($Y588="too few losses to test",$Y588="too few loans to test"),"Too few losses",IF($Y588="","","No"))))</f>
        <v/>
      </c>
      <c r="AJ588">
        <f>IF($AA588="yes","Yes",IF($AA588="","","No"))</f>
        <v/>
      </c>
    </row>
    <row r="589">
      <c r="A589" t="inlineStr">
        <is>
          <t>three-way</t>
        </is>
      </c>
      <c r="B589" t="inlineStr">
        <is>
          <t>FICO x CHANNEL / REV_DEBT</t>
        </is>
      </c>
      <c r="C589" t="inlineStr">
        <is>
          <t>(marked missing)</t>
        </is>
      </c>
      <c r="D589" t="inlineStr">
        <is>
          <t>Broker / REV_DEBT high half</t>
        </is>
      </c>
      <c r="E589" t="inlineStr">
        <is>
          <t>outcome_loans</t>
        </is>
      </c>
      <c r="F589" t="inlineStr">
        <is>
          <t>Outcome, share of loans</t>
        </is>
      </c>
      <c r="G589" t="n">
        <v>27</v>
      </c>
      <c r="H589" t="n">
        <v>27</v>
      </c>
      <c r="I589" t="b">
        <v>1</v>
      </c>
      <c r="J589" t="b">
        <v>0</v>
      </c>
      <c r="K589" t="n">
        <v>2.889976436469095</v>
      </c>
      <c r="M589" t="n">
        <v>7.388888888888889</v>
      </c>
      <c r="O589" t="n">
        <v>3.923858504766684</v>
      </c>
      <c r="P589" t="n">
        <v>5.18796992481203</v>
      </c>
      <c r="Q589">
        <f>'_live'!$C$20</f>
        <v/>
      </c>
      <c r="T589" t="n">
        <v>0.0768941294530858</v>
      </c>
      <c r="U589" t="n">
        <v>0.03007518796992481</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0.2222222222222222</v>
      </c>
      <c r="AI589">
        <f>IF($Y589="worse","Yes",IF($Y589="worse, not significant","Not sure",IF(OR($Y589="too few losses to test",$Y589="too few loans to test"),"Too few losses",IF($Y589="","","No"))))</f>
        <v/>
      </c>
      <c r="AJ589">
        <f>IF($AA589="yes","Yes",IF($AA589="","","No"))</f>
        <v/>
      </c>
    </row>
    <row r="590">
      <c r="A590" t="inlineStr">
        <is>
          <t>three-way</t>
        </is>
      </c>
      <c r="B590" t="inlineStr">
        <is>
          <t>FICO x CHANNEL / REV_DEBT</t>
        </is>
      </c>
      <c r="C590" t="inlineStr">
        <is>
          <t>(marked missing)</t>
        </is>
      </c>
      <c r="D590" t="inlineStr">
        <is>
          <t>Broker / REV_DEBT high half</t>
        </is>
      </c>
      <c r="E590" t="inlineStr">
        <is>
          <t>outcome_booked</t>
        </is>
      </c>
      <c r="F590" t="inlineStr">
        <is>
          <t>Outcome, share of booked dollars</t>
        </is>
      </c>
      <c r="G590" t="n">
        <v>27</v>
      </c>
      <c r="H590" t="n">
        <v>835771.09</v>
      </c>
      <c r="I590" t="b">
        <v>1</v>
      </c>
      <c r="J590" t="b">
        <v>0</v>
      </c>
      <c r="K590" t="n">
        <v>2.296225875983746</v>
      </c>
      <c r="M590" t="n">
        <v>6.824972597065623</v>
      </c>
      <c r="O590" t="n">
        <v>80726.78124511044</v>
      </c>
      <c r="P590" t="n">
        <v>122051.8962007996</v>
      </c>
      <c r="Q590">
        <f>'_live'!$C$21</f>
        <v/>
      </c>
      <c r="T590" t="n">
        <v>0.07451601221919459</v>
      </c>
      <c r="U590" t="n">
        <v>0.02507051757341882</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0.1711055954328356</v>
      </c>
      <c r="AI590">
        <f>IF($Y590="worse","Yes",IF($Y590="worse, not significant","Not sure",IF(OR($Y590="too few losses to test",$Y590="too few loans to test"),"Too few losses",IF($Y590="","","No"))))</f>
        <v/>
      </c>
      <c r="AJ590">
        <f>IF($AA590="yes","Yes",IF($AA590="","","No"))</f>
        <v/>
      </c>
    </row>
    <row r="591">
      <c r="A591" t="inlineStr">
        <is>
          <t>three-way</t>
        </is>
      </c>
      <c r="B591" t="inlineStr">
        <is>
          <t>FICO x CHANNEL / REV_DEBT</t>
        </is>
      </c>
      <c r="C591" t="inlineStr">
        <is>
          <t>(marked missing)</t>
        </is>
      </c>
      <c r="D591" t="inlineStr">
        <is>
          <t>Broker / REV_DEBT high half</t>
        </is>
      </c>
      <c r="E591" t="inlineStr">
        <is>
          <t>gco_rate</t>
        </is>
      </c>
      <c r="F591" t="inlineStr">
        <is>
          <t>GCO per booked dollar</t>
        </is>
      </c>
      <c r="G591" t="n">
        <v>27</v>
      </c>
      <c r="H591" t="n">
        <v>835771.09</v>
      </c>
      <c r="I591" t="b">
        <v>1</v>
      </c>
      <c r="J591" t="b">
        <v>0</v>
      </c>
      <c r="K591" t="n">
        <v>2.203365384752901</v>
      </c>
      <c r="M591" t="n">
        <v>6.938170220600741</v>
      </c>
      <c r="O591" t="n">
        <v>41681.5310953322</v>
      </c>
      <c r="P591" t="n">
        <v>65319.12574303893</v>
      </c>
      <c r="Q591">
        <f>'_live'!$C$22</f>
        <v/>
      </c>
      <c r="T591" t="n">
        <v>0.04144372701940169</v>
      </c>
      <c r="U591" t="n">
        <v>0.01316134811143213</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0.09131567352969819</v>
      </c>
      <c r="AI591">
        <f>IF($Y591="worse","Yes",IF($Y591="worse, not significant","Not sure",IF(OR($Y591="too few losses to test",$Y591="too few loans to test"),"Too few losses",IF($Y591="","","No"))))</f>
        <v/>
      </c>
      <c r="AJ591">
        <f>IF($AA591="yes","Yes",IF($AA591="","","No"))</f>
        <v/>
      </c>
    </row>
    <row r="592">
      <c r="A592" t="inlineStr">
        <is>
          <t>three-way</t>
        </is>
      </c>
      <c r="B592" t="inlineStr">
        <is>
          <t>FICO x CHANNEL / REV_DEBT</t>
        </is>
      </c>
      <c r="C592" t="inlineStr">
        <is>
          <t>(marked missing)</t>
        </is>
      </c>
      <c r="D592" t="inlineStr">
        <is>
          <t>Broker / REV_DEBT high half</t>
        </is>
      </c>
      <c r="E592" t="inlineStr">
        <is>
          <t>ranr_rate</t>
        </is>
      </c>
      <c r="F592" t="inlineStr">
        <is>
          <t>Profit after losses: RANR per booked dollar</t>
        </is>
      </c>
      <c r="G592" t="n">
        <v>27</v>
      </c>
      <c r="H592" t="n">
        <v>835771.09</v>
      </c>
      <c r="I592" t="b">
        <v>0</v>
      </c>
      <c r="J592" t="b">
        <v>0</v>
      </c>
      <c r="K592" t="n">
        <v>-0.02479742682427145</v>
      </c>
      <c r="L592" t="n">
        <v>0.6630691769532724</v>
      </c>
      <c r="M592" t="n">
        <v>-0.06164243962046416</v>
      </c>
      <c r="N592" t="n">
        <v>0.2722636827226368</v>
      </c>
      <c r="O592" t="n">
        <v>20724.97244611659</v>
      </c>
      <c r="P592" t="n">
        <v>51518.96895185451</v>
      </c>
      <c r="Q592">
        <f>'_live'!$C$23</f>
        <v/>
      </c>
      <c r="R592" t="inlineStr">
        <is>
          <t>shuffled: 5,209 of 10,000</t>
        </is>
      </c>
      <c r="S592" t="inlineStr">
        <is>
          <t>shuffled: 831 of 10,000</t>
        </is>
      </c>
      <c r="T592" t="n">
        <v>0.1280703576934165</v>
      </c>
      <c r="U592" t="n">
        <v>0.1649153704896092</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0.103272930869145</v>
      </c>
      <c r="AI592">
        <f>IF($Y592="worse","Yes",IF($Y592="worse, not significant","Not sure",IF(OR($Y592="too few losses to test",$Y592="too few loans to test"),"Too few losses",IF($Y592="","","No"))))</f>
        <v/>
      </c>
      <c r="AJ592">
        <f>IF($AA592="yes","Yes",IF($AA592="","","No"))</f>
        <v/>
      </c>
    </row>
    <row r="593">
      <c r="A593" t="inlineStr">
        <is>
          <t>three-way</t>
        </is>
      </c>
      <c r="B593" t="inlineStr">
        <is>
          <t>FICO x CHANNEL / REV_DEBT</t>
        </is>
      </c>
      <c r="C593" t="inlineStr">
        <is>
          <t>(marked missing)</t>
        </is>
      </c>
      <c r="D593" t="inlineStr">
        <is>
          <t>Broker / REV_DEBT high half</t>
        </is>
      </c>
      <c r="E593" t="inlineStr">
        <is>
          <t>contribution_rate</t>
        </is>
      </c>
      <c r="F593" t="inlineStr">
        <is>
          <t>Contribution before losses per booked dollar</t>
        </is>
      </c>
      <c r="G593" t="n">
        <v>27</v>
      </c>
      <c r="H593" t="n">
        <v>835771.09</v>
      </c>
      <c r="I593" t="b">
        <v>0</v>
      </c>
      <c r="J593" t="b">
        <v>0</v>
      </c>
      <c r="K593" t="n">
        <v>0.02507737583250727</v>
      </c>
      <c r="L593" t="n">
        <v>0.3708598837085988</v>
      </c>
      <c r="M593" t="n">
        <v>0.01651188579780197</v>
      </c>
      <c r="N593" t="n">
        <v>0.6554719528047195</v>
      </c>
      <c r="O593" t="n">
        <v>-20958.94573387425</v>
      </c>
      <c r="P593" t="n">
        <v>-13800.15679118448</v>
      </c>
      <c r="Q593">
        <f>'_live'!$C$24</f>
        <v/>
      </c>
      <c r="R593" t="inlineStr">
        <is>
          <t>shuffled: 3,307 of 10,000</t>
        </is>
      </c>
      <c r="S593" t="inlineStr">
        <is>
          <t>shuffled: 5,749 of 10,000</t>
        </is>
      </c>
      <c r="T593" t="n">
        <v>0.169511228566336</v>
      </c>
      <c r="U593" t="n">
        <v>0.1780767186010413</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0.1945886043988433</v>
      </c>
      <c r="AI593">
        <f>IF($Y593="worse","Yes",IF($Y593="worse, not significant","Not sure",IF(OR($Y593="too few losses to test",$Y593="too few loans to test"),"Too few losses",IF($Y593="","","No"))))</f>
        <v/>
      </c>
      <c r="AJ593">
        <f>IF($AA593="yes","Yes",IF($AA593="","","No"))</f>
        <v/>
      </c>
    </row>
    <row r="594">
      <c r="A594" t="inlineStr">
        <is>
          <t>three-way</t>
        </is>
      </c>
      <c r="B594" t="inlineStr">
        <is>
          <t>FICO x ASSET_CLASS / REV_DEBT</t>
        </is>
      </c>
      <c r="C594" t="inlineStr">
        <is>
          <t>(marked missing)</t>
        </is>
      </c>
      <c r="D594" t="inlineStr">
        <is>
          <t>1 / REV_DEBT high half</t>
        </is>
      </c>
      <c r="E594" t="inlineStr">
        <is>
          <t>outcome_loans</t>
        </is>
      </c>
      <c r="F594" t="inlineStr">
        <is>
          <t>Outcome, share of loans</t>
        </is>
      </c>
      <c r="G594" t="n">
        <v>21</v>
      </c>
      <c r="H594" t="n">
        <v>21</v>
      </c>
      <c r="I594" t="b">
        <v>1</v>
      </c>
      <c r="J594" t="b">
        <v>0</v>
      </c>
      <c r="K594" t="n">
        <v>0.6147326244413623</v>
      </c>
      <c r="M594" t="n">
        <v>0.7354497354497355</v>
      </c>
      <c r="O594" t="n">
        <v>-0.62672348959639</v>
      </c>
      <c r="P594" t="n">
        <v>-0.3597122302158273</v>
      </c>
      <c r="Q594">
        <f>'_live'!$C$20</f>
        <v/>
      </c>
      <c r="T594" t="n">
        <v>0.07746302331411381</v>
      </c>
      <c r="U594" t="n">
        <v>0.06474820143884892</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0.04761904761904762</v>
      </c>
      <c r="AI594">
        <f>IF($Y594="worse","Yes",IF($Y594="worse, not significant","Not sure",IF(OR($Y594="too few losses to test",$Y594="too few loans to test"),"Too few losses",IF($Y594="","","No"))))</f>
        <v/>
      </c>
      <c r="AJ594">
        <f>IF($AA594="yes","Yes",IF($AA594="","","No"))</f>
        <v/>
      </c>
    </row>
    <row r="595">
      <c r="A595" t="inlineStr">
        <is>
          <t>three-way</t>
        </is>
      </c>
      <c r="B595" t="inlineStr">
        <is>
          <t>FICO x ASSET_CLASS / REV_DEBT</t>
        </is>
      </c>
      <c r="C595" t="inlineStr">
        <is>
          <t>(marked missing)</t>
        </is>
      </c>
      <c r="D595" t="inlineStr">
        <is>
          <t>1 / REV_DEBT high half</t>
        </is>
      </c>
      <c r="E595" t="inlineStr">
        <is>
          <t>outcome_booked</t>
        </is>
      </c>
      <c r="F595" t="inlineStr">
        <is>
          <t>Outcome, share of booked dollars</t>
        </is>
      </c>
      <c r="G595" t="n">
        <v>21</v>
      </c>
      <c r="H595" t="n">
        <v>715161.8900000002</v>
      </c>
      <c r="I595" t="b">
        <v>1</v>
      </c>
      <c r="J595" t="b">
        <v>0</v>
      </c>
      <c r="K595" t="n">
        <v>0.2709408340404723</v>
      </c>
      <c r="M595" t="n">
        <v>0.3869321859111815</v>
      </c>
      <c r="O595" t="n">
        <v>-39094.4194565456</v>
      </c>
      <c r="P595" t="n">
        <v>-23019.72424159786</v>
      </c>
      <c r="Q595">
        <f>'_live'!$C$21</f>
        <v/>
      </c>
      <c r="T595" t="n">
        <v>0.07498037885735995</v>
      </c>
      <c r="U595" t="n">
        <v>0.05250337688099942</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0.0203152463842837</v>
      </c>
      <c r="AI595">
        <f>IF($Y595="worse","Yes",IF($Y595="worse, not significant","Not sure",IF(OR($Y595="too few losses to test",$Y595="too few loans to test"),"Too few losses",IF($Y595="","","No"))))</f>
        <v/>
      </c>
      <c r="AJ595">
        <f>IF($AA595="yes","Yes",IF($AA595="","","No"))</f>
        <v/>
      </c>
    </row>
    <row r="596">
      <c r="A596" t="inlineStr">
        <is>
          <t>three-way</t>
        </is>
      </c>
      <c r="B596" t="inlineStr">
        <is>
          <t>FICO x ASSET_CLASS / REV_DEBT</t>
        </is>
      </c>
      <c r="C596" t="inlineStr">
        <is>
          <t>(marked missing)</t>
        </is>
      </c>
      <c r="D596" t="inlineStr">
        <is>
          <t>1 / REV_DEBT high half</t>
        </is>
      </c>
      <c r="E596" t="inlineStr">
        <is>
          <t>gco_rate</t>
        </is>
      </c>
      <c r="F596" t="inlineStr">
        <is>
          <t>GCO per booked dollar</t>
        </is>
      </c>
      <c r="G596" t="n">
        <v>21</v>
      </c>
      <c r="H596" t="n">
        <v>715161.8900000002</v>
      </c>
      <c r="I596" t="b">
        <v>1</v>
      </c>
      <c r="J596" t="b">
        <v>0</v>
      </c>
      <c r="K596" t="n">
        <v>0.2097706020938903</v>
      </c>
      <c r="M596" t="n">
        <v>0.3108825135793645</v>
      </c>
      <c r="O596" t="n">
        <v>-23564.4923929692</v>
      </c>
      <c r="P596" t="n">
        <v>-13865.85030314442</v>
      </c>
      <c r="Q596">
        <f>'_live'!$C$22</f>
        <v/>
      </c>
      <c r="T596" t="n">
        <v>0.04169659039433601</v>
      </c>
      <c r="U596" t="n">
        <v>0.02813512658391851</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0.008746718872282186</v>
      </c>
      <c r="AI596">
        <f>IF($Y596="worse","Yes",IF($Y596="worse, not significant","Not sure",IF(OR($Y596="too few losses to test",$Y596="too few loans to test"),"Too few losses",IF($Y596="","","No"))))</f>
        <v/>
      </c>
      <c r="AJ596">
        <f>IF($AA596="yes","Yes",IF($AA596="","","No"))</f>
        <v/>
      </c>
    </row>
    <row r="597">
      <c r="A597" t="inlineStr">
        <is>
          <t>three-way</t>
        </is>
      </c>
      <c r="B597" t="inlineStr">
        <is>
          <t>FICO x ASSET_CLASS / REV_DEBT</t>
        </is>
      </c>
      <c r="C597" t="inlineStr">
        <is>
          <t>(marked missing)</t>
        </is>
      </c>
      <c r="D597" t="inlineStr">
        <is>
          <t>1 / REV_DEBT high half</t>
        </is>
      </c>
      <c r="E597" t="inlineStr">
        <is>
          <t>ranr_rate</t>
        </is>
      </c>
      <c r="F597" t="inlineStr">
        <is>
          <t>Profit after losses: RANR per booked dollar</t>
        </is>
      </c>
      <c r="G597" t="n">
        <v>21</v>
      </c>
      <c r="H597" t="n">
        <v>715161.8900000002</v>
      </c>
      <c r="I597" t="b">
        <v>0</v>
      </c>
      <c r="J597" t="b">
        <v>0</v>
      </c>
      <c r="K597" t="n">
        <v>0.07269320829648643</v>
      </c>
      <c r="L597" t="n">
        <v>0.1399242428698307</v>
      </c>
      <c r="M597" t="n">
        <v>0.05239420434216363</v>
      </c>
      <c r="N597" t="n">
        <v>0.4727527247275272</v>
      </c>
      <c r="O597" t="n">
        <v>-51987.41223547893</v>
      </c>
      <c r="P597" t="n">
        <v>-37470.33820238795</v>
      </c>
      <c r="Q597">
        <f>'_live'!$C$23</f>
        <v/>
      </c>
      <c r="R597" t="inlineStr">
        <is>
          <t>shuffled: 970 of 10,000</t>
        </is>
      </c>
      <c r="S597" t="inlineStr">
        <is>
          <t>shuffled: 1,772 of 10,000</t>
        </is>
      </c>
      <c r="T597" t="n">
        <v>0.1277886014934619</v>
      </c>
      <c r="U597" t="n">
        <v>0.1480876054477847</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0.2004818097899483</v>
      </c>
      <c r="AI597">
        <f>IF($Y597="worse","Yes",IF($Y597="worse, not significant","Not sure",IF(OR($Y597="too few losses to test",$Y597="too few loans to test"),"Too few losses",IF($Y597="","","No"))))</f>
        <v/>
      </c>
      <c r="AJ597">
        <f>IF($AA597="yes","Yes",IF($AA597="","","No"))</f>
        <v/>
      </c>
    </row>
    <row r="598">
      <c r="A598" t="inlineStr">
        <is>
          <t>three-way</t>
        </is>
      </c>
      <c r="B598" t="inlineStr">
        <is>
          <t>FICO x ASSET_CLASS / REV_DEBT</t>
        </is>
      </c>
      <c r="C598" t="inlineStr">
        <is>
          <t>(marked missing)</t>
        </is>
      </c>
      <c r="D598" t="inlineStr">
        <is>
          <t>1 / REV_DEBT high half</t>
        </is>
      </c>
      <c r="E598" t="inlineStr">
        <is>
          <t>contribution_rate</t>
        </is>
      </c>
      <c r="F598" t="inlineStr">
        <is>
          <t>Contribution before losses per booked dollar</t>
        </is>
      </c>
      <c r="G598" t="n">
        <v>21</v>
      </c>
      <c r="H598" t="n">
        <v>715161.8900000002</v>
      </c>
      <c r="I598" t="b">
        <v>0</v>
      </c>
      <c r="J598" t="b">
        <v>0</v>
      </c>
      <c r="K598" t="n">
        <v>0.03974623503628164</v>
      </c>
      <c r="L598" t="n">
        <v>0.2397960203979602</v>
      </c>
      <c r="M598" t="n">
        <v>0.03300579663052727</v>
      </c>
      <c r="N598" t="n">
        <v>0.7636569676365697</v>
      </c>
      <c r="O598" t="n">
        <v>-28424.99256893141</v>
      </c>
      <c r="P598" t="n">
        <v>-23604.48789924354</v>
      </c>
      <c r="Q598">
        <f>'_live'!$C$24</f>
        <v/>
      </c>
      <c r="R598" t="inlineStr">
        <is>
          <t>shuffled: 1,712 of 10,000</t>
        </is>
      </c>
      <c r="S598" t="inlineStr">
        <is>
          <t>shuffled: 3,052 of 10,000</t>
        </is>
      </c>
      <c r="T598" t="n">
        <v>0.1694822936259489</v>
      </c>
      <c r="U598" t="n">
        <v>0.1762227320317032</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0.2092285286622305</v>
      </c>
      <c r="AI598">
        <f>IF($Y598="worse","Yes",IF($Y598="worse, not significant","Not sure",IF(OR($Y598="too few losses to test",$Y598="too few loans to test"),"Too few losses",IF($Y598="","","No"))))</f>
        <v/>
      </c>
      <c r="AJ598">
        <f>IF($AA598="yes","Yes",IF($AA598="","","No"))</f>
        <v/>
      </c>
    </row>
    <row r="599">
      <c r="A599" t="inlineStr">
        <is>
          <t>three-way</t>
        </is>
      </c>
      <c r="B599" t="inlineStr">
        <is>
          <t>FICO x ASSET_CLASS / REV_DEBT</t>
        </is>
      </c>
      <c r="C599" t="inlineStr">
        <is>
          <t>(blank)</t>
        </is>
      </c>
      <c r="D599" t="inlineStr">
        <is>
          <t>2 / REV_DEBT low half</t>
        </is>
      </c>
      <c r="E599" t="inlineStr">
        <is>
          <t>outcome_loans</t>
        </is>
      </c>
      <c r="F599" t="inlineStr">
        <is>
          <t>Outcome, share of loans</t>
        </is>
      </c>
      <c r="G599" t="n">
        <v>1</v>
      </c>
      <c r="H599" t="n">
        <v>1</v>
      </c>
      <c r="I599" t="b">
        <v>1</v>
      </c>
      <c r="J599" t="b">
        <v>1</v>
      </c>
      <c r="K599" t="n">
        <v>0</v>
      </c>
      <c r="O599" t="n">
        <v>-0.07739434858714679</v>
      </c>
      <c r="Q599">
        <f>'_live'!$C$20</f>
        <v/>
      </c>
      <c r="T599" t="n">
        <v>0.07739434858714679</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v>
      </c>
      <c r="AI599">
        <f>IF($Y599="worse","Yes",IF($Y599="worse, not significant","Not sure",IF(OR($Y599="too few losses to test",$Y599="too few loans to test"),"Too few losses",IF($Y599="","","No"))))</f>
        <v/>
      </c>
      <c r="AJ599">
        <f>IF($AA599="yes","Yes",IF($AA599="","","No"))</f>
        <v/>
      </c>
    </row>
    <row r="600">
      <c r="A600" t="inlineStr">
        <is>
          <t>three-way</t>
        </is>
      </c>
      <c r="B600" t="inlineStr">
        <is>
          <t>FICO x ASSET_CLASS / REV_DEBT</t>
        </is>
      </c>
      <c r="C600" t="inlineStr">
        <is>
          <t>(blank)</t>
        </is>
      </c>
      <c r="D600" t="inlineStr">
        <is>
          <t>2 / REV_DEBT low half</t>
        </is>
      </c>
      <c r="E600" t="inlineStr">
        <is>
          <t>outcome_booked</t>
        </is>
      </c>
      <c r="F600" t="inlineStr">
        <is>
          <t>Outcome, share of booked dollars</t>
        </is>
      </c>
      <c r="G600" t="n">
        <v>1</v>
      </c>
      <c r="H600" t="n">
        <v>27999.47</v>
      </c>
      <c r="I600" t="b">
        <v>1</v>
      </c>
      <c r="J600" t="b">
        <v>1</v>
      </c>
      <c r="K600" t="n">
        <v>0</v>
      </c>
      <c r="O600" t="n">
        <v>-2095.396036050188</v>
      </c>
      <c r="Q600">
        <f>'_live'!$C$21</f>
        <v/>
      </c>
      <c r="T600" t="n">
        <v>0.07483698927337509</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v>
      </c>
      <c r="AI600">
        <f>IF($Y600="worse","Yes",IF($Y600="worse, not significant","Not sure",IF(OR($Y600="too few losses to test",$Y600="too few loans to test"),"Too few losses",IF($Y600="","","No"))))</f>
        <v/>
      </c>
      <c r="AJ600">
        <f>IF($AA600="yes","Yes",IF($AA600="","","No"))</f>
        <v/>
      </c>
    </row>
    <row r="601">
      <c r="A601" t="inlineStr">
        <is>
          <t>three-way</t>
        </is>
      </c>
      <c r="B601" t="inlineStr">
        <is>
          <t>FICO x ASSET_CLASS / REV_DEBT</t>
        </is>
      </c>
      <c r="C601" t="inlineStr">
        <is>
          <t>(blank)</t>
        </is>
      </c>
      <c r="D601" t="inlineStr">
        <is>
          <t>2 / REV_DEBT low half</t>
        </is>
      </c>
      <c r="E601" t="inlineStr">
        <is>
          <t>gco_rate</t>
        </is>
      </c>
      <c r="F601" t="inlineStr">
        <is>
          <t>GCO per booked dollar</t>
        </is>
      </c>
      <c r="G601" t="n">
        <v>1</v>
      </c>
      <c r="H601" t="n">
        <v>27999.47</v>
      </c>
      <c r="I601" t="b">
        <v>1</v>
      </c>
      <c r="J601" t="b">
        <v>1</v>
      </c>
      <c r="K601" t="n">
        <v>0</v>
      </c>
      <c r="O601" t="n">
        <v>-1165.051801786329</v>
      </c>
      <c r="Q601">
        <f>'_live'!$C$22</f>
        <v/>
      </c>
      <c r="T601" t="n">
        <v>0.04160978053464329</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v>
      </c>
      <c r="AI601">
        <f>IF($Y601="worse","Yes",IF($Y601="worse, not significant","Not sure",IF(OR($Y601="too few losses to test",$Y601="too few loans to test"),"Too few losses",IF($Y601="","","No"))))</f>
        <v/>
      </c>
      <c r="AJ601">
        <f>IF($AA601="yes","Yes",IF($AA601="","","No"))</f>
        <v/>
      </c>
    </row>
    <row r="602">
      <c r="A602" t="inlineStr">
        <is>
          <t>three-way</t>
        </is>
      </c>
      <c r="B602" t="inlineStr">
        <is>
          <t>FICO x ASSET_CLASS / REV_DEBT</t>
        </is>
      </c>
      <c r="C602" t="inlineStr">
        <is>
          <t>(blank)</t>
        </is>
      </c>
      <c r="D602" t="inlineStr">
        <is>
          <t>2 / REV_DEBT low half</t>
        </is>
      </c>
      <c r="E602" t="inlineStr">
        <is>
          <t>ranr_rate</t>
        </is>
      </c>
      <c r="F602" t="inlineStr">
        <is>
          <t>Profit after losses: RANR per booked dollar</t>
        </is>
      </c>
      <c r="G602" t="n">
        <v>1</v>
      </c>
      <c r="H602" t="n">
        <v>27999.47</v>
      </c>
      <c r="I602" t="b">
        <v>0</v>
      </c>
      <c r="J602" t="b">
        <v>1</v>
      </c>
      <c r="K602" t="n">
        <v>0.01230822708383753</v>
      </c>
      <c r="L602" t="n">
        <v>0.9395060493950604</v>
      </c>
      <c r="O602" t="n">
        <v>-344.6238349870969</v>
      </c>
      <c r="Q602">
        <f>'_live'!$C$23</f>
        <v/>
      </c>
      <c r="R602" t="inlineStr">
        <is>
          <t>shuffled: 9,290 of 10,000</t>
        </is>
      </c>
      <c r="S602" t="inlineStr">
        <is>
          <t>10,000 shuffles</t>
        </is>
      </c>
      <c r="T602" t="n">
        <v>0.1279887142511234</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0.140296941334961</v>
      </c>
      <c r="AI602">
        <f>IF($Y602="worse","Yes",IF($Y602="worse, not significant","Not sure",IF(OR($Y602="too few losses to test",$Y602="too few loans to test"),"Too few losses",IF($Y602="","","No"))))</f>
        <v/>
      </c>
      <c r="AJ602">
        <f>IF($AA602="yes","Yes",IF($AA602="","","No"))</f>
        <v/>
      </c>
    </row>
    <row r="603">
      <c r="A603" t="inlineStr">
        <is>
          <t>three-way</t>
        </is>
      </c>
      <c r="B603" t="inlineStr">
        <is>
          <t>FICO x ASSET_CLASS / REV_DEBT</t>
        </is>
      </c>
      <c r="C603" t="inlineStr">
        <is>
          <t>(blank)</t>
        </is>
      </c>
      <c r="D603" t="inlineStr">
        <is>
          <t>2 / REV_DEBT low half</t>
        </is>
      </c>
      <c r="E603" t="inlineStr">
        <is>
          <t>contribution_rate</t>
        </is>
      </c>
      <c r="F603" t="inlineStr">
        <is>
          <t>Contribution before losses per booked dollar</t>
        </is>
      </c>
      <c r="G603" t="n">
        <v>1</v>
      </c>
      <c r="H603" t="n">
        <v>27999.47</v>
      </c>
      <c r="I603" t="b">
        <v>0</v>
      </c>
      <c r="J603" t="b">
        <v>1</v>
      </c>
      <c r="K603" t="n">
        <v>-0.02929869368860016</v>
      </c>
      <c r="L603" t="n">
        <v>0.9399437833994378</v>
      </c>
      <c r="O603" t="n">
        <v>820.3478949731489</v>
      </c>
      <c r="Q603">
        <f>'_live'!$C$24</f>
        <v/>
      </c>
      <c r="R603" t="inlineStr">
        <is>
          <t>shuffled: 8,497 of 10,000</t>
        </is>
      </c>
      <c r="S603" t="inlineStr">
        <is>
          <t>10,000 shuffles</t>
        </is>
      </c>
      <c r="T603" t="n">
        <v>0.1695956350235611</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0.140296941334961</v>
      </c>
      <c r="AI603">
        <f>IF($Y603="worse","Yes",IF($Y603="worse, not significant","Not sure",IF(OR($Y603="too few losses to test",$Y603="too few loans to test"),"Too few losses",IF($Y603="","","No"))))</f>
        <v/>
      </c>
      <c r="AJ603">
        <f>IF($AA603="yes","Yes",IF($AA603="","","No"))</f>
        <v/>
      </c>
    </row>
    <row r="604">
      <c r="A604" t="inlineStr">
        <is>
          <t>three-way</t>
        </is>
      </c>
      <c r="B604" t="inlineStr">
        <is>
          <t>FICO x ASSET_CLASS / REV_DEBT</t>
        </is>
      </c>
      <c r="C604" t="inlineStr">
        <is>
          <t>712 - 745</t>
        </is>
      </c>
      <c r="D604" t="inlineStr">
        <is>
          <t>1 / REV_DEBT low half</t>
        </is>
      </c>
      <c r="E604" t="inlineStr">
        <is>
          <t>outcome_loans</t>
        </is>
      </c>
      <c r="F604" t="inlineStr">
        <is>
          <t>Outcome, share of loans</t>
        </is>
      </c>
      <c r="G604" t="n">
        <v>181</v>
      </c>
      <c r="H604" t="n">
        <v>181</v>
      </c>
      <c r="I604" t="b">
        <v>1</v>
      </c>
      <c r="J604" t="b">
        <v>0</v>
      </c>
      <c r="K604" t="n">
        <v>0.3517375420663343</v>
      </c>
      <c r="M604" t="n">
        <v>0.4817410052553564</v>
      </c>
      <c r="O604" t="n">
        <v>-9.215144538245076</v>
      </c>
      <c r="P604" t="n">
        <v>-5.379020979020979</v>
      </c>
      <c r="Q604">
        <f>'_live'!$C$20</f>
        <v/>
      </c>
      <c r="T604" t="n">
        <v>0.07853671015605014</v>
      </c>
      <c r="U604" t="n">
        <v>0.05734265734265735</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0.02762430939226519</v>
      </c>
      <c r="AI604">
        <f>IF($Y604="worse","Yes",IF($Y604="worse, not significant","Not sure",IF(OR($Y604="too few losses to test",$Y604="too few loans to test"),"Too few losses",IF($Y604="","","No"))))</f>
        <v/>
      </c>
      <c r="AJ604">
        <f>IF($AA604="yes","Yes",IF($AA604="","","No"))</f>
        <v/>
      </c>
    </row>
    <row r="605">
      <c r="A605" t="inlineStr">
        <is>
          <t>three-way</t>
        </is>
      </c>
      <c r="B605" t="inlineStr">
        <is>
          <t>FICO x ASSET_CLASS / REV_DEBT</t>
        </is>
      </c>
      <c r="C605" t="inlineStr">
        <is>
          <t>712 - 745</t>
        </is>
      </c>
      <c r="D605" t="inlineStr">
        <is>
          <t>1 / REV_DEBT low half</t>
        </is>
      </c>
      <c r="E605" t="inlineStr">
        <is>
          <t>outcome_booked</t>
        </is>
      </c>
      <c r="F605" t="inlineStr">
        <is>
          <t>Outcome, share of booked dollars</t>
        </is>
      </c>
      <c r="G605" t="n">
        <v>181</v>
      </c>
      <c r="H605" t="n">
        <v>5744733.350000001</v>
      </c>
      <c r="I605" t="b">
        <v>1</v>
      </c>
      <c r="J605" t="b">
        <v>0</v>
      </c>
      <c r="K605" t="n">
        <v>0.3843476062293261</v>
      </c>
      <c r="M605" t="n">
        <v>0.5051236231148293</v>
      </c>
      <c r="O605" t="n">
        <v>-268329.5742933369</v>
      </c>
      <c r="P605" t="n">
        <v>-164117.9914498972</v>
      </c>
      <c r="Q605">
        <f>'_live'!$C$21</f>
        <v/>
      </c>
      <c r="T605" t="n">
        <v>0.07586877888654951</v>
      </c>
      <c r="U605" t="n">
        <v>0.05772840987474156</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0.02915998355258734</v>
      </c>
      <c r="AI605">
        <f>IF($Y605="worse","Yes",IF($Y605="worse, not significant","Not sure",IF(OR($Y605="too few losses to test",$Y605="too few loans to test"),"Too few losses",IF($Y605="","","No"))))</f>
        <v/>
      </c>
      <c r="AJ605">
        <f>IF($AA605="yes","Yes",IF($AA605="","","No"))</f>
        <v/>
      </c>
    </row>
    <row r="606">
      <c r="A606" t="inlineStr">
        <is>
          <t>three-way</t>
        </is>
      </c>
      <c r="B606" t="inlineStr">
        <is>
          <t>FICO x ASSET_CLASS / REV_DEBT</t>
        </is>
      </c>
      <c r="C606" t="inlineStr">
        <is>
          <t>712 - 745</t>
        </is>
      </c>
      <c r="D606" t="inlineStr">
        <is>
          <t>1 / REV_DEBT low half</t>
        </is>
      </c>
      <c r="E606" t="inlineStr">
        <is>
          <t>gco_rate</t>
        </is>
      </c>
      <c r="F606" t="inlineStr">
        <is>
          <t>GCO per booked dollar</t>
        </is>
      </c>
      <c r="G606" t="n">
        <v>180</v>
      </c>
      <c r="H606" t="n">
        <v>5705048.920000002</v>
      </c>
      <c r="I606" t="b">
        <v>1</v>
      </c>
      <c r="J606" t="b">
        <v>0</v>
      </c>
      <c r="K606" t="n">
        <v>0.3663772388612663</v>
      </c>
      <c r="M606" t="n">
        <v>0.481229913054522</v>
      </c>
      <c r="O606" t="n">
        <v>-152533.6628504334</v>
      </c>
      <c r="P606" t="n">
        <v>-95079.24532284001</v>
      </c>
      <c r="Q606">
        <f>'_live'!$C$22</f>
        <v/>
      </c>
      <c r="T606" t="n">
        <v>0.04219641517998295</v>
      </c>
      <c r="U606" t="n">
        <v>0.03212561327569474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0.01545980608348578</v>
      </c>
      <c r="AI606">
        <f>IF($Y606="worse","Yes",IF($Y606="worse, not significant","Not sure",IF(OR($Y606="too few losses to test",$Y606="too few loans to test"),"Too few losses",IF($Y606="","","No"))))</f>
        <v/>
      </c>
      <c r="AJ606">
        <f>IF($AA606="yes","Yes",IF($AA606="","","No"))</f>
        <v/>
      </c>
    </row>
    <row r="607">
      <c r="A607" t="inlineStr">
        <is>
          <t>three-way</t>
        </is>
      </c>
      <c r="B607" t="inlineStr">
        <is>
          <t>FICO x ASSET_CLASS / REV_DEBT</t>
        </is>
      </c>
      <c r="C607" t="inlineStr">
        <is>
          <t>712 - 745</t>
        </is>
      </c>
      <c r="D607" t="inlineStr">
        <is>
          <t>1 / REV_DEBT low half</t>
        </is>
      </c>
      <c r="E607" t="inlineStr">
        <is>
          <t>ranr_rate</t>
        </is>
      </c>
      <c r="F607" t="inlineStr">
        <is>
          <t>Profit after losses: RANR per booked dollar</t>
        </is>
      </c>
      <c r="G607" t="n">
        <v>181</v>
      </c>
      <c r="H607" t="n">
        <v>5744733.350000001</v>
      </c>
      <c r="I607" t="b">
        <v>0</v>
      </c>
      <c r="J607" t="b">
        <v>0</v>
      </c>
      <c r="K607" t="n">
        <v>-0.02022409395425505</v>
      </c>
      <c r="L607" t="n">
        <v>0.2441809873066748</v>
      </c>
      <c r="M607" t="n">
        <v>0.01379768697363161</v>
      </c>
      <c r="N607" t="n">
        <v>0.6650763495079064</v>
      </c>
      <c r="O607" t="n">
        <v>116182.0270125424</v>
      </c>
      <c r="P607" t="n">
        <v>-79264.03251028212</v>
      </c>
      <c r="Q607">
        <f>'_live'!$C$23</f>
        <v/>
      </c>
      <c r="R607" t="inlineStr">
        <is>
          <t>shuffled: 1,843 of 10,000</t>
        </is>
      </c>
      <c r="S607" t="inlineStr">
        <is>
          <t>shuffled: 2,909 of 10,000</t>
        </is>
      </c>
      <c r="T607" t="n">
        <v>0.1284402481470341</v>
      </c>
      <c r="U607" t="n">
        <v>0.0944184672191474</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0.108216154192779</v>
      </c>
      <c r="AI607">
        <f>IF($Y607="worse","Yes",IF($Y607="worse, not significant","Not sure",IF(OR($Y607="too few losses to test",$Y607="too few loans to test"),"Too few losses",IF($Y607="","","No"))))</f>
        <v/>
      </c>
      <c r="AJ607">
        <f>IF($AA607="yes","Yes",IF($AA607="","","No"))</f>
        <v/>
      </c>
    </row>
    <row r="608">
      <c r="A608" t="inlineStr">
        <is>
          <t>three-way</t>
        </is>
      </c>
      <c r="B608" t="inlineStr">
        <is>
          <t>FICO x ASSET_CLASS / REV_DEBT</t>
        </is>
      </c>
      <c r="C608" t="inlineStr">
        <is>
          <t>712 - 745</t>
        </is>
      </c>
      <c r="D608" t="inlineStr">
        <is>
          <t>1 / REV_DEBT low half</t>
        </is>
      </c>
      <c r="E608" t="inlineStr">
        <is>
          <t>contribution_rate</t>
        </is>
      </c>
      <c r="F608" t="inlineStr">
        <is>
          <t>Contribution before losses per booked dollar</t>
        </is>
      </c>
      <c r="G608" t="n">
        <v>180</v>
      </c>
      <c r="H608" t="n">
        <v>5705048.920000002</v>
      </c>
      <c r="I608" t="b">
        <v>0</v>
      </c>
      <c r="J608" t="b">
        <v>0</v>
      </c>
      <c r="K608" t="n">
        <v>-0.04722756905407939</v>
      </c>
      <c r="L608" t="n">
        <v>0.0001884426941921192</v>
      </c>
      <c r="M608" t="n">
        <v>-0.003134986221904626</v>
      </c>
      <c r="N608" t="n">
        <v>0.8189950235745658</v>
      </c>
      <c r="O608" t="n">
        <v>269435.5918262012</v>
      </c>
      <c r="P608" t="n">
        <v>17885.24975949188</v>
      </c>
      <c r="Q608">
        <f>'_live'!$C$24</f>
        <v/>
      </c>
      <c r="R608" t="inlineStr">
        <is>
          <t>shuffled: 0 of 10,000</t>
        </is>
      </c>
      <c r="S608" t="inlineStr">
        <is>
          <t>shuffled: 6,197 of 10,000</t>
        </is>
      </c>
      <c r="T608" t="n">
        <v>0.1706366633270169</v>
      </c>
      <c r="U608" t="n">
        <v>0.1265440804948421</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0.1234090942729375</v>
      </c>
      <c r="AI608">
        <f>IF($Y608="worse","Yes",IF($Y608="worse, not significant","Not sure",IF(OR($Y608="too few losses to test",$Y608="too few loans to test"),"Too few losses",IF($Y608="","","No"))))</f>
        <v/>
      </c>
      <c r="AJ608">
        <f>IF($AA608="yes","Yes",IF($AA608="","","No"))</f>
        <v/>
      </c>
    </row>
    <row r="609">
      <c r="A609" t="inlineStr">
        <is>
          <t>three-way</t>
        </is>
      </c>
      <c r="B609" t="inlineStr">
        <is>
          <t>FICO x ASSET_CLASS / REV_DEBT</t>
        </is>
      </c>
      <c r="C609" t="inlineStr">
        <is>
          <t>712 - 745</t>
        </is>
      </c>
      <c r="D609" t="inlineStr">
        <is>
          <t>2 / REV_DEBT high half</t>
        </is>
      </c>
      <c r="E609" t="inlineStr">
        <is>
          <t>outcome_loans</t>
        </is>
      </c>
      <c r="F609" t="inlineStr">
        <is>
          <t>Outcome, share of loans</t>
        </is>
      </c>
      <c r="G609" t="n">
        <v>215</v>
      </c>
      <c r="H609" t="n">
        <v>215</v>
      </c>
      <c r="I609" t="b">
        <v>0</v>
      </c>
      <c r="J609" t="b">
        <v>0</v>
      </c>
      <c r="K609" t="n">
        <v>0.6550183598531211</v>
      </c>
      <c r="L609" t="n">
        <v>0.3156035730501401</v>
      </c>
      <c r="M609" t="n">
        <v>0.9397796817625459</v>
      </c>
      <c r="N609" t="n">
        <v>0.8906052858038503</v>
      </c>
      <c r="O609" t="n">
        <v>-5.793422404933196</v>
      </c>
      <c r="P609" t="n">
        <v>-0.7048710601719197</v>
      </c>
      <c r="Q609">
        <f>'_live'!$C$20</f>
        <v/>
      </c>
      <c r="R609" t="inlineStr">
        <is>
          <t>z test</t>
        </is>
      </c>
      <c r="S609" t="inlineStr">
        <is>
          <t>z test</t>
        </is>
      </c>
      <c r="T609" t="n">
        <v>0.07810894141829394</v>
      </c>
      <c r="U609" t="n">
        <v>0.05444126074498568</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0.05116279069767442</v>
      </c>
      <c r="AI609">
        <f>IF($Y609="worse","Yes",IF($Y609="worse, not significant","Not sure",IF(OR($Y609="too few losses to test",$Y609="too few loans to test"),"Too few losses",IF($Y609="","","No"))))</f>
        <v/>
      </c>
      <c r="AJ609">
        <f>IF($AA609="yes","Yes",IF($AA609="","","No"))</f>
        <v/>
      </c>
    </row>
    <row r="610">
      <c r="A610" t="inlineStr">
        <is>
          <t>three-way</t>
        </is>
      </c>
      <c r="B610" t="inlineStr">
        <is>
          <t>FICO x ASSET_CLASS / REV_DEBT</t>
        </is>
      </c>
      <c r="C610" t="inlineStr">
        <is>
          <t>712 - 745</t>
        </is>
      </c>
      <c r="D610" t="inlineStr">
        <is>
          <t>2 / REV_DEBT high half</t>
        </is>
      </c>
      <c r="E610" t="inlineStr">
        <is>
          <t>outcome_booked</t>
        </is>
      </c>
      <c r="F610" t="inlineStr">
        <is>
          <t>Outcome, share of booked dollars</t>
        </is>
      </c>
      <c r="G610" t="n">
        <v>214</v>
      </c>
      <c r="H610" t="n">
        <v>7136165.940000001</v>
      </c>
      <c r="I610" t="b">
        <v>0</v>
      </c>
      <c r="J610" t="b">
        <v>0</v>
      </c>
      <c r="K610" t="n">
        <v>0.6530101525062094</v>
      </c>
      <c r="L610" t="n">
        <v>0.3872843484882281</v>
      </c>
      <c r="M610" t="n">
        <v>0.8912426857312931</v>
      </c>
      <c r="N610" t="n">
        <v>0.8627708657705658</v>
      </c>
      <c r="O610" t="n">
        <v>-187084.8773678003</v>
      </c>
      <c r="P610" t="n">
        <v>-42963.96405119757</v>
      </c>
      <c r="Q610">
        <f>'_live'!$C$21</f>
        <v/>
      </c>
      <c r="R610" t="inlineStr">
        <is>
          <t>shuffled: 1,893 of 10,000</t>
        </is>
      </c>
      <c r="S610" t="inlineStr">
        <is>
          <t>shuffled: 7,549 of 10,000</t>
        </is>
      </c>
      <c r="T610" t="n">
        <v>0.07555391535188996</v>
      </c>
      <c r="U610" t="n">
        <v>0.05535806865657016</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0.0493374737863789</v>
      </c>
      <c r="AI610">
        <f>IF($Y610="worse","Yes",IF($Y610="worse, not significant","Not sure",IF(OR($Y610="too few losses to test",$Y610="too few loans to test"),"Too few losses",IF($Y610="","","No"))))</f>
        <v/>
      </c>
      <c r="AJ610">
        <f>IF($AA610="yes","Yes",IF($AA610="","","No"))</f>
        <v/>
      </c>
    </row>
    <row r="611">
      <c r="A611" t="inlineStr">
        <is>
          <t>three-way</t>
        </is>
      </c>
      <c r="B611" t="inlineStr">
        <is>
          <t>FICO x ASSET_CLASS / REV_DEBT</t>
        </is>
      </c>
      <c r="C611" t="inlineStr">
        <is>
          <t>712 - 745</t>
        </is>
      </c>
      <c r="D611" t="inlineStr">
        <is>
          <t>2 / REV_DEBT high half</t>
        </is>
      </c>
      <c r="E611" t="inlineStr">
        <is>
          <t>gco_rate</t>
        </is>
      </c>
      <c r="F611" t="inlineStr">
        <is>
          <t>GCO per booked dollar</t>
        </is>
      </c>
      <c r="G611" t="n">
        <v>214</v>
      </c>
      <c r="H611" t="n">
        <v>7136165.940000001</v>
      </c>
      <c r="I611" t="b">
        <v>0</v>
      </c>
      <c r="J611" t="b">
        <v>0</v>
      </c>
      <c r="K611" t="n">
        <v>0.6179077800882754</v>
      </c>
      <c r="L611" t="n">
        <v>0.324967503249675</v>
      </c>
      <c r="M611" t="n">
        <v>0.8392557007544494</v>
      </c>
      <c r="N611" t="n">
        <v>0.9100736985125017</v>
      </c>
      <c r="O611" t="n">
        <v>-114655.5764560763</v>
      </c>
      <c r="P611" t="n">
        <v>-35513.37364314575</v>
      </c>
      <c r="Q611">
        <f>'_live'!$C$22</f>
        <v/>
      </c>
      <c r="R611" t="inlineStr">
        <is>
          <t>shuffled: 1,624 of 10,000</t>
        </is>
      </c>
      <c r="S611" t="inlineStr">
        <is>
          <t>shuffled: 6,446 of 10,000</t>
        </is>
      </c>
      <c r="T611" t="n">
        <v>0.04204961725652868</v>
      </c>
      <c r="U611" t="n">
        <v>0.03095931982253565</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0.02598278565254327</v>
      </c>
      <c r="AI611">
        <f>IF($Y611="worse","Yes",IF($Y611="worse, not significant","Not sure",IF(OR($Y611="too few losses to test",$Y611="too few loans to test"),"Too few losses",IF($Y611="","","No"))))</f>
        <v/>
      </c>
      <c r="AJ611">
        <f>IF($AA611="yes","Yes",IF($AA611="","","No"))</f>
        <v/>
      </c>
    </row>
    <row r="612">
      <c r="A612" t="inlineStr">
        <is>
          <t>three-way</t>
        </is>
      </c>
      <c r="B612" t="inlineStr">
        <is>
          <t>FICO x ASSET_CLASS / REV_DEBT</t>
        </is>
      </c>
      <c r="C612" t="inlineStr">
        <is>
          <t>712 - 745</t>
        </is>
      </c>
      <c r="D612" t="inlineStr">
        <is>
          <t>2 / REV_DEBT high half</t>
        </is>
      </c>
      <c r="E612" t="inlineStr">
        <is>
          <t>ranr_rate</t>
        </is>
      </c>
      <c r="F612" t="inlineStr">
        <is>
          <t>Profit after losses: RANR per booked dollar</t>
        </is>
      </c>
      <c r="G612" t="n">
        <v>214</v>
      </c>
      <c r="H612" t="n">
        <v>7136165.940000001</v>
      </c>
      <c r="I612" t="b">
        <v>0</v>
      </c>
      <c r="J612" t="b">
        <v>0</v>
      </c>
      <c r="K612" t="n">
        <v>-0.03227338881340679</v>
      </c>
      <c r="L612" t="n">
        <v>0.04759524047595241</v>
      </c>
      <c r="M612" t="n">
        <v>0.000743678184270527</v>
      </c>
      <c r="N612" t="n">
        <v>0.9497050294970503</v>
      </c>
      <c r="O612" t="n">
        <v>230308.2580186105</v>
      </c>
      <c r="P612" t="n">
        <v>-5307.010928912438</v>
      </c>
      <c r="Q612">
        <f>'_live'!$C$23</f>
        <v/>
      </c>
      <c r="R612" t="inlineStr">
        <is>
          <t>shuffled: 203 of 10,000</t>
        </is>
      </c>
      <c r="S612" t="inlineStr">
        <is>
          <t>shuffled: 9,497 of 10,000</t>
        </is>
      </c>
      <c r="T612" t="n">
        <v>0.1288824805577055</v>
      </c>
      <c r="U612" t="n">
        <v>0.09586541356002815</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0.09660909174429867</v>
      </c>
      <c r="AI612">
        <f>IF($Y612="worse","Yes",IF($Y612="worse, not significant","Not sure",IF(OR($Y612="too few losses to test",$Y612="too few loans to test"),"Too few losses",IF($Y612="","","No"))))</f>
        <v/>
      </c>
      <c r="AJ612">
        <f>IF($AA612="yes","Yes",IF($AA612="","","No"))</f>
        <v/>
      </c>
    </row>
    <row r="613">
      <c r="A613" t="inlineStr">
        <is>
          <t>three-way</t>
        </is>
      </c>
      <c r="B613" t="inlineStr">
        <is>
          <t>FICO x ASSET_CLASS / REV_DEBT</t>
        </is>
      </c>
      <c r="C613" t="inlineStr">
        <is>
          <t>712 - 745</t>
        </is>
      </c>
      <c r="D613" t="inlineStr">
        <is>
          <t>2 / REV_DEBT high half</t>
        </is>
      </c>
      <c r="E613" t="inlineStr">
        <is>
          <t>contribution_rate</t>
        </is>
      </c>
      <c r="F613" t="inlineStr">
        <is>
          <t>Contribution before losses per booked dollar</t>
        </is>
      </c>
      <c r="G613" t="n">
        <v>214</v>
      </c>
      <c r="H613" t="n">
        <v>7136165.940000001</v>
      </c>
      <c r="I613" t="b">
        <v>0</v>
      </c>
      <c r="J613" t="b">
        <v>0</v>
      </c>
      <c r="K613" t="n">
        <v>-0.0483374210034825</v>
      </c>
      <c r="L613" t="n">
        <v>0.0001884426941921192</v>
      </c>
      <c r="M613" t="n">
        <v>-0.004187048750539143</v>
      </c>
      <c r="N613" t="n">
        <v>0.789107296166935</v>
      </c>
      <c r="O613" t="n">
        <v>344943.8573924925</v>
      </c>
      <c r="P613" t="n">
        <v>29879.474682717</v>
      </c>
      <c r="Q613">
        <f>'_live'!$C$24</f>
        <v/>
      </c>
      <c r="R613" t="inlineStr">
        <is>
          <t>shuffled: 0 of 10,000</t>
        </is>
      </c>
      <c r="S613" t="inlineStr">
        <is>
          <t>shuffled: 4,645 of 10,000</t>
        </is>
      </c>
      <c r="T613" t="n">
        <v>0.1709292984003245</v>
      </c>
      <c r="U613" t="n">
        <v>0.1267789261473811</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0.122591877396842</v>
      </c>
      <c r="AI613">
        <f>IF($Y613="worse","Yes",IF($Y613="worse, not significant","Not sure",IF(OR($Y613="too few losses to test",$Y613="too few loans to test"),"Too few losses",IF($Y613="","","No"))))</f>
        <v/>
      </c>
      <c r="AJ613">
        <f>IF($AA613="yes","Yes",IF($AA613="","","No"))</f>
        <v/>
      </c>
    </row>
    <row r="614">
      <c r="A614" t="inlineStr">
        <is>
          <t>three-way</t>
        </is>
      </c>
      <c r="B614" t="inlineStr">
        <is>
          <t>FICO x ASSET_CLASS / REV_DEBT</t>
        </is>
      </c>
      <c r="C614" t="inlineStr">
        <is>
          <t>496 - 653</t>
        </is>
      </c>
      <c r="D614" t="inlineStr">
        <is>
          <t>2 / REV_DEBT low half</t>
        </is>
      </c>
      <c r="E614" t="inlineStr">
        <is>
          <t>outcome_loans</t>
        </is>
      </c>
      <c r="F614" t="inlineStr">
        <is>
          <t>Outcome, share of loans</t>
        </is>
      </c>
      <c r="G614" t="n">
        <v>196</v>
      </c>
      <c r="H614" t="n">
        <v>196</v>
      </c>
      <c r="I614" t="b">
        <v>0</v>
      </c>
      <c r="J614" t="b">
        <v>0</v>
      </c>
      <c r="K614" t="n">
        <v>0.9886893499121504</v>
      </c>
      <c r="L614" t="n">
        <v>0.9638625435751194</v>
      </c>
      <c r="M614" t="n">
        <v>0.4749091417388874</v>
      </c>
      <c r="N614" t="n">
        <v>0.007989928158602222</v>
      </c>
      <c r="O614" t="n">
        <v>-0.1716006664103542</v>
      </c>
      <c r="P614" t="n">
        <v>-16.5849889624724</v>
      </c>
      <c r="Q614">
        <f>'_live'!$C$20</f>
        <v/>
      </c>
      <c r="R614" t="inlineStr">
        <is>
          <t>z test</t>
        </is>
      </c>
      <c r="S614" t="inlineStr">
        <is>
          <t>z test</t>
        </is>
      </c>
      <c r="T614" t="n">
        <v>0.07740612584903242</v>
      </c>
      <c r="U614" t="n">
        <v>0.1611479028697572</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0.07653061224489796</v>
      </c>
      <c r="AI614">
        <f>IF($Y614="worse","Yes",IF($Y614="worse, not significant","Not sure",IF(OR($Y614="too few losses to test",$Y614="too few loans to test"),"Too few losses",IF($Y614="","","No"))))</f>
        <v/>
      </c>
      <c r="AJ614">
        <f>IF($AA614="yes","Yes",IF($AA614="","","No"))</f>
        <v/>
      </c>
    </row>
    <row r="615">
      <c r="A615" t="inlineStr">
        <is>
          <t>three-way</t>
        </is>
      </c>
      <c r="B615" t="inlineStr">
        <is>
          <t>FICO x ASSET_CLASS / REV_DEBT</t>
        </is>
      </c>
      <c r="C615" t="inlineStr">
        <is>
          <t>496 - 653</t>
        </is>
      </c>
      <c r="D615" t="inlineStr">
        <is>
          <t>2 / REV_DEBT low half</t>
        </is>
      </c>
      <c r="E615" t="inlineStr">
        <is>
          <t>outcome_booked</t>
        </is>
      </c>
      <c r="F615" t="inlineStr">
        <is>
          <t>Outcome, share of booked dollars</t>
        </is>
      </c>
      <c r="G615" t="n">
        <v>196</v>
      </c>
      <c r="H615" t="n">
        <v>6732405.990000002</v>
      </c>
      <c r="I615" t="b">
        <v>0</v>
      </c>
      <c r="J615" t="b">
        <v>0</v>
      </c>
      <c r="K615" t="n">
        <v>1.045804063233042</v>
      </c>
      <c r="L615" t="n">
        <v>0.9051268786164861</v>
      </c>
      <c r="M615" t="n">
        <v>0.488411631145218</v>
      </c>
      <c r="N615" t="n">
        <v>0.02845429742740012</v>
      </c>
      <c r="O615" t="n">
        <v>23047.55020016257</v>
      </c>
      <c r="P615" t="n">
        <v>-551195.6140823984</v>
      </c>
      <c r="Q615">
        <f>'_live'!$C$21</f>
        <v/>
      </c>
      <c r="R615" t="inlineStr">
        <is>
          <t>shuffled: 8,674 of 10,000</t>
        </is>
      </c>
      <c r="S615" t="inlineStr">
        <is>
          <t>shuffled: 79 of 10,000</t>
        </is>
      </c>
      <c r="T615" t="n">
        <v>0.07473954787444975</v>
      </c>
      <c r="U615" t="n">
        <v>0.1600349333778663</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0.07816292285129998</v>
      </c>
      <c r="AI615">
        <f>IF($Y615="worse","Yes",IF($Y615="worse, not significant","Not sure",IF(OR($Y615="too few losses to test",$Y615="too few loans to test"),"Too few losses",IF($Y615="","","No"))))</f>
        <v/>
      </c>
      <c r="AJ615">
        <f>IF($AA615="yes","Yes",IF($AA615="","","No"))</f>
        <v/>
      </c>
    </row>
    <row r="616">
      <c r="A616" t="inlineStr">
        <is>
          <t>three-way</t>
        </is>
      </c>
      <c r="B616" t="inlineStr">
        <is>
          <t>FICO x ASSET_CLASS / REV_DEBT</t>
        </is>
      </c>
      <c r="C616" t="inlineStr">
        <is>
          <t>496 - 653</t>
        </is>
      </c>
      <c r="D616" t="inlineStr">
        <is>
          <t>2 / REV_DEBT low half</t>
        </is>
      </c>
      <c r="E616" t="inlineStr">
        <is>
          <t>gco_rate</t>
        </is>
      </c>
      <c r="F616" t="inlineStr">
        <is>
          <t>GCO per booked dollar</t>
        </is>
      </c>
      <c r="G616" t="n">
        <v>197</v>
      </c>
      <c r="H616" t="n">
        <v>6769394.000000002</v>
      </c>
      <c r="I616" t="b">
        <v>0</v>
      </c>
      <c r="J616" t="b">
        <v>0</v>
      </c>
      <c r="K616" t="n">
        <v>0.9640208438472323</v>
      </c>
      <c r="L616" t="n">
        <v>0.8939106089391061</v>
      </c>
      <c r="M616" t="n">
        <v>0.445482856633468</v>
      </c>
      <c r="N616" t="n">
        <v>0.02351764823517648</v>
      </c>
      <c r="O616" t="n">
        <v>-10142.83105979778</v>
      </c>
      <c r="P616" t="n">
        <v>-338281.7933059026</v>
      </c>
      <c r="Q616">
        <f>'_live'!$C$22</f>
        <v/>
      </c>
      <c r="R616" t="inlineStr">
        <is>
          <t>shuffled: 8,939 of 10,000</t>
        </is>
      </c>
      <c r="S616" t="inlineStr">
        <is>
          <t>shuffled: 48 of 10,000</t>
        </is>
      </c>
      <c r="T616" t="n">
        <v>0.04164457424989559</v>
      </c>
      <c r="U616" t="n">
        <v>0.09011847933594978</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0.04014623761004307</v>
      </c>
      <c r="AI616">
        <f>IF($Y616="worse","Yes",IF($Y616="worse, not significant","Not sure",IF(OR($Y616="too few losses to test",$Y616="too few loans to test"),"Too few losses",IF($Y616="","","No"))))</f>
        <v/>
      </c>
      <c r="AJ616">
        <f>IF($AA616="yes","Yes",IF($AA616="","","No"))</f>
        <v/>
      </c>
    </row>
    <row r="617">
      <c r="A617" t="inlineStr">
        <is>
          <t>three-way</t>
        </is>
      </c>
      <c r="B617" t="inlineStr">
        <is>
          <t>FICO x ASSET_CLASS / REV_DEBT</t>
        </is>
      </c>
      <c r="C617" t="inlineStr">
        <is>
          <t>496 - 653</t>
        </is>
      </c>
      <c r="D617" t="inlineStr">
        <is>
          <t>2 / REV_DEBT low half</t>
        </is>
      </c>
      <c r="E617" t="inlineStr">
        <is>
          <t>ranr_rate</t>
        </is>
      </c>
      <c r="F617" t="inlineStr">
        <is>
          <t>Profit after losses: RANR per booked dollar</t>
        </is>
      </c>
      <c r="G617" t="n">
        <v>197</v>
      </c>
      <c r="H617" t="n">
        <v>6769394.000000002</v>
      </c>
      <c r="I617" t="b">
        <v>0</v>
      </c>
      <c r="J617" t="b">
        <v>0</v>
      </c>
      <c r="K617" t="n">
        <v>0.1010244877210324</v>
      </c>
      <c r="L617" t="n">
        <v>0.00034996500349965</v>
      </c>
      <c r="M617" t="n">
        <v>0.04176379610821132</v>
      </c>
      <c r="N617" t="n">
        <v>0.1987001299870013</v>
      </c>
      <c r="O617" t="n">
        <v>-683874.5610318304</v>
      </c>
      <c r="P617" t="n">
        <v>-282715.5907921491</v>
      </c>
      <c r="Q617">
        <f>'_live'!$C$23</f>
        <v/>
      </c>
      <c r="R617" t="inlineStr">
        <is>
          <t>shuffled: 0 of 10,000</t>
        </is>
      </c>
      <c r="S617" t="inlineStr">
        <is>
          <t>shuffled: 477 of 10,000</t>
        </is>
      </c>
      <c r="T617" t="n">
        <v>0.1253400760789178</v>
      </c>
      <c r="U617" t="n">
        <v>0.1846007676917389</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0.2263645637999502</v>
      </c>
      <c r="AI617">
        <f>IF($Y617="worse","Yes",IF($Y617="worse, not significant","Not sure",IF(OR($Y617="too few losses to test",$Y617="too few loans to test"),"Too few losses",IF($Y617="","","No"))))</f>
        <v/>
      </c>
      <c r="AJ617">
        <f>IF($AA617="yes","Yes",IF($AA617="","","No"))</f>
        <v/>
      </c>
    </row>
    <row r="618">
      <c r="A618" t="inlineStr">
        <is>
          <t>three-way</t>
        </is>
      </c>
      <c r="B618" t="inlineStr">
        <is>
          <t>FICO x ASSET_CLASS / REV_DEBT</t>
        </is>
      </c>
      <c r="C618" t="inlineStr">
        <is>
          <t>496 - 653</t>
        </is>
      </c>
      <c r="D618" t="inlineStr">
        <is>
          <t>2 / REV_DEBT low half</t>
        </is>
      </c>
      <c r="E618" t="inlineStr">
        <is>
          <t>contribution_rate</t>
        </is>
      </c>
      <c r="F618" t="inlineStr">
        <is>
          <t>Contribution before losses per booked dollar</t>
        </is>
      </c>
      <c r="G618" t="n">
        <v>197</v>
      </c>
      <c r="H618" t="n">
        <v>6769394.000000002</v>
      </c>
      <c r="I618" t="b">
        <v>0</v>
      </c>
      <c r="J618" t="b">
        <v>0</v>
      </c>
      <c r="K618" t="n">
        <v>0.09952950590346066</v>
      </c>
      <c r="L618" t="n">
        <v>0.0001884426941921192</v>
      </c>
      <c r="M618" t="n">
        <v>-0.008208445617695403</v>
      </c>
      <c r="N618" t="n">
        <v>0.7920756311465628</v>
      </c>
      <c r="O618" t="n">
        <v>-673754.4400858516</v>
      </c>
      <c r="P618" t="n">
        <v>55566.20251375344</v>
      </c>
      <c r="Q618">
        <f>'_live'!$C$24</f>
        <v/>
      </c>
      <c r="R618" t="inlineStr">
        <is>
          <t>shuffled: 0 of 10,000</t>
        </is>
      </c>
      <c r="S618" t="inlineStr">
        <is>
          <t>shuffled: 5,047 of 10,000</t>
        </is>
      </c>
      <c r="T618" t="n">
        <v>0.1669812955065326</v>
      </c>
      <c r="U618" t="n">
        <v>0.2747192470276886</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0.2665108014099932</v>
      </c>
      <c r="AI618">
        <f>IF($Y618="worse","Yes",IF($Y618="worse, not significant","Not sure",IF(OR($Y618="too few losses to test",$Y618="too few loans to test"),"Too few losses",IF($Y618="","","No"))))</f>
        <v/>
      </c>
      <c r="AJ618">
        <f>IF($AA618="yes","Yes",IF($AA618="","","No"))</f>
        <v/>
      </c>
    </row>
    <row r="619">
      <c r="A619" t="inlineStr">
        <is>
          <t>three-way</t>
        </is>
      </c>
      <c r="B619" t="inlineStr">
        <is>
          <t>FICO x ASSET_CLASS / REV_DEBT</t>
        </is>
      </c>
      <c r="C619" t="inlineStr">
        <is>
          <t>712 - 745</t>
        </is>
      </c>
      <c r="D619" t="inlineStr">
        <is>
          <t>4 / REV_DEBT high half</t>
        </is>
      </c>
      <c r="E619" t="inlineStr">
        <is>
          <t>outcome_loans</t>
        </is>
      </c>
      <c r="F619" t="inlineStr">
        <is>
          <t>Outcome, share of loans</t>
        </is>
      </c>
      <c r="G619" t="n">
        <v>213</v>
      </c>
      <c r="H619" t="n">
        <v>213</v>
      </c>
      <c r="I619" t="b">
        <v>0</v>
      </c>
      <c r="J619" t="b">
        <v>0</v>
      </c>
      <c r="K619" t="n">
        <v>1.283668566583447</v>
      </c>
      <c r="L619" t="n">
        <v>0.3845952338278527</v>
      </c>
      <c r="M619" t="n">
        <v>2.088348271446863</v>
      </c>
      <c r="N619" t="n">
        <v>0.007989928158602222</v>
      </c>
      <c r="O619" t="n">
        <v>4.640637040842538</v>
      </c>
      <c r="P619" t="n">
        <v>10.94420600858369</v>
      </c>
      <c r="Q619">
        <f>'_live'!$C$20</f>
        <v/>
      </c>
      <c r="R619" t="inlineStr">
        <is>
          <t>z test</t>
        </is>
      </c>
      <c r="S619" t="inlineStr">
        <is>
          <t>z test</t>
        </is>
      </c>
      <c r="T619" t="n">
        <v>0.07680452093501156</v>
      </c>
      <c r="U619" t="n">
        <v>0.04721030042918455</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0.09859154929577464</v>
      </c>
      <c r="AI619">
        <f>IF($Y619="worse","Yes",IF($Y619="worse, not significant","Not sure",IF(OR($Y619="too few losses to test",$Y619="too few loans to test"),"Too few losses",IF($Y619="","","No"))))</f>
        <v/>
      </c>
      <c r="AJ619">
        <f>IF($AA619="yes","Yes",IF($AA619="","","No"))</f>
        <v/>
      </c>
    </row>
    <row r="620">
      <c r="A620" t="inlineStr">
        <is>
          <t>three-way</t>
        </is>
      </c>
      <c r="B620" t="inlineStr">
        <is>
          <t>FICO x ASSET_CLASS / REV_DEBT</t>
        </is>
      </c>
      <c r="C620" t="inlineStr">
        <is>
          <t>712 - 745</t>
        </is>
      </c>
      <c r="D620" t="inlineStr">
        <is>
          <t>4 / REV_DEBT high half</t>
        </is>
      </c>
      <c r="E620" t="inlineStr">
        <is>
          <t>outcome_booked</t>
        </is>
      </c>
      <c r="F620" t="inlineStr">
        <is>
          <t>Outcome, share of booked dollars</t>
        </is>
      </c>
      <c r="G620" t="n">
        <v>213</v>
      </c>
      <c r="H620" t="n">
        <v>6441826.63</v>
      </c>
      <c r="I620" t="b">
        <v>0</v>
      </c>
      <c r="J620" t="b">
        <v>0</v>
      </c>
      <c r="K620" t="n">
        <v>1.535829043844363</v>
      </c>
      <c r="L620" t="n">
        <v>0.1455854414558544</v>
      </c>
      <c r="M620" t="n">
        <v>2.464027842483047</v>
      </c>
      <c r="N620" t="n">
        <v>0.0023997600239976</v>
      </c>
      <c r="O620" t="n">
        <v>254878.5962967449</v>
      </c>
      <c r="P620" t="n">
        <v>434063.9496875232</v>
      </c>
      <c r="Q620">
        <f>'_live'!$C$21</f>
        <v/>
      </c>
      <c r="R620" t="inlineStr">
        <is>
          <t>shuffled: 505 of 10,000</t>
        </is>
      </c>
      <c r="S620" t="inlineStr">
        <is>
          <t>shuffled: 2 of 10,000</t>
        </is>
      </c>
      <c r="T620" t="n">
        <v>0.07384108747789371</v>
      </c>
      <c r="U620" t="n">
        <v>0.04602516449786495</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0.1134072867776015</v>
      </c>
      <c r="AI620">
        <f>IF($Y620="worse","Yes",IF($Y620="worse, not significant","Not sure",IF(OR($Y620="too few losses to test",$Y620="too few loans to test"),"Too few losses",IF($Y620="","","No"))))</f>
        <v/>
      </c>
      <c r="AJ620">
        <f>IF($AA620="yes","Yes",IF($AA620="","","No"))</f>
        <v/>
      </c>
    </row>
    <row r="621">
      <c r="A621" t="inlineStr">
        <is>
          <t>three-way</t>
        </is>
      </c>
      <c r="B621" t="inlineStr">
        <is>
          <t>FICO x ASSET_CLASS / REV_DEBT</t>
        </is>
      </c>
      <c r="C621" t="inlineStr">
        <is>
          <t>712 - 745</t>
        </is>
      </c>
      <c r="D621" t="inlineStr">
        <is>
          <t>4 / REV_DEBT high half</t>
        </is>
      </c>
      <c r="E621" t="inlineStr">
        <is>
          <t>gco_rate</t>
        </is>
      </c>
      <c r="F621" t="inlineStr">
        <is>
          <t>GCO per booked dollar</t>
        </is>
      </c>
      <c r="G621" t="n">
        <v>213</v>
      </c>
      <c r="H621" t="n">
        <v>6441826.63</v>
      </c>
      <c r="I621" t="b">
        <v>0</v>
      </c>
      <c r="J621" t="b">
        <v>0</v>
      </c>
      <c r="K621" t="n">
        <v>1.472550966313278</v>
      </c>
      <c r="L621" t="n">
        <v>0.2186181381861814</v>
      </c>
      <c r="M621" t="n">
        <v>2.338581900475411</v>
      </c>
      <c r="N621" t="n">
        <v>0.0151984801519848</v>
      </c>
      <c r="O621" t="n">
        <v>125173.497425992</v>
      </c>
      <c r="P621" t="n">
        <v>223267.9735604803</v>
      </c>
      <c r="Q621">
        <f>'_live'!$C$22</f>
        <v/>
      </c>
      <c r="R621" t="inlineStr">
        <is>
          <t>shuffled: 910 of 10,000</t>
        </is>
      </c>
      <c r="S621" t="inlineStr">
        <is>
          <t>shuffled: 18 of 10,000</t>
        </is>
      </c>
      <c r="T621" t="n">
        <v>0.04112015081877607</v>
      </c>
      <c r="U621" t="n">
        <v>0.02589240847661863</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0.06055151782313644</v>
      </c>
      <c r="AI621">
        <f>IF($Y621="worse","Yes",IF($Y621="worse, not significant","Not sure",IF(OR($Y621="too few losses to test",$Y621="too few loans to test"),"Too few losses",IF($Y621="","","No"))))</f>
        <v/>
      </c>
      <c r="AJ621">
        <f>IF($AA621="yes","Yes",IF($AA621="","","No"))</f>
        <v/>
      </c>
    </row>
    <row r="622">
      <c r="A622" t="inlineStr">
        <is>
          <t>three-way</t>
        </is>
      </c>
      <c r="B622" t="inlineStr">
        <is>
          <t>FICO x ASSET_CLASS / REV_DEBT</t>
        </is>
      </c>
      <c r="C622" t="inlineStr">
        <is>
          <t>712 - 745</t>
        </is>
      </c>
      <c r="D622" t="inlineStr">
        <is>
          <t>4 / REV_DEBT high half</t>
        </is>
      </c>
      <c r="E622" t="inlineStr">
        <is>
          <t>ranr_rate</t>
        </is>
      </c>
      <c r="F622" t="inlineStr">
        <is>
          <t>Profit after losses: RANR per booked dollar</t>
        </is>
      </c>
      <c r="G622" t="n">
        <v>213</v>
      </c>
      <c r="H622" t="n">
        <v>6441826.63</v>
      </c>
      <c r="I622" t="b">
        <v>0</v>
      </c>
      <c r="J622" t="b">
        <v>0</v>
      </c>
      <c r="K622" t="n">
        <v>-0.0546185061834657</v>
      </c>
      <c r="L622" t="n">
        <v>0.0009186581341865814</v>
      </c>
      <c r="M622" t="n">
        <v>-0.02429647086871381</v>
      </c>
      <c r="N622" t="n">
        <v>0.1987001299870013</v>
      </c>
      <c r="O622" t="n">
        <v>351842.9476234689</v>
      </c>
      <c r="P622" t="n">
        <v>156513.6530570998</v>
      </c>
      <c r="Q622">
        <f>'_live'!$C$23</f>
        <v/>
      </c>
      <c r="R622" t="inlineStr">
        <is>
          <t>shuffled: 2 of 10,000</t>
        </is>
      </c>
      <c r="S622" t="inlineStr">
        <is>
          <t>shuffled: 467 of 10,000</t>
        </is>
      </c>
      <c r="T622" t="n">
        <v>0.1293534203082813</v>
      </c>
      <c r="U622" t="n">
        <v>0.0990313849935294</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0.07473491412481559</v>
      </c>
      <c r="AI622">
        <f>IF($Y622="worse","Yes",IF($Y622="worse, not significant","Not sure",IF(OR($Y622="too few losses to test",$Y622="too few loans to test"),"Too few losses",IF($Y622="","","No"))))</f>
        <v/>
      </c>
      <c r="AJ622">
        <f>IF($AA622="yes","Yes",IF($AA622="","","No"))</f>
        <v/>
      </c>
    </row>
    <row r="623">
      <c r="A623" t="inlineStr">
        <is>
          <t>three-way</t>
        </is>
      </c>
      <c r="B623" t="inlineStr">
        <is>
          <t>FICO x ASSET_CLASS / REV_DEBT</t>
        </is>
      </c>
      <c r="C623" t="inlineStr">
        <is>
          <t>712 - 745</t>
        </is>
      </c>
      <c r="D623" t="inlineStr">
        <is>
          <t>4 / REV_DEBT high half</t>
        </is>
      </c>
      <c r="E623" t="inlineStr">
        <is>
          <t>contribution_rate</t>
        </is>
      </c>
      <c r="F623" t="inlineStr">
        <is>
          <t>Contribution before losses per booked dollar</t>
        </is>
      </c>
      <c r="G623" t="n">
        <v>213</v>
      </c>
      <c r="H623" t="n">
        <v>6441826.63</v>
      </c>
      <c r="I623" t="b">
        <v>0</v>
      </c>
      <c r="J623" t="b">
        <v>0</v>
      </c>
      <c r="K623" t="n">
        <v>-0.0351844217754905</v>
      </c>
      <c r="L623" t="n">
        <v>0.0004741461337737194</v>
      </c>
      <c r="M623" t="n">
        <v>0.01040491799387767</v>
      </c>
      <c r="N623" t="n">
        <v>0.7097956870979569</v>
      </c>
      <c r="O623" t="n">
        <v>226651.9451545065</v>
      </c>
      <c r="P623" t="n">
        <v>-67026.67781592743</v>
      </c>
      <c r="Q623">
        <f>'_live'!$C$24</f>
        <v/>
      </c>
      <c r="R623" t="inlineStr">
        <is>
          <t>shuffled: 2 of 10,000</t>
        </is>
      </c>
      <c r="S623" t="inlineStr">
        <is>
          <t>shuffled: 718 of 10,000</t>
        </is>
      </c>
      <c r="T623" t="n">
        <v>0.1704708537234424</v>
      </c>
      <c r="U623" t="n">
        <v>0.1248815139540742</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0.1352864319479519</v>
      </c>
      <c r="AI623">
        <f>IF($Y623="worse","Yes",IF($Y623="worse, not significant","Not sure",IF(OR($Y623="too few losses to test",$Y623="too few loans to test"),"Too few losses",IF($Y623="","","No"))))</f>
        <v/>
      </c>
      <c r="AJ623">
        <f>IF($AA623="yes","Yes",IF($AA623="","","No"))</f>
        <v/>
      </c>
    </row>
    <row r="624">
      <c r="A624" t="inlineStr">
        <is>
          <t>three-way</t>
        </is>
      </c>
      <c r="B624" t="inlineStr">
        <is>
          <t>FICO x ASSET_CLASS / REV_DEBT</t>
        </is>
      </c>
      <c r="C624" t="inlineStr">
        <is>
          <t>746 - 921</t>
        </is>
      </c>
      <c r="D624" t="inlineStr">
        <is>
          <t>2 / REV_DEBT high half</t>
        </is>
      </c>
      <c r="E624" t="inlineStr">
        <is>
          <t>outcome_loans</t>
        </is>
      </c>
      <c r="F624" t="inlineStr">
        <is>
          <t>Outcome, share of loans</t>
        </is>
      </c>
      <c r="G624" t="n">
        <v>199</v>
      </c>
      <c r="H624" t="n">
        <v>199</v>
      </c>
      <c r="I624" t="b">
        <v>0</v>
      </c>
      <c r="J624" t="b">
        <v>0</v>
      </c>
      <c r="K624" t="n">
        <v>0.7748793390345466</v>
      </c>
      <c r="L624" t="n">
        <v>0.5097446344209298</v>
      </c>
      <c r="M624" t="n">
        <v>1.654673366834171</v>
      </c>
      <c r="N624" t="n">
        <v>0.2317411077239365</v>
      </c>
      <c r="O624" t="n">
        <v>-3.486282051282052</v>
      </c>
      <c r="P624" t="n">
        <v>4.747813411078717</v>
      </c>
      <c r="Q624">
        <f>'_live'!$C$20</f>
        <v/>
      </c>
      <c r="R624" t="inlineStr">
        <is>
          <t>z test</t>
        </is>
      </c>
      <c r="S624" t="inlineStr">
        <is>
          <t>z test</t>
        </is>
      </c>
      <c r="T624" t="n">
        <v>0.07782051282051282</v>
      </c>
      <c r="U624" t="n">
        <v>0.03644314868804665</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0.06030150753768844</v>
      </c>
      <c r="AI624">
        <f>IF($Y624="worse","Yes",IF($Y624="worse, not significant","Not sure",IF(OR($Y624="too few losses to test",$Y624="too few loans to test"),"Too few losses",IF($Y624="","","No"))))</f>
        <v/>
      </c>
      <c r="AJ624">
        <f>IF($AA624="yes","Yes",IF($AA624="","","No"))</f>
        <v/>
      </c>
    </row>
    <row r="625">
      <c r="A625" t="inlineStr">
        <is>
          <t>three-way</t>
        </is>
      </c>
      <c r="B625" t="inlineStr">
        <is>
          <t>FICO x ASSET_CLASS / REV_DEBT</t>
        </is>
      </c>
      <c r="C625" t="inlineStr">
        <is>
          <t>746 - 921</t>
        </is>
      </c>
      <c r="D625" t="inlineStr">
        <is>
          <t>2 / REV_DEBT high half</t>
        </is>
      </c>
      <c r="E625" t="inlineStr">
        <is>
          <t>outcome_booked</t>
        </is>
      </c>
      <c r="F625" t="inlineStr">
        <is>
          <t>Outcome, share of booked dollars</t>
        </is>
      </c>
      <c r="G625" t="n">
        <v>199</v>
      </c>
      <c r="H625" t="n">
        <v>6690405.060000001</v>
      </c>
      <c r="I625" t="b">
        <v>0</v>
      </c>
      <c r="J625" t="b">
        <v>0</v>
      </c>
      <c r="K625" t="n">
        <v>0.9705873527652636</v>
      </c>
      <c r="L625" t="n">
        <v>0.9124087591240876</v>
      </c>
      <c r="M625" t="n">
        <v>2.31787692368213</v>
      </c>
      <c r="N625" t="n">
        <v>0.02845429742740012</v>
      </c>
      <c r="O625" t="n">
        <v>-14736.25192492607</v>
      </c>
      <c r="P625" t="n">
        <v>276485.2916834573</v>
      </c>
      <c r="Q625">
        <f>'_live'!$C$21</f>
        <v/>
      </c>
      <c r="R625" t="inlineStr">
        <is>
          <t>shuffled: 9,124 of 10,000</t>
        </is>
      </c>
      <c r="S625" t="inlineStr">
        <is>
          <t>shuffled: 68 of 10,000</t>
        </is>
      </c>
      <c r="T625" t="n">
        <v>0.07488597886551969</v>
      </c>
      <c r="U625" t="n">
        <v>0.03135774088938983</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0.07268338398632024</v>
      </c>
      <c r="AI625">
        <f>IF($Y625="worse","Yes",IF($Y625="worse, not significant","Not sure",IF(OR($Y625="too few losses to test",$Y625="too few loans to test"),"Too few losses",IF($Y625="","","No"))))</f>
        <v/>
      </c>
      <c r="AJ625">
        <f>IF($AA625="yes","Yes",IF($AA625="","","No"))</f>
        <v/>
      </c>
    </row>
    <row r="626">
      <c r="A626" t="inlineStr">
        <is>
          <t>three-way</t>
        </is>
      </c>
      <c r="B626" t="inlineStr">
        <is>
          <t>FICO x ASSET_CLASS / REV_DEBT</t>
        </is>
      </c>
      <c r="C626" t="inlineStr">
        <is>
          <t>746 - 921</t>
        </is>
      </c>
      <c r="D626" t="inlineStr">
        <is>
          <t>2 / REV_DEBT high half</t>
        </is>
      </c>
      <c r="E626" t="inlineStr">
        <is>
          <t>gco_rate</t>
        </is>
      </c>
      <c r="F626" t="inlineStr">
        <is>
          <t>GCO per booked dollar</t>
        </is>
      </c>
      <c r="G626" t="n">
        <v>199</v>
      </c>
      <c r="H626" t="n">
        <v>6690405.060000001</v>
      </c>
      <c r="I626" t="b">
        <v>0</v>
      </c>
      <c r="J626" t="b">
        <v>0</v>
      </c>
      <c r="K626" t="n">
        <v>0.8675012435280959</v>
      </c>
      <c r="L626" t="n">
        <v>0.7394689102518319</v>
      </c>
      <c r="M626" t="n">
        <v>2.150284858057198</v>
      </c>
      <c r="N626" t="n">
        <v>0.05199480051994801</v>
      </c>
      <c r="O626" t="n">
        <v>-37008.98030328983</v>
      </c>
      <c r="P626" t="n">
        <v>129620.8392908629</v>
      </c>
      <c r="Q626">
        <f>'_live'!$C$22</f>
        <v/>
      </c>
      <c r="R626" t="inlineStr">
        <is>
          <t>shuffled: 6,470 of 10,000</t>
        </is>
      </c>
      <c r="S626" t="inlineStr">
        <is>
          <t>shuffled: 185 of 10,000</t>
        </is>
      </c>
      <c r="T626" t="n">
        <v>0.04174869500401965</v>
      </c>
      <c r="U626" t="n">
        <v>0.01684290557874489</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0.03621704483166226</v>
      </c>
      <c r="AI626">
        <f>IF($Y626="worse","Yes",IF($Y626="worse, not significant","Not sure",IF(OR($Y626="too few losses to test",$Y626="too few loans to test"),"Too few losses",IF($Y626="","","No"))))</f>
        <v/>
      </c>
      <c r="AJ626">
        <f>IF($AA626="yes","Yes",IF($AA626="","","No"))</f>
        <v/>
      </c>
    </row>
    <row r="627">
      <c r="A627" t="inlineStr">
        <is>
          <t>three-way</t>
        </is>
      </c>
      <c r="B627" t="inlineStr">
        <is>
          <t>FICO x ASSET_CLASS / REV_DEBT</t>
        </is>
      </c>
      <c r="C627" t="inlineStr">
        <is>
          <t>746 - 921</t>
        </is>
      </c>
      <c r="D627" t="inlineStr">
        <is>
          <t>2 / REV_DEBT high half</t>
        </is>
      </c>
      <c r="E627" t="inlineStr">
        <is>
          <t>ranr_rate</t>
        </is>
      </c>
      <c r="F627" t="inlineStr">
        <is>
          <t>Profit after losses: RANR per booked dollar</t>
        </is>
      </c>
      <c r="G627" t="n">
        <v>199</v>
      </c>
      <c r="H627" t="n">
        <v>6690405.060000001</v>
      </c>
      <c r="I627" t="b">
        <v>0</v>
      </c>
      <c r="J627" t="b">
        <v>0</v>
      </c>
      <c r="K627" t="n">
        <v>-0.103866785577721</v>
      </c>
      <c r="L627" t="n">
        <v>0.00034996500349965</v>
      </c>
      <c r="M627" t="n">
        <v>-0.02296885304291074</v>
      </c>
      <c r="N627" t="n">
        <v>0.1331866813318668</v>
      </c>
      <c r="O627" t="n">
        <v>694910.8677951199</v>
      </c>
      <c r="P627" t="n">
        <v>153670.9306206865</v>
      </c>
      <c r="Q627">
        <f>'_live'!$C$23</f>
        <v/>
      </c>
      <c r="R627" t="inlineStr">
        <is>
          <t>shuffled: 0 of 10,000</t>
        </is>
      </c>
      <c r="S627" t="inlineStr">
        <is>
          <t>shuffled: 85 of 10,000</t>
        </is>
      </c>
      <c r="T627" t="n">
        <v>0.1306827882548444</v>
      </c>
      <c r="U627" t="n">
        <v>0.04978485572003416</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0.02681600267712342</v>
      </c>
      <c r="AI627">
        <f>IF($Y627="worse","Yes",IF($Y627="worse, not significant","Not sure",IF(OR($Y627="too few losses to test",$Y627="too few loans to test"),"Too few losses",IF($Y627="","","No"))))</f>
        <v/>
      </c>
      <c r="AJ627">
        <f>IF($AA627="yes","Yes",IF($AA627="","","No"))</f>
        <v/>
      </c>
    </row>
    <row r="628">
      <c r="A628" t="inlineStr">
        <is>
          <t>three-way</t>
        </is>
      </c>
      <c r="B628" t="inlineStr">
        <is>
          <t>FICO x ASSET_CLASS / REV_DEBT</t>
        </is>
      </c>
      <c r="C628" t="inlineStr">
        <is>
          <t>746 - 921</t>
        </is>
      </c>
      <c r="D628" t="inlineStr">
        <is>
          <t>2 / REV_DEBT high half</t>
        </is>
      </c>
      <c r="E628" t="inlineStr">
        <is>
          <t>contribution_rate</t>
        </is>
      </c>
      <c r="F628" t="inlineStr">
        <is>
          <t>Contribution before losses per booked dollar</t>
        </is>
      </c>
      <c r="G628" t="n">
        <v>199</v>
      </c>
      <c r="H628" t="n">
        <v>6690405.060000001</v>
      </c>
      <c r="I628" t="b">
        <v>0</v>
      </c>
      <c r="J628" t="b">
        <v>0</v>
      </c>
      <c r="K628" t="n">
        <v>-0.1093959255560673</v>
      </c>
      <c r="L628" t="n">
        <v>0.0001884426941921192</v>
      </c>
      <c r="M628" t="n">
        <v>-0.003594713789993334</v>
      </c>
      <c r="N628" t="n">
        <v>0.7504704075047041</v>
      </c>
      <c r="O628" t="n">
        <v>731903.0538836962</v>
      </c>
      <c r="P628" t="n">
        <v>24050.09132982325</v>
      </c>
      <c r="Q628">
        <f>'_live'!$C$24</f>
        <v/>
      </c>
      <c r="R628" t="inlineStr">
        <is>
          <t>shuffled: 0 of 10,000</t>
        </is>
      </c>
      <c r="S628" t="inlineStr">
        <is>
          <t>shuffled: 1,688 of 10,000</t>
        </is>
      </c>
      <c r="T628" t="n">
        <v>0.1724289730648531</v>
      </c>
      <c r="U628" t="n">
        <v>0.06662776129877905</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0.06303304750878572</v>
      </c>
      <c r="AI628">
        <f>IF($Y628="worse","Yes",IF($Y628="worse, not significant","Not sure",IF(OR($Y628="too few losses to test",$Y628="too few loans to test"),"Too few losses",IF($Y628="","","No"))))</f>
        <v/>
      </c>
      <c r="AJ628">
        <f>IF($AA628="yes","Yes",IF($AA628="","","No"))</f>
        <v/>
      </c>
    </row>
    <row r="629">
      <c r="A629" t="inlineStr">
        <is>
          <t>three-way</t>
        </is>
      </c>
      <c r="B629" t="inlineStr">
        <is>
          <t>FICO x ASSET_CLASS / REV_DEBT</t>
        </is>
      </c>
      <c r="C629" t="inlineStr">
        <is>
          <t>496 - 653</t>
        </is>
      </c>
      <c r="D629" t="inlineStr">
        <is>
          <t>1 / REV_DEBT low half</t>
        </is>
      </c>
      <c r="E629" t="inlineStr">
        <is>
          <t>outcome_loans</t>
        </is>
      </c>
      <c r="F629" t="inlineStr">
        <is>
          <t>Outcome, share of loans</t>
        </is>
      </c>
      <c r="G629" t="n">
        <v>210</v>
      </c>
      <c r="H629" t="n">
        <v>210</v>
      </c>
      <c r="I629" t="b">
        <v>0</v>
      </c>
      <c r="J629" t="b">
        <v>0</v>
      </c>
      <c r="K629" t="n">
        <v>0.8582920110192838</v>
      </c>
      <c r="L629" t="n">
        <v>0.6235931900768885</v>
      </c>
      <c r="M629" t="n">
        <v>0.4075757575757576</v>
      </c>
      <c r="N629" t="n">
        <v>0.003114390253848456</v>
      </c>
      <c r="O629" t="n">
        <v>-2.311464886378225</v>
      </c>
      <c r="P629" t="n">
        <v>-20.34944237918216</v>
      </c>
      <c r="Q629">
        <f>'_live'!$C$20</f>
        <v/>
      </c>
      <c r="R629" t="inlineStr">
        <is>
          <t>z test</t>
        </is>
      </c>
      <c r="S629" t="inlineStr">
        <is>
          <t>z test</t>
        </is>
      </c>
      <c r="T629" t="n">
        <v>0.07767364231608678</v>
      </c>
      <c r="U629" t="n">
        <v>0.1635687732342007</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0.06666666666666667</v>
      </c>
      <c r="AI629">
        <f>IF($Y629="worse","Yes",IF($Y629="worse, not significant","Not sure",IF(OR($Y629="too few losses to test",$Y629="too few loans to test"),"Too few losses",IF($Y629="","","No"))))</f>
        <v/>
      </c>
      <c r="AJ629">
        <f>IF($AA629="yes","Yes",IF($AA629="","","No"))</f>
        <v/>
      </c>
    </row>
    <row r="630">
      <c r="A630" t="inlineStr">
        <is>
          <t>three-way</t>
        </is>
      </c>
      <c r="B630" t="inlineStr">
        <is>
          <t>FICO x ASSET_CLASS / REV_DEBT</t>
        </is>
      </c>
      <c r="C630" t="inlineStr">
        <is>
          <t>496 - 653</t>
        </is>
      </c>
      <c r="D630" t="inlineStr">
        <is>
          <t>1 / REV_DEBT low half</t>
        </is>
      </c>
      <c r="E630" t="inlineStr">
        <is>
          <t>outcome_booked</t>
        </is>
      </c>
      <c r="F630" t="inlineStr">
        <is>
          <t>Outcome, share of booked dollars</t>
        </is>
      </c>
      <c r="G630" t="n">
        <v>210</v>
      </c>
      <c r="H630" t="n">
        <v>7044410.749999999</v>
      </c>
      <c r="I630" t="b">
        <v>0</v>
      </c>
      <c r="J630" t="b">
        <v>0</v>
      </c>
      <c r="K630" t="n">
        <v>1.099021641995451</v>
      </c>
      <c r="L630" t="n">
        <v>0.8259745454026026</v>
      </c>
      <c r="M630" t="n">
        <v>0.5126109286297196</v>
      </c>
      <c r="N630" t="n">
        <v>0.02845429742740012</v>
      </c>
      <c r="O630" t="n">
        <v>52056.08560170024</v>
      </c>
      <c r="P630" t="n">
        <v>-549332.8302214282</v>
      </c>
      <c r="Q630">
        <f>'_live'!$C$21</f>
        <v/>
      </c>
      <c r="R630" t="inlineStr">
        <is>
          <t>shuffled: 7,227 of 10,000</t>
        </is>
      </c>
      <c r="S630" t="inlineStr">
        <is>
          <t>shuffled: 71 of 10,000</t>
        </is>
      </c>
      <c r="T630" t="n">
        <v>0.07462712539843022</v>
      </c>
      <c r="U630" t="n">
        <v>0.1599982000228235</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0.08201682589278318</v>
      </c>
      <c r="AI630">
        <f>IF($Y630="worse","Yes",IF($Y630="worse, not significant","Not sure",IF(OR($Y630="too few losses to test",$Y630="too few loans to test"),"Too few losses",IF($Y630="","","No"))))</f>
        <v/>
      </c>
      <c r="AJ630">
        <f>IF($AA630="yes","Yes",IF($AA630="","","No"))</f>
        <v/>
      </c>
    </row>
    <row r="631">
      <c r="A631" t="inlineStr">
        <is>
          <t>three-way</t>
        </is>
      </c>
      <c r="B631" t="inlineStr">
        <is>
          <t>FICO x ASSET_CLASS / REV_DEBT</t>
        </is>
      </c>
      <c r="C631" t="inlineStr">
        <is>
          <t>496 - 653</t>
        </is>
      </c>
      <c r="D631" t="inlineStr">
        <is>
          <t>1 / REV_DEBT low half</t>
        </is>
      </c>
      <c r="E631" t="inlineStr">
        <is>
          <t>gco_rate</t>
        </is>
      </c>
      <c r="F631" t="inlineStr">
        <is>
          <t>GCO per booked dollar</t>
        </is>
      </c>
      <c r="G631" t="n">
        <v>210</v>
      </c>
      <c r="H631" t="n">
        <v>7044410.749999999</v>
      </c>
      <c r="I631" t="b">
        <v>0</v>
      </c>
      <c r="J631" t="b">
        <v>0</v>
      </c>
      <c r="K631" t="n">
        <v>1.175486263044016</v>
      </c>
      <c r="L631" t="n">
        <v>0.6526147385261474</v>
      </c>
      <c r="M631" t="n">
        <v>0.5465309039911073</v>
      </c>
      <c r="N631" t="n">
        <v>0.05176625194623395</v>
      </c>
      <c r="O631" t="n">
        <v>51187.08376162127</v>
      </c>
      <c r="P631" t="n">
        <v>-284490.5144759997</v>
      </c>
      <c r="Q631">
        <f>'_live'!$C$22</f>
        <v/>
      </c>
      <c r="R631" t="inlineStr">
        <is>
          <t>shuffled: 5,438 of 10,000</t>
        </is>
      </c>
      <c r="S631" t="inlineStr">
        <is>
          <t>shuffled: 150 of 10,000</t>
        </is>
      </c>
      <c r="T631" t="n">
        <v>0.04140688789880386</v>
      </c>
      <c r="U631" t="n">
        <v>0.08905850989396095</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0.04867322792044745</v>
      </c>
      <c r="AI631">
        <f>IF($Y631="worse","Yes",IF($Y631="worse, not significant","Not sure",IF(OR($Y631="too few losses to test",$Y631="too few loans to test"),"Too few losses",IF($Y631="","","No"))))</f>
        <v/>
      </c>
      <c r="AJ631">
        <f>IF($AA631="yes","Yes",IF($AA631="","","No"))</f>
        <v/>
      </c>
    </row>
    <row r="632">
      <c r="A632" t="inlineStr">
        <is>
          <t>three-way</t>
        </is>
      </c>
      <c r="B632" t="inlineStr">
        <is>
          <t>FICO x ASSET_CLASS / REV_DEBT</t>
        </is>
      </c>
      <c r="C632" t="inlineStr">
        <is>
          <t>496 - 653</t>
        </is>
      </c>
      <c r="D632" t="inlineStr">
        <is>
          <t>1 / REV_DEBT low half</t>
        </is>
      </c>
      <c r="E632" t="inlineStr">
        <is>
          <t>ranr_rate</t>
        </is>
      </c>
      <c r="F632" t="inlineStr">
        <is>
          <t>Profit after losses: RANR per booked dollar</t>
        </is>
      </c>
      <c r="G632" t="n">
        <v>210</v>
      </c>
      <c r="H632" t="n">
        <v>7044410.749999999</v>
      </c>
      <c r="I632" t="b">
        <v>0</v>
      </c>
      <c r="J632" t="b">
        <v>0</v>
      </c>
      <c r="K632" t="n">
        <v>0.09986562018280543</v>
      </c>
      <c r="L632" t="n">
        <v>0.00034996500349965</v>
      </c>
      <c r="M632" t="n">
        <v>0.0405926651584578</v>
      </c>
      <c r="N632" t="n">
        <v>0.1987001299870013</v>
      </c>
      <c r="O632" t="n">
        <v>-703494.4483711715</v>
      </c>
      <c r="P632" t="n">
        <v>-285951.4068133906</v>
      </c>
      <c r="Q632">
        <f>'_live'!$C$23</f>
        <v/>
      </c>
      <c r="R632" t="inlineStr">
        <is>
          <t>shuffled: 0 of 10,000</t>
        </is>
      </c>
      <c r="S632" t="inlineStr">
        <is>
          <t>shuffled: 447 of 10,000</t>
        </is>
      </c>
      <c r="T632" t="n">
        <v>0.1252640501732282</v>
      </c>
      <c r="U632" t="n">
        <v>0.1845370051975758</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0.2251296703560336</v>
      </c>
      <c r="AI632">
        <f>IF($Y632="worse","Yes",IF($Y632="worse, not significant","Not sure",IF(OR($Y632="too few losses to test",$Y632="too few loans to test"),"Too few losses",IF($Y632="","","No"))))</f>
        <v/>
      </c>
      <c r="AJ632">
        <f>IF($AA632="yes","Yes",IF($AA632="","","No"))</f>
        <v/>
      </c>
    </row>
    <row r="633">
      <c r="A633" t="inlineStr">
        <is>
          <t>three-way</t>
        </is>
      </c>
      <c r="B633" t="inlineStr">
        <is>
          <t>FICO x ASSET_CLASS / REV_DEBT</t>
        </is>
      </c>
      <c r="C633" t="inlineStr">
        <is>
          <t>496 - 653</t>
        </is>
      </c>
      <c r="D633" t="inlineStr">
        <is>
          <t>1 / REV_DEBT low half</t>
        </is>
      </c>
      <c r="E633" t="inlineStr">
        <is>
          <t>contribution_rate</t>
        </is>
      </c>
      <c r="F633" t="inlineStr">
        <is>
          <t>Contribution before losses per booked dollar</t>
        </is>
      </c>
      <c r="G633" t="n">
        <v>210</v>
      </c>
      <c r="H633" t="n">
        <v>7044410.749999999</v>
      </c>
      <c r="I633" t="b">
        <v>0</v>
      </c>
      <c r="J633" t="b">
        <v>0</v>
      </c>
      <c r="K633" t="n">
        <v>0.1071353307236331</v>
      </c>
      <c r="L633" t="n">
        <v>0.0001884426941921192</v>
      </c>
      <c r="M633" t="n">
        <v>0.0002073831849443986</v>
      </c>
      <c r="N633" t="n">
        <v>0.9967003299670033</v>
      </c>
      <c r="O633" t="n">
        <v>-754705.2754543659</v>
      </c>
      <c r="P633" t="n">
        <v>-1460.892337391386</v>
      </c>
      <c r="Q633">
        <f>'_live'!$C$24</f>
        <v/>
      </c>
      <c r="R633" t="inlineStr">
        <is>
          <t>shuffled: 0 of 10,000</t>
        </is>
      </c>
      <c r="S633" t="inlineStr">
        <is>
          <t>shuffled: 9,866 of 10,000</t>
        </is>
      </c>
      <c r="T633" t="n">
        <v>0.1666675675528481</v>
      </c>
      <c r="U633" t="n">
        <v>0.2735955150915367</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0.2738028982764811</v>
      </c>
      <c r="AI633">
        <f>IF($Y633="worse","Yes",IF($Y633="worse, not significant","Not sure",IF(OR($Y633="too few losses to test",$Y633="too few loans to test"),"Too few losses",IF($Y633="","","No"))))</f>
        <v/>
      </c>
      <c r="AJ633">
        <f>IF($AA633="yes","Yes",IF($AA633="","","No"))</f>
        <v/>
      </c>
    </row>
    <row r="634">
      <c r="A634" t="inlineStr">
        <is>
          <t>three-way</t>
        </is>
      </c>
      <c r="B634" t="inlineStr">
        <is>
          <t>FICO x ASSET_CLASS / REV_DEBT</t>
        </is>
      </c>
      <c r="C634" t="inlineStr">
        <is>
          <t>686 - 711</t>
        </is>
      </c>
      <c r="D634" t="inlineStr">
        <is>
          <t>1 / REV_DEBT low half</t>
        </is>
      </c>
      <c r="E634" t="inlineStr">
        <is>
          <t>outcome_loans</t>
        </is>
      </c>
      <c r="F634" t="inlineStr">
        <is>
          <t>Outcome, share of loans</t>
        </is>
      </c>
      <c r="G634" t="n">
        <v>186</v>
      </c>
      <c r="H634" t="n">
        <v>186</v>
      </c>
      <c r="I634" t="b">
        <v>1</v>
      </c>
      <c r="J634" t="b">
        <v>0</v>
      </c>
      <c r="K634" t="n">
        <v>0.2732056997989335</v>
      </c>
      <c r="M634" t="n">
        <v>0.321645628798504</v>
      </c>
      <c r="O634" t="n">
        <v>-10.64098297708947</v>
      </c>
      <c r="P634" t="n">
        <v>-8.436046511627906</v>
      </c>
      <c r="Q634">
        <f>'_live'!$C$20</f>
        <v/>
      </c>
      <c r="T634" t="n">
        <v>0.07871496224241649</v>
      </c>
      <c r="U634" t="n">
        <v>0.06686046511627906</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0.02150537634408602</v>
      </c>
      <c r="AI634">
        <f>IF($Y634="worse","Yes",IF($Y634="worse, not significant","Not sure",IF(OR($Y634="too few losses to test",$Y634="too few loans to test"),"Too few losses",IF($Y634="","","No"))))</f>
        <v/>
      </c>
      <c r="AJ634">
        <f>IF($AA634="yes","Yes",IF($AA634="","","No"))</f>
        <v/>
      </c>
    </row>
    <row r="635">
      <c r="A635" t="inlineStr">
        <is>
          <t>three-way</t>
        </is>
      </c>
      <c r="B635" t="inlineStr">
        <is>
          <t>FICO x ASSET_CLASS / REV_DEBT</t>
        </is>
      </c>
      <c r="C635" t="inlineStr">
        <is>
          <t>686 - 711</t>
        </is>
      </c>
      <c r="D635" t="inlineStr">
        <is>
          <t>1 / REV_DEBT low half</t>
        </is>
      </c>
      <c r="E635" t="inlineStr">
        <is>
          <t>outcome_booked</t>
        </is>
      </c>
      <c r="F635" t="inlineStr">
        <is>
          <t>Outcome, share of booked dollars</t>
        </is>
      </c>
      <c r="G635" t="n">
        <v>186</v>
      </c>
      <c r="H635" t="n">
        <v>5859475.610000001</v>
      </c>
      <c r="I635" t="b">
        <v>1</v>
      </c>
      <c r="J635" t="b">
        <v>0</v>
      </c>
      <c r="K635" t="n">
        <v>0.3399681225080531</v>
      </c>
      <c r="M635" t="n">
        <v>0.4241549145494711</v>
      </c>
      <c r="O635" t="n">
        <v>-293799.755931481</v>
      </c>
      <c r="P635" t="n">
        <v>-205449.8732634755</v>
      </c>
      <c r="Q635">
        <f>'_live'!$C$21</f>
        <v/>
      </c>
      <c r="T635" t="n">
        <v>0.07596748848511392</v>
      </c>
      <c r="U635" t="n">
        <v>0.06088936741277356</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0.02582652443193632</v>
      </c>
      <c r="AI635">
        <f>IF($Y635="worse","Yes",IF($Y635="worse, not significant","Not sure",IF(OR($Y635="too few losses to test",$Y635="too few loans to test"),"Too few losses",IF($Y635="","","No"))))</f>
        <v/>
      </c>
      <c r="AJ635">
        <f>IF($AA635="yes","Yes",IF($AA635="","","No"))</f>
        <v/>
      </c>
    </row>
    <row r="636">
      <c r="A636" t="inlineStr">
        <is>
          <t>three-way</t>
        </is>
      </c>
      <c r="B636" t="inlineStr">
        <is>
          <t>FICO x ASSET_CLASS / REV_DEBT</t>
        </is>
      </c>
      <c r="C636" t="inlineStr">
        <is>
          <t>686 - 711</t>
        </is>
      </c>
      <c r="D636" t="inlineStr">
        <is>
          <t>1 / REV_DEBT low half</t>
        </is>
      </c>
      <c r="E636" t="inlineStr">
        <is>
          <t>gco_rate</t>
        </is>
      </c>
      <c r="F636" t="inlineStr">
        <is>
          <t>GCO per booked dollar</t>
        </is>
      </c>
      <c r="G636" t="n">
        <v>186</v>
      </c>
      <c r="H636" t="n">
        <v>5859475.610000001</v>
      </c>
      <c r="I636" t="b">
        <v>1</v>
      </c>
      <c r="J636" t="b">
        <v>0</v>
      </c>
      <c r="K636" t="n">
        <v>0.2920681956132971</v>
      </c>
      <c r="M636" t="n">
        <v>0.363219481899644</v>
      </c>
      <c r="O636" t="n">
        <v>-175402.9862188471</v>
      </c>
      <c r="P636" t="n">
        <v>-126867.5228411151</v>
      </c>
      <c r="Q636">
        <f>'_live'!$C$22</f>
        <v/>
      </c>
      <c r="T636" t="n">
        <v>0.04228504608774147</v>
      </c>
      <c r="U636" t="n">
        <v>0.03400180256763882</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0.01235011711227176</v>
      </c>
      <c r="AI636">
        <f>IF($Y636="worse","Yes",IF($Y636="worse, not significant","Not sure",IF(OR($Y636="too few losses to test",$Y636="too few loans to test"),"Too few losses",IF($Y636="","","No"))))</f>
        <v/>
      </c>
      <c r="AJ636">
        <f>IF($AA636="yes","Yes",IF($AA636="","","No"))</f>
        <v/>
      </c>
    </row>
    <row r="637">
      <c r="A637" t="inlineStr">
        <is>
          <t>three-way</t>
        </is>
      </c>
      <c r="B637" t="inlineStr">
        <is>
          <t>FICO x ASSET_CLASS / REV_DEBT</t>
        </is>
      </c>
      <c r="C637" t="inlineStr">
        <is>
          <t>686 - 711</t>
        </is>
      </c>
      <c r="D637" t="inlineStr">
        <is>
          <t>1 / REV_DEBT low half</t>
        </is>
      </c>
      <c r="E637" t="inlineStr">
        <is>
          <t>ranr_rate</t>
        </is>
      </c>
      <c r="F637" t="inlineStr">
        <is>
          <t>Profit after losses: RANR per booked dollar</t>
        </is>
      </c>
      <c r="G637" t="n">
        <v>186</v>
      </c>
      <c r="H637" t="n">
        <v>5859475.610000001</v>
      </c>
      <c r="I637" t="b">
        <v>0</v>
      </c>
      <c r="J637" t="b">
        <v>0</v>
      </c>
      <c r="K637" t="n">
        <v>0.03015656873482264</v>
      </c>
      <c r="L637" t="n">
        <v>0.08385699891549307</v>
      </c>
      <c r="M637" t="n">
        <v>0.01756050067909778</v>
      </c>
      <c r="N637" t="n">
        <v>0.5130434324988554</v>
      </c>
      <c r="O637" t="n">
        <v>-176701.6789829819</v>
      </c>
      <c r="P637" t="n">
        <v>-102895.325428562</v>
      </c>
      <c r="Q637">
        <f>'_live'!$C$23</f>
        <v/>
      </c>
      <c r="R637" t="inlineStr">
        <is>
          <t>shuffled: 441 of 10,000</t>
        </is>
      </c>
      <c r="S637" t="inlineStr">
        <is>
          <t>shuffled: 2,030 of 10,000</t>
        </is>
      </c>
      <c r="T637" t="n">
        <v>0.1273053410690821</v>
      </c>
      <c r="U637" t="n">
        <v>0.1399014091248069</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0.1574619098039047</v>
      </c>
      <c r="AI637">
        <f>IF($Y637="worse","Yes",IF($Y637="worse, not significant","Not sure",IF(OR($Y637="too few losses to test",$Y637="too few loans to test"),"Too few losses",IF($Y637="","","No"))))</f>
        <v/>
      </c>
      <c r="AJ637">
        <f>IF($AA637="yes","Yes",IF($AA637="","","No"))</f>
        <v/>
      </c>
    </row>
    <row r="638">
      <c r="A638" t="inlineStr">
        <is>
          <t>three-way</t>
        </is>
      </c>
      <c r="B638" t="inlineStr">
        <is>
          <t>FICO x ASSET_CLASS / REV_DEBT</t>
        </is>
      </c>
      <c r="C638" t="inlineStr">
        <is>
          <t>686 - 711</t>
        </is>
      </c>
      <c r="D638" t="inlineStr">
        <is>
          <t>1 / REV_DEBT low half</t>
        </is>
      </c>
      <c r="E638" t="inlineStr">
        <is>
          <t>contribution_rate</t>
        </is>
      </c>
      <c r="F638" t="inlineStr">
        <is>
          <t>Contribution before losses per booked dollar</t>
        </is>
      </c>
      <c r="G638" t="n">
        <v>186</v>
      </c>
      <c r="H638" t="n">
        <v>5859475.610000001</v>
      </c>
      <c r="I638" t="b">
        <v>0</v>
      </c>
      <c r="J638" t="b">
        <v>0</v>
      </c>
      <c r="K638" t="n">
        <v>0.0002246731981825623</v>
      </c>
      <c r="L638" t="n">
        <v>0.9837016298370163</v>
      </c>
      <c r="M638" t="n">
        <v>-0.004091184776269269</v>
      </c>
      <c r="N638" t="n">
        <v>0.8189950235745658</v>
      </c>
      <c r="O638" t="n">
        <v>-1316.467124971445</v>
      </c>
      <c r="P638" t="n">
        <v>23972.19741255301</v>
      </c>
      <c r="Q638">
        <f>'_live'!$C$24</f>
        <v/>
      </c>
      <c r="R638" t="inlineStr">
        <is>
          <t>shuffled: 9,837 of 10,000</t>
        </is>
      </c>
      <c r="S638" t="inlineStr">
        <is>
          <t>shuffled: 5,981 of 10,000</t>
        </is>
      </c>
      <c r="T638" t="n">
        <v>0.1695873537179939</v>
      </c>
      <c r="U638" t="n">
        <v>0.1739032116924457</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0.1698120269161765</v>
      </c>
      <c r="AI638">
        <f>IF($Y638="worse","Yes",IF($Y638="worse, not significant","Not sure",IF(OR($Y638="too few losses to test",$Y638="too few loans to test"),"Too few losses",IF($Y638="","","No"))))</f>
        <v/>
      </c>
      <c r="AJ638">
        <f>IF($AA638="yes","Yes",IF($AA638="","","No"))</f>
        <v/>
      </c>
    </row>
    <row r="639">
      <c r="A639" t="inlineStr">
        <is>
          <t>three-way</t>
        </is>
      </c>
      <c r="B639" t="inlineStr">
        <is>
          <t>FICO x ASSET_CLASS / REV_DEBT</t>
        </is>
      </c>
      <c r="C639" t="inlineStr">
        <is>
          <t>712 - 745</t>
        </is>
      </c>
      <c r="D639" t="inlineStr">
        <is>
          <t>4 / REV_DEBT low half</t>
        </is>
      </c>
      <c r="E639" t="inlineStr">
        <is>
          <t>outcome_loans</t>
        </is>
      </c>
      <c r="F639" t="inlineStr">
        <is>
          <t>Outcome, share of loans</t>
        </is>
      </c>
      <c r="G639" t="n">
        <v>214</v>
      </c>
      <c r="H639" t="n">
        <v>214</v>
      </c>
      <c r="I639" t="b">
        <v>0</v>
      </c>
      <c r="J639" t="b">
        <v>0</v>
      </c>
      <c r="K639" t="n">
        <v>0.841816637058778</v>
      </c>
      <c r="L639" t="n">
        <v>0.6148789106960912</v>
      </c>
      <c r="M639" t="n">
        <v>1.251952374855972</v>
      </c>
      <c r="N639" t="n">
        <v>0.5700393263949008</v>
      </c>
      <c r="O639" t="n">
        <v>-2.630700064226076</v>
      </c>
      <c r="P639" t="n">
        <v>2.817465998568361</v>
      </c>
      <c r="Q639">
        <f>'_live'!$C$20</f>
        <v/>
      </c>
      <c r="R639" t="inlineStr">
        <is>
          <t>z test</t>
        </is>
      </c>
      <c r="S639" t="inlineStr">
        <is>
          <t>z test</t>
        </is>
      </c>
      <c r="T639" t="n">
        <v>0.07771355170199101</v>
      </c>
      <c r="U639" t="n">
        <v>0.05225483178239083</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0.06542056074766354</v>
      </c>
      <c r="AI639">
        <f>IF($Y639="worse","Yes",IF($Y639="worse, not significant","Not sure",IF(OR($Y639="too few losses to test",$Y639="too few loans to test"),"Too few losses",IF($Y639="","","No"))))</f>
        <v/>
      </c>
      <c r="AJ639">
        <f>IF($AA639="yes","Yes",IF($AA639="","","No"))</f>
        <v/>
      </c>
    </row>
    <row r="640">
      <c r="A640" t="inlineStr">
        <is>
          <t>three-way</t>
        </is>
      </c>
      <c r="B640" t="inlineStr">
        <is>
          <t>FICO x ASSET_CLASS / REV_DEBT</t>
        </is>
      </c>
      <c r="C640" t="inlineStr">
        <is>
          <t>712 - 745</t>
        </is>
      </c>
      <c r="D640" t="inlineStr">
        <is>
          <t>4 / REV_DEBT low half</t>
        </is>
      </c>
      <c r="E640" t="inlineStr">
        <is>
          <t>outcome_booked</t>
        </is>
      </c>
      <c r="F640" t="inlineStr">
        <is>
          <t>Outcome, share of booked dollars</t>
        </is>
      </c>
      <c r="G640" t="n">
        <v>214</v>
      </c>
      <c r="H640" t="n">
        <v>6710559.560000002</v>
      </c>
      <c r="I640" t="b">
        <v>0</v>
      </c>
      <c r="J640" t="b">
        <v>0</v>
      </c>
      <c r="K640" t="n">
        <v>0.8443776697996603</v>
      </c>
      <c r="L640" t="n">
        <v>0.712855030286445</v>
      </c>
      <c r="M640" t="n">
        <v>1.193189137051069</v>
      </c>
      <c r="N640" t="n">
        <v>0.7324320199558992</v>
      </c>
      <c r="O640" t="n">
        <v>-78462.30900593178</v>
      </c>
      <c r="P640" t="n">
        <v>68928.5784422041</v>
      </c>
      <c r="Q640">
        <f>'_live'!$C$21</f>
        <v/>
      </c>
      <c r="R640" t="inlineStr">
        <is>
          <t>shuffled: 5,643 of 10,000</t>
        </is>
      </c>
      <c r="S640" t="inlineStr">
        <is>
          <t>shuffled: 5,798 of 10,000</t>
        </is>
      </c>
      <c r="T640" t="n">
        <v>0.07513294897362204</v>
      </c>
      <c r="U640" t="n">
        <v>0.05316892553708229</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0.06344058437952375</v>
      </c>
      <c r="AI640">
        <f>IF($Y640="worse","Yes",IF($Y640="worse, not significant","Not sure",IF(OR($Y640="too few losses to test",$Y640="too few loans to test"),"Too few losses",IF($Y640="","","No"))))</f>
        <v/>
      </c>
      <c r="AJ640">
        <f>IF($AA640="yes","Yes",IF($AA640="","","No"))</f>
        <v/>
      </c>
    </row>
    <row r="641">
      <c r="A641" t="inlineStr">
        <is>
          <t>three-way</t>
        </is>
      </c>
      <c r="B641" t="inlineStr">
        <is>
          <t>FICO x ASSET_CLASS / REV_DEBT</t>
        </is>
      </c>
      <c r="C641" t="inlineStr">
        <is>
          <t>712 - 745</t>
        </is>
      </c>
      <c r="D641" t="inlineStr">
        <is>
          <t>4 / REV_DEBT low half</t>
        </is>
      </c>
      <c r="E641" t="inlineStr">
        <is>
          <t>gco_rate</t>
        </is>
      </c>
      <c r="F641" t="inlineStr">
        <is>
          <t>GCO per booked dollar</t>
        </is>
      </c>
      <c r="G641" t="n">
        <v>214</v>
      </c>
      <c r="H641" t="n">
        <v>6710559.560000002</v>
      </c>
      <c r="I641" t="b">
        <v>0</v>
      </c>
      <c r="J641" t="b">
        <v>0</v>
      </c>
      <c r="K641" t="n">
        <v>0.7653931764747621</v>
      </c>
      <c r="L641" t="n">
        <v>0.517948205179482</v>
      </c>
      <c r="M641" t="n">
        <v>1.068161917465681</v>
      </c>
      <c r="N641" t="n">
        <v>0.9349065093490651</v>
      </c>
      <c r="O641" t="n">
        <v>-65903.06341860956</v>
      </c>
      <c r="P641" t="n">
        <v>13720.00464013839</v>
      </c>
      <c r="Q641">
        <f>'_live'!$C$22</f>
        <v/>
      </c>
      <c r="R641" t="inlineStr">
        <is>
          <t>shuffled: 3,884 of 10,000</t>
        </is>
      </c>
      <c r="S641" t="inlineStr">
        <is>
          <t>shuffled: 8,477 of 10,000</t>
        </is>
      </c>
      <c r="T641" t="n">
        <v>0.04186067509079816</v>
      </c>
      <c r="U641" t="n">
        <v>0.02999533549477378</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0.03203987507712396</v>
      </c>
      <c r="AI641">
        <f>IF($Y641="worse","Yes",IF($Y641="worse, not significant","Not sure",IF(OR($Y641="too few losses to test",$Y641="too few loans to test"),"Too few losses",IF($Y641="","","No"))))</f>
        <v/>
      </c>
      <c r="AJ641">
        <f>IF($AA641="yes","Yes",IF($AA641="","","No"))</f>
        <v/>
      </c>
    </row>
    <row r="642">
      <c r="A642" t="inlineStr">
        <is>
          <t>three-way</t>
        </is>
      </c>
      <c r="B642" t="inlineStr">
        <is>
          <t>FICO x ASSET_CLASS / REV_DEBT</t>
        </is>
      </c>
      <c r="C642" t="inlineStr">
        <is>
          <t>712 - 745</t>
        </is>
      </c>
      <c r="D642" t="inlineStr">
        <is>
          <t>4 / REV_DEBT low half</t>
        </is>
      </c>
      <c r="E642" t="inlineStr">
        <is>
          <t>ranr_rate</t>
        </is>
      </c>
      <c r="F642" t="inlineStr">
        <is>
          <t>Profit after losses: RANR per booked dollar</t>
        </is>
      </c>
      <c r="G642" t="n">
        <v>214</v>
      </c>
      <c r="H642" t="n">
        <v>6710559.560000002</v>
      </c>
      <c r="I642" t="b">
        <v>0</v>
      </c>
      <c r="J642" t="b">
        <v>0</v>
      </c>
      <c r="K642" t="n">
        <v>-0.02693709418789747</v>
      </c>
      <c r="L642" t="n">
        <v>0.09221577842215779</v>
      </c>
      <c r="M642" t="n">
        <v>0.006658330086092706</v>
      </c>
      <c r="N642" t="n">
        <v>0.8567828931392575</v>
      </c>
      <c r="O642" t="n">
        <v>180762.9749212159</v>
      </c>
      <c r="P642" t="n">
        <v>-44681.12061286508</v>
      </c>
      <c r="Q642">
        <f>'_live'!$C$23</f>
        <v/>
      </c>
      <c r="R642" t="inlineStr">
        <is>
          <t>shuffled: 526 of 10,000</t>
        </is>
      </c>
      <c r="S642" t="inlineStr">
        <is>
          <t>shuffled: 5,798 of 10,000</t>
        </is>
      </c>
      <c r="T642" t="n">
        <v>0.1286904955093217</v>
      </c>
      <c r="U642" t="n">
        <v>0.09509507123533151</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0.1017534013214242</v>
      </c>
      <c r="AI642">
        <f>IF($Y642="worse","Yes",IF($Y642="worse, not significant","Not sure",IF(OR($Y642="too few losses to test",$Y642="too few loans to test"),"Too few losses",IF($Y642="","","No"))))</f>
        <v/>
      </c>
      <c r="AJ642">
        <f>IF($AA642="yes","Yes",IF($AA642="","","No"))</f>
        <v/>
      </c>
    </row>
    <row r="643">
      <c r="A643" t="inlineStr">
        <is>
          <t>three-way</t>
        </is>
      </c>
      <c r="B643" t="inlineStr">
        <is>
          <t>FICO x ASSET_CLASS / REV_DEBT</t>
        </is>
      </c>
      <c r="C643" t="inlineStr">
        <is>
          <t>712 - 745</t>
        </is>
      </c>
      <c r="D643" t="inlineStr">
        <is>
          <t>4 / REV_DEBT low half</t>
        </is>
      </c>
      <c r="E643" t="inlineStr">
        <is>
          <t>contribution_rate</t>
        </is>
      </c>
      <c r="F643" t="inlineStr">
        <is>
          <t>Contribution before losses per booked dollar</t>
        </is>
      </c>
      <c r="G643" t="n">
        <v>214</v>
      </c>
      <c r="H643" t="n">
        <v>6710559.560000002</v>
      </c>
      <c r="I643" t="b">
        <v>0</v>
      </c>
      <c r="J643" t="b">
        <v>0</v>
      </c>
      <c r="K643" t="n">
        <v>-0.03675506921303695</v>
      </c>
      <c r="L643" t="n">
        <v>0.0004741461337737194</v>
      </c>
      <c r="M643" t="n">
        <v>0.008748926547118147</v>
      </c>
      <c r="N643" t="n">
        <v>0.7097956870979569</v>
      </c>
      <c r="O643" t="n">
        <v>246647.0810860069</v>
      </c>
      <c r="P643" t="n">
        <v>-58710.1926805015</v>
      </c>
      <c r="Q643">
        <f>'_live'!$C$24</f>
        <v/>
      </c>
      <c r="R643" t="inlineStr">
        <is>
          <t>shuffled: 2 of 10,000</t>
        </is>
      </c>
      <c r="S643" t="inlineStr">
        <is>
          <t>shuffled: 1,330 of 10,000</t>
        </is>
      </c>
      <c r="T643" t="n">
        <v>0.1705483456115851</v>
      </c>
      <c r="U643" t="n">
        <v>0.12504434985143</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0.1337932763985482</v>
      </c>
      <c r="AI643">
        <f>IF($Y643="worse","Yes",IF($Y643="worse, not significant","Not sure",IF(OR($Y643="too few losses to test",$Y643="too few loans to test"),"Too few losses",IF($Y643="","","No"))))</f>
        <v/>
      </c>
      <c r="AJ643">
        <f>IF($AA643="yes","Yes",IF($AA643="","","No"))</f>
        <v/>
      </c>
    </row>
    <row r="644">
      <c r="A644" t="inlineStr">
        <is>
          <t>three-way</t>
        </is>
      </c>
      <c r="B644" t="inlineStr">
        <is>
          <t>FICO x ASSET_CLASS / REV_DEBT</t>
        </is>
      </c>
      <c r="C644" t="inlineStr">
        <is>
          <t>746 - 921</t>
        </is>
      </c>
      <c r="D644" t="inlineStr">
        <is>
          <t>1 / REV_DEBT low half</t>
        </is>
      </c>
      <c r="E644" t="inlineStr">
        <is>
          <t>outcome_loans</t>
        </is>
      </c>
      <c r="F644" t="inlineStr">
        <is>
          <t>Outcome, share of loans</t>
        </is>
      </c>
      <c r="G644" t="n">
        <v>207</v>
      </c>
      <c r="H644" t="n">
        <v>207</v>
      </c>
      <c r="I644" t="b">
        <v>1</v>
      </c>
      <c r="J644" t="b">
        <v>0</v>
      </c>
      <c r="K644" t="n">
        <v>0.4928643152509942</v>
      </c>
      <c r="M644" t="n">
        <v>0.9762032563964931</v>
      </c>
      <c r="O644" t="n">
        <v>-8.231647843942504</v>
      </c>
      <c r="P644" t="n">
        <v>-0.1950146627565985</v>
      </c>
      <c r="Q644">
        <f>'_live'!$C$20</f>
        <v/>
      </c>
      <c r="T644" t="n">
        <v>0.07841375770020534</v>
      </c>
      <c r="U644" t="n">
        <v>0.03958944281524927</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0.03864734299516908</v>
      </c>
      <c r="AI644">
        <f>IF($Y644="worse","Yes",IF($Y644="worse, not significant","Not sure",IF(OR($Y644="too few losses to test",$Y644="too few loans to test"),"Too few losses",IF($Y644="","","No"))))</f>
        <v/>
      </c>
      <c r="AJ644">
        <f>IF($AA644="yes","Yes",IF($AA644="","","No"))</f>
        <v/>
      </c>
    </row>
    <row r="645">
      <c r="A645" t="inlineStr">
        <is>
          <t>three-way</t>
        </is>
      </c>
      <c r="B645" t="inlineStr">
        <is>
          <t>FICO x ASSET_CLASS / REV_DEBT</t>
        </is>
      </c>
      <c r="C645" t="inlineStr">
        <is>
          <t>746 - 921</t>
        </is>
      </c>
      <c r="D645" t="inlineStr">
        <is>
          <t>1 / REV_DEBT low half</t>
        </is>
      </c>
      <c r="E645" t="inlineStr">
        <is>
          <t>outcome_booked</t>
        </is>
      </c>
      <c r="F645" t="inlineStr">
        <is>
          <t>Outcome, share of booked dollars</t>
        </is>
      </c>
      <c r="G645" t="n">
        <v>207</v>
      </c>
      <c r="H645" t="n">
        <v>6569722.119999999</v>
      </c>
      <c r="I645" t="b">
        <v>1</v>
      </c>
      <c r="J645" t="b">
        <v>0</v>
      </c>
      <c r="K645" t="n">
        <v>0.5234354823241335</v>
      </c>
      <c r="M645" t="n">
        <v>1.089007799178419</v>
      </c>
      <c r="O645" t="n">
        <v>-237159.0748145266</v>
      </c>
      <c r="P645" t="n">
        <v>21290.12812340268</v>
      </c>
      <c r="Q645">
        <f>'_live'!$C$21</f>
        <v/>
      </c>
      <c r="T645" t="n">
        <v>0.07574797772641967</v>
      </c>
      <c r="U645" t="n">
        <v>0.03640853562868764</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0.0396491792563062</v>
      </c>
      <c r="AI645">
        <f>IF($Y645="worse","Yes",IF($Y645="worse, not significant","Not sure",IF(OR($Y645="too few losses to test",$Y645="too few loans to test"),"Too few losses",IF($Y645="","","No"))))</f>
        <v/>
      </c>
      <c r="AJ645">
        <f>IF($AA645="yes","Yes",IF($AA645="","","No"))</f>
        <v/>
      </c>
    </row>
    <row r="646">
      <c r="A646" t="inlineStr">
        <is>
          <t>three-way</t>
        </is>
      </c>
      <c r="B646" t="inlineStr">
        <is>
          <t>FICO x ASSET_CLASS / REV_DEBT</t>
        </is>
      </c>
      <c r="C646" t="inlineStr">
        <is>
          <t>746 - 921</t>
        </is>
      </c>
      <c r="D646" t="inlineStr">
        <is>
          <t>1 / REV_DEBT low half</t>
        </is>
      </c>
      <c r="E646" t="inlineStr">
        <is>
          <t>gco_rate</t>
        </is>
      </c>
      <c r="F646" t="inlineStr">
        <is>
          <t>GCO per booked dollar</t>
        </is>
      </c>
      <c r="G646" t="n">
        <v>207</v>
      </c>
      <c r="H646" t="n">
        <v>6569722.119999999</v>
      </c>
      <c r="I646" t="b">
        <v>1</v>
      </c>
      <c r="J646" t="b">
        <v>0</v>
      </c>
      <c r="K646" t="n">
        <v>0.4910053642762671</v>
      </c>
      <c r="M646" t="n">
        <v>1.077063148499138</v>
      </c>
      <c r="O646" t="n">
        <v>-140952.7584601186</v>
      </c>
      <c r="P646" t="n">
        <v>9728.641338711212</v>
      </c>
      <c r="Q646">
        <f>'_live'!$C$22</f>
        <v/>
      </c>
      <c r="T646" t="n">
        <v>0.04215153295709236</v>
      </c>
      <c r="U646" t="n">
        <v>0.01921579883523122</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0.02069662879440021</v>
      </c>
      <c r="AI646">
        <f>IF($Y646="worse","Yes",IF($Y646="worse, not significant","Not sure",IF(OR($Y646="too few losses to test",$Y646="too few loans to test"),"Too few losses",IF($Y646="","","No"))))</f>
        <v/>
      </c>
      <c r="AJ646">
        <f>IF($AA646="yes","Yes",IF($AA646="","","No"))</f>
        <v/>
      </c>
    </row>
    <row r="647">
      <c r="A647" t="inlineStr">
        <is>
          <t>three-way</t>
        </is>
      </c>
      <c r="B647" t="inlineStr">
        <is>
          <t>FICO x ASSET_CLASS / REV_DEBT</t>
        </is>
      </c>
      <c r="C647" t="inlineStr">
        <is>
          <t>746 - 921</t>
        </is>
      </c>
      <c r="D647" t="inlineStr">
        <is>
          <t>1 / REV_DEBT low half</t>
        </is>
      </c>
      <c r="E647" t="inlineStr">
        <is>
          <t>ranr_rate</t>
        </is>
      </c>
      <c r="F647" t="inlineStr">
        <is>
          <t>Profit after losses: RANR per booked dollar</t>
        </is>
      </c>
      <c r="G647" t="n">
        <v>207</v>
      </c>
      <c r="H647" t="n">
        <v>6569722.119999999</v>
      </c>
      <c r="I647" t="b">
        <v>0</v>
      </c>
      <c r="J647" t="b">
        <v>0</v>
      </c>
      <c r="K647" t="n">
        <v>-0.08599946194248259</v>
      </c>
      <c r="L647" t="n">
        <v>0.00034996500349965</v>
      </c>
      <c r="M647" t="n">
        <v>-0.002946663368709114</v>
      </c>
      <c r="N647" t="n">
        <v>0.8774192348207039</v>
      </c>
      <c r="O647" t="n">
        <v>564992.5674316259</v>
      </c>
      <c r="P647" t="n">
        <v>19358.75951360201</v>
      </c>
      <c r="Q647">
        <f>'_live'!$C$23</f>
        <v/>
      </c>
      <c r="R647" t="inlineStr">
        <is>
          <t>shuffled: 0 of 10,000</t>
        </is>
      </c>
      <c r="S647" t="inlineStr">
        <is>
          <t>shuffled: 7,354 of 10,000</t>
        </is>
      </c>
      <c r="T647" t="n">
        <v>0.1301793625072876</v>
      </c>
      <c r="U647" t="n">
        <v>0.04712656393351412</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0.044179900564805</v>
      </c>
      <c r="AI647">
        <f>IF($Y647="worse","Yes",IF($Y647="worse, not significant","Not sure",IF(OR($Y647="too few losses to test",$Y647="too few loans to test"),"Too few losses",IF($Y647="","","No"))))</f>
        <v/>
      </c>
      <c r="AJ647">
        <f>IF($AA647="yes","Yes",IF($AA647="","","No"))</f>
        <v/>
      </c>
    </row>
    <row r="648">
      <c r="A648" t="inlineStr">
        <is>
          <t>three-way</t>
        </is>
      </c>
      <c r="B648" t="inlineStr">
        <is>
          <t>FICO x ASSET_CLASS / REV_DEBT</t>
        </is>
      </c>
      <c r="C648" t="inlineStr">
        <is>
          <t>746 - 921</t>
        </is>
      </c>
      <c r="D648" t="inlineStr">
        <is>
          <t>1 / REV_DEBT low half</t>
        </is>
      </c>
      <c r="E648" t="inlineStr">
        <is>
          <t>contribution_rate</t>
        </is>
      </c>
      <c r="F648" t="inlineStr">
        <is>
          <t>Contribution before losses per booked dollar</t>
        </is>
      </c>
      <c r="G648" t="n">
        <v>207</v>
      </c>
      <c r="H648" t="n">
        <v>6569722.119999999</v>
      </c>
      <c r="I648" t="b">
        <v>0</v>
      </c>
      <c r="J648" t="b">
        <v>0</v>
      </c>
      <c r="K648" t="n">
        <v>-0.1074517776669045</v>
      </c>
      <c r="L648" t="n">
        <v>0.0001884426941921192</v>
      </c>
      <c r="M648" t="n">
        <v>-0.001465833409540124</v>
      </c>
      <c r="N648" t="n">
        <v>0.8189950235745658</v>
      </c>
      <c r="O648" t="n">
        <v>705928.3205715845</v>
      </c>
      <c r="P648" t="n">
        <v>9630.118174890813</v>
      </c>
      <c r="Q648">
        <f>'_live'!$C$24</f>
        <v/>
      </c>
      <c r="R648" t="inlineStr">
        <is>
          <t>shuffled: 0 of 10,000</t>
        </is>
      </c>
      <c r="S648" t="inlineStr">
        <is>
          <t>shuffled: 5,657 of 10,000</t>
        </is>
      </c>
      <c r="T648" t="n">
        <v>0.1723283070261097</v>
      </c>
      <c r="U648" t="n">
        <v>0.06634236276874535</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0.06487652935920522</v>
      </c>
      <c r="AI648">
        <f>IF($Y648="worse","Yes",IF($Y648="worse, not significant","Not sure",IF(OR($Y648="too few losses to test",$Y648="too few loans to test"),"Too few losses",IF($Y648="","","No"))))</f>
        <v/>
      </c>
      <c r="AJ648">
        <f>IF($AA648="yes","Yes",IF($AA648="","","No"))</f>
        <v/>
      </c>
    </row>
    <row r="649">
      <c r="A649" t="inlineStr">
        <is>
          <t>three-way</t>
        </is>
      </c>
      <c r="B649" t="inlineStr">
        <is>
          <t>FICO x ASSET_CLASS / REV_DEBT</t>
        </is>
      </c>
      <c r="C649" t="inlineStr">
        <is>
          <t>496 - 653</t>
        </is>
      </c>
      <c r="D649" t="inlineStr">
        <is>
          <t>4 / REV_DEBT low half</t>
        </is>
      </c>
      <c r="E649" t="inlineStr">
        <is>
          <t>outcome_loans</t>
        </is>
      </c>
      <c r="F649" t="inlineStr">
        <is>
          <t>Outcome, share of loans</t>
        </is>
      </c>
      <c r="G649" t="n">
        <v>196</v>
      </c>
      <c r="H649" t="n">
        <v>196</v>
      </c>
      <c r="I649" t="b">
        <v>0</v>
      </c>
      <c r="J649" t="b">
        <v>0</v>
      </c>
      <c r="K649" t="n">
        <v>1.745517431255807</v>
      </c>
      <c r="L649" t="n">
        <v>0.01347436791199526</v>
      </c>
      <c r="M649" t="n">
        <v>0.8667091836734694</v>
      </c>
      <c r="N649" t="n">
        <v>0.5749913783450302</v>
      </c>
      <c r="O649" t="n">
        <v>11.10470331923619</v>
      </c>
      <c r="P649" t="n">
        <v>-3.99852832965416</v>
      </c>
      <c r="Q649">
        <f>'_live'!$C$20</f>
        <v/>
      </c>
      <c r="R649" t="inlineStr">
        <is>
          <t>z test</t>
        </is>
      </c>
      <c r="S649" t="inlineStr">
        <is>
          <t>z test</t>
        </is>
      </c>
      <c r="T649" t="n">
        <v>0.07599641163655005</v>
      </c>
      <c r="U649" t="n">
        <v>0.1530537159676233</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0.1326530612244898</v>
      </c>
      <c r="AI649">
        <f>IF($Y649="worse","Yes",IF($Y649="worse, not significant","Not sure",IF(OR($Y649="too few losses to test",$Y649="too few loans to test"),"Too few losses",IF($Y649="","","No"))))</f>
        <v/>
      </c>
      <c r="AJ649">
        <f>IF($AA649="yes","Yes",IF($AA649="","","No"))</f>
        <v/>
      </c>
    </row>
    <row r="650">
      <c r="A650" t="inlineStr">
        <is>
          <t>three-way</t>
        </is>
      </c>
      <c r="B650" t="inlineStr">
        <is>
          <t>FICO x ASSET_CLASS / REV_DEBT</t>
        </is>
      </c>
      <c r="C650" t="inlineStr">
        <is>
          <t>496 - 653</t>
        </is>
      </c>
      <c r="D650" t="inlineStr">
        <is>
          <t>4 / REV_DEBT low half</t>
        </is>
      </c>
      <c r="E650" t="inlineStr">
        <is>
          <t>outcome_booked</t>
        </is>
      </c>
      <c r="F650" t="inlineStr">
        <is>
          <t>Outcome, share of booked dollars</t>
        </is>
      </c>
      <c r="G650" t="n">
        <v>196</v>
      </c>
      <c r="H650" t="n">
        <v>6172797.81</v>
      </c>
      <c r="I650" t="b">
        <v>0</v>
      </c>
      <c r="J650" t="b">
        <v>0</v>
      </c>
      <c r="K650" t="n">
        <v>1.976401371409393</v>
      </c>
      <c r="L650" t="n">
        <v>0.006719328067193281</v>
      </c>
      <c r="M650" t="n">
        <v>0.9646638926331998</v>
      </c>
      <c r="N650" t="n">
        <v>0.8993883220373615</v>
      </c>
      <c r="O650" t="n">
        <v>440709.0550698698</v>
      </c>
      <c r="P650" t="n">
        <v>-32676.94313530647</v>
      </c>
      <c r="Q650">
        <f>'_live'!$C$21</f>
        <v/>
      </c>
      <c r="R650" t="inlineStr">
        <is>
          <t>shuffled: 13 of 10,000</t>
        </is>
      </c>
      <c r="S650" t="inlineStr">
        <is>
          <t>shuffled: 8,619 of 10,000</t>
        </is>
      </c>
      <c r="T650" t="n">
        <v>0.07312090219428879</v>
      </c>
      <c r="U650" t="n">
        <v>0.1498099519211867</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0.1445162513754845</v>
      </c>
      <c r="AI650">
        <f>IF($Y650="worse","Yes",IF($Y650="worse, not significant","Not sure",IF(OR($Y650="too few losses to test",$Y650="too few loans to test"),"Too few losses",IF($Y650="","","No"))))</f>
        <v/>
      </c>
      <c r="AJ650">
        <f>IF($AA650="yes","Yes",IF($AA650="","","No"))</f>
        <v/>
      </c>
    </row>
    <row r="651">
      <c r="A651" t="inlineStr">
        <is>
          <t>three-way</t>
        </is>
      </c>
      <c r="B651" t="inlineStr">
        <is>
          <t>FICO x ASSET_CLASS / REV_DEBT</t>
        </is>
      </c>
      <c r="C651" t="inlineStr">
        <is>
          <t>496 - 653</t>
        </is>
      </c>
      <c r="D651" t="inlineStr">
        <is>
          <t>4 / REV_DEBT low half</t>
        </is>
      </c>
      <c r="E651" t="inlineStr">
        <is>
          <t>gco_rate</t>
        </is>
      </c>
      <c r="F651" t="inlineStr">
        <is>
          <t>GCO per booked dollar</t>
        </is>
      </c>
      <c r="G651" t="n">
        <v>196</v>
      </c>
      <c r="H651" t="n">
        <v>6172797.81</v>
      </c>
      <c r="I651" t="b">
        <v>0</v>
      </c>
      <c r="J651" t="b">
        <v>0</v>
      </c>
      <c r="K651" t="n">
        <v>1.991167872719395</v>
      </c>
      <c r="L651" t="n">
        <v>0.00623937606239376</v>
      </c>
      <c r="M651" t="n">
        <v>0.965651919324663</v>
      </c>
      <c r="N651" t="n">
        <v>0.9349065093490651</v>
      </c>
      <c r="O651" t="n">
        <v>248656.566944116</v>
      </c>
      <c r="P651" t="n">
        <v>-17768.1601238047</v>
      </c>
      <c r="Q651">
        <f>'_live'!$C$22</f>
        <v/>
      </c>
      <c r="R651" t="inlineStr">
        <is>
          <t>shuffled: 12 of 10,000</t>
        </is>
      </c>
      <c r="S651" t="inlineStr">
        <is>
          <t>shuffled: 8,654 of 10,000</t>
        </is>
      </c>
      <c r="T651" t="n">
        <v>0.04064158762003644</v>
      </c>
      <c r="U651" t="n">
        <v>0.08380268494875662</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0.08092422356532687</v>
      </c>
      <c r="AI651">
        <f>IF($Y651="worse","Yes",IF($Y651="worse, not significant","Not sure",IF(OR($Y651="too few losses to test",$Y651="too few loans to test"),"Too few losses",IF($Y651="","","No"))))</f>
        <v/>
      </c>
      <c r="AJ651">
        <f>IF($AA651="yes","Yes",IF($AA651="","","No"))</f>
        <v/>
      </c>
    </row>
    <row r="652">
      <c r="A652" t="inlineStr">
        <is>
          <t>three-way</t>
        </is>
      </c>
      <c r="B652" t="inlineStr">
        <is>
          <t>FICO x ASSET_CLASS / REV_DEBT</t>
        </is>
      </c>
      <c r="C652" t="inlineStr">
        <is>
          <t>496 - 653</t>
        </is>
      </c>
      <c r="D652" t="inlineStr">
        <is>
          <t>4 / REV_DEBT low half</t>
        </is>
      </c>
      <c r="E652" t="inlineStr">
        <is>
          <t>ranr_rate</t>
        </is>
      </c>
      <c r="F652" t="inlineStr">
        <is>
          <t>Profit after losses: RANR per booked dollar</t>
        </is>
      </c>
      <c r="G652" t="n">
        <v>196</v>
      </c>
      <c r="H652" t="n">
        <v>6172797.81</v>
      </c>
      <c r="I652" t="b">
        <v>0</v>
      </c>
      <c r="J652" t="b">
        <v>0</v>
      </c>
      <c r="K652" t="n">
        <v>0.05171126200775483</v>
      </c>
      <c r="L652" t="n">
        <v>0.0020174453142921</v>
      </c>
      <c r="M652" t="n">
        <v>-0.01332856310809669</v>
      </c>
      <c r="N652" t="n">
        <v>0.8566315782214883</v>
      </c>
      <c r="O652" t="n">
        <v>-319203.1648738051</v>
      </c>
      <c r="P652" t="n">
        <v>82274.52516410616</v>
      </c>
      <c r="Q652">
        <f>'_live'!$C$23</f>
        <v/>
      </c>
      <c r="R652" t="inlineStr">
        <is>
          <t>shuffled: 6 of 10,000</t>
        </is>
      </c>
      <c r="S652" t="inlineStr">
        <is>
          <t>shuffled: 5,175 of 10,000</t>
        </is>
      </c>
      <c r="T652" t="n">
        <v>0.1267531562201282</v>
      </c>
      <c r="U652" t="n">
        <v>0.1917929813359797</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0.1784644182278831</v>
      </c>
      <c r="AI652">
        <f>IF($Y652="worse","Yes",IF($Y652="worse, not significant","Not sure",IF(OR($Y652="too few losses to test",$Y652="too few loans to test"),"Too few losses",IF($Y652="","","No"))))</f>
        <v/>
      </c>
      <c r="AJ652">
        <f>IF($AA652="yes","Yes",IF($AA652="","","No"))</f>
        <v/>
      </c>
    </row>
    <row r="653">
      <c r="A653" t="inlineStr">
        <is>
          <t>three-way</t>
        </is>
      </c>
      <c r="B653" t="inlineStr">
        <is>
          <t>FICO x ASSET_CLASS / REV_DEBT</t>
        </is>
      </c>
      <c r="C653" t="inlineStr">
        <is>
          <t>496 - 653</t>
        </is>
      </c>
      <c r="D653" t="inlineStr">
        <is>
          <t>4 / REV_DEBT low half</t>
        </is>
      </c>
      <c r="E653" t="inlineStr">
        <is>
          <t>contribution_rate</t>
        </is>
      </c>
      <c r="F653" t="inlineStr">
        <is>
          <t>Contribution before losses per booked dollar</t>
        </is>
      </c>
      <c r="G653" t="n">
        <v>196</v>
      </c>
      <c r="H653" t="n">
        <v>6172797.81</v>
      </c>
      <c r="I653" t="b">
        <v>0</v>
      </c>
      <c r="J653" t="b">
        <v>0</v>
      </c>
      <c r="K653" t="n">
        <v>0.09199702217227304</v>
      </c>
      <c r="L653" t="n">
        <v>0.0001884426941921192</v>
      </c>
      <c r="M653" t="n">
        <v>-0.01620702449152667</v>
      </c>
      <c r="N653" t="n">
        <v>0.7636569676365697</v>
      </c>
      <c r="O653" t="n">
        <v>-567879.0169915286</v>
      </c>
      <c r="P653" t="n">
        <v>100042.6852879119</v>
      </c>
      <c r="Q653">
        <f>'_live'!$C$24</f>
        <v/>
      </c>
      <c r="R653" t="inlineStr">
        <is>
          <t>shuffled: 0 of 10,000</t>
        </is>
      </c>
      <c r="S653" t="inlineStr">
        <is>
          <t>shuffled: 1,930 of 10,000</t>
        </is>
      </c>
      <c r="T653" t="n">
        <v>0.1673916196209367</v>
      </c>
      <c r="U653" t="n">
        <v>0.2755956662847364</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0.2593886417932098</v>
      </c>
      <c r="AI653">
        <f>IF($Y653="worse","Yes",IF($Y653="worse, not significant","Not sure",IF(OR($Y653="too few losses to test",$Y653="too few loans to test"),"Too few losses",IF($Y653="","","No"))))</f>
        <v/>
      </c>
      <c r="AJ653">
        <f>IF($AA653="yes","Yes",IF($AA653="","","No"))</f>
        <v/>
      </c>
    </row>
    <row r="654">
      <c r="A654" t="inlineStr">
        <is>
          <t>three-way</t>
        </is>
      </c>
      <c r="B654" t="inlineStr">
        <is>
          <t>FICO x ASSET_CLASS / REV_DEBT</t>
        </is>
      </c>
      <c r="C654" t="inlineStr">
        <is>
          <t>746 - 921</t>
        </is>
      </c>
      <c r="D654" t="inlineStr">
        <is>
          <t>1 / REV_DEBT high half</t>
        </is>
      </c>
      <c r="E654" t="inlineStr">
        <is>
          <t>outcome_loans</t>
        </is>
      </c>
      <c r="F654" t="inlineStr">
        <is>
          <t>Outcome, share of loans</t>
        </is>
      </c>
      <c r="G654" t="n">
        <v>207</v>
      </c>
      <c r="H654" t="n">
        <v>207</v>
      </c>
      <c r="I654" t="b">
        <v>1</v>
      </c>
      <c r="J654" t="b">
        <v>0</v>
      </c>
      <c r="K654" t="n">
        <v>0.4305516087272268</v>
      </c>
      <c r="M654" t="n">
        <v>0.8386473429951691</v>
      </c>
      <c r="O654" t="n">
        <v>-9.258213552361397</v>
      </c>
      <c r="P654" t="n">
        <v>-1.346774193548386</v>
      </c>
      <c r="Q654">
        <f>'_live'!$C$20</f>
        <v/>
      </c>
      <c r="T654" t="n">
        <v>0.07854209445585215</v>
      </c>
      <c r="U654" t="n">
        <v>0.04032258064516129</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0.03381642512077294</v>
      </c>
      <c r="AI654">
        <f>IF($Y654="worse","Yes",IF($Y654="worse, not significant","Not sure",IF(OR($Y654="too few losses to test",$Y654="too few loans to test"),"Too few losses",IF($Y654="","","No"))))</f>
        <v/>
      </c>
      <c r="AJ654">
        <f>IF($AA654="yes","Yes",IF($AA654="","","No"))</f>
        <v/>
      </c>
    </row>
    <row r="655">
      <c r="A655" t="inlineStr">
        <is>
          <t>three-way</t>
        </is>
      </c>
      <c r="B655" t="inlineStr">
        <is>
          <t>FICO x ASSET_CLASS / REV_DEBT</t>
        </is>
      </c>
      <c r="C655" t="inlineStr">
        <is>
          <t>746 - 921</t>
        </is>
      </c>
      <c r="D655" t="inlineStr">
        <is>
          <t>1 / REV_DEBT high half</t>
        </is>
      </c>
      <c r="E655" t="inlineStr">
        <is>
          <t>outcome_booked</t>
        </is>
      </c>
      <c r="F655" t="inlineStr">
        <is>
          <t>Outcome, share of booked dollars</t>
        </is>
      </c>
      <c r="G655" t="n">
        <v>207</v>
      </c>
      <c r="H655" t="n">
        <v>6769291.740000004</v>
      </c>
      <c r="I655" t="b">
        <v>1</v>
      </c>
      <c r="J655" t="b">
        <v>0</v>
      </c>
      <c r="K655" t="n">
        <v>0.3669885417315386</v>
      </c>
      <c r="M655" t="n">
        <v>0.7308791684804967</v>
      </c>
      <c r="O655" t="n">
        <v>-326059.3934524283</v>
      </c>
      <c r="P655" t="n">
        <v>-69604.83077059011</v>
      </c>
      <c r="Q655">
        <f>'_live'!$C$21</f>
        <v/>
      </c>
      <c r="T655" t="n">
        <v>0.07609251059586154</v>
      </c>
      <c r="U655" t="n">
        <v>0.03820751870425221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0.02792507950026688</v>
      </c>
      <c r="AI655">
        <f>IF($Y655="worse","Yes",IF($Y655="worse, not significant","Not sure",IF(OR($Y655="too few losses to test",$Y655="too few loans to test"),"Too few losses",IF($Y655="","","No"))))</f>
        <v/>
      </c>
      <c r="AJ655">
        <f>IF($AA655="yes","Yes",IF($AA655="","","No"))</f>
        <v/>
      </c>
    </row>
    <row r="656">
      <c r="A656" t="inlineStr">
        <is>
          <t>three-way</t>
        </is>
      </c>
      <c r="B656" t="inlineStr">
        <is>
          <t>FICO x ASSET_CLASS / REV_DEBT</t>
        </is>
      </c>
      <c r="C656" t="inlineStr">
        <is>
          <t>746 - 921</t>
        </is>
      </c>
      <c r="D656" t="inlineStr">
        <is>
          <t>1 / REV_DEBT high half</t>
        </is>
      </c>
      <c r="E656" t="inlineStr">
        <is>
          <t>gco_rate</t>
        </is>
      </c>
      <c r="F656" t="inlineStr">
        <is>
          <t>GCO per booked dollar</t>
        </is>
      </c>
      <c r="G656" t="n">
        <v>207</v>
      </c>
      <c r="H656" t="n">
        <v>6769291.740000004</v>
      </c>
      <c r="I656" t="b">
        <v>1</v>
      </c>
      <c r="J656" t="b">
        <v>0</v>
      </c>
      <c r="K656" t="n">
        <v>0.3853643932281511</v>
      </c>
      <c r="M656" t="n">
        <v>0.8193103157935039</v>
      </c>
      <c r="O656" t="n">
        <v>-175941.8706463712</v>
      </c>
      <c r="P656" t="n">
        <v>-24328.08975443852</v>
      </c>
      <c r="Q656">
        <f>'_live'!$C$22</f>
        <v/>
      </c>
      <c r="T656" t="n">
        <v>0.04228713455425265</v>
      </c>
      <c r="U656" t="n">
        <v>0.01988984592861386</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0.01629595594885676</v>
      </c>
      <c r="AI656">
        <f>IF($Y656="worse","Yes",IF($Y656="worse, not significant","Not sure",IF(OR($Y656="too few losses to test",$Y656="too few loans to test"),"Too few losses",IF($Y656="","","No"))))</f>
        <v/>
      </c>
      <c r="AJ656">
        <f>IF($AA656="yes","Yes",IF($AA656="","","No"))</f>
        <v/>
      </c>
    </row>
    <row r="657">
      <c r="A657" t="inlineStr">
        <is>
          <t>three-way</t>
        </is>
      </c>
      <c r="B657" t="inlineStr">
        <is>
          <t>FICO x ASSET_CLASS / REV_DEBT</t>
        </is>
      </c>
      <c r="C657" t="inlineStr">
        <is>
          <t>746 - 921</t>
        </is>
      </c>
      <c r="D657" t="inlineStr">
        <is>
          <t>1 / REV_DEBT high half</t>
        </is>
      </c>
      <c r="E657" t="inlineStr">
        <is>
          <t>ranr_rate</t>
        </is>
      </c>
      <c r="F657" t="inlineStr">
        <is>
          <t>Profit after losses: RANR per booked dollar</t>
        </is>
      </c>
      <c r="G657" t="n">
        <v>207</v>
      </c>
      <c r="H657" t="n">
        <v>6769291.740000004</v>
      </c>
      <c r="I657" t="b">
        <v>0</v>
      </c>
      <c r="J657" t="b">
        <v>0</v>
      </c>
      <c r="K657" t="n">
        <v>-0.07643629419257694</v>
      </c>
      <c r="L657" t="n">
        <v>0.00034996500349965</v>
      </c>
      <c r="M657" t="n">
        <v>0.007869662733141027</v>
      </c>
      <c r="N657" t="n">
        <v>0.7651234876512348</v>
      </c>
      <c r="O657" t="n">
        <v>517419.5749140214</v>
      </c>
      <c r="P657" t="n">
        <v>-53272.04293603741</v>
      </c>
      <c r="Q657">
        <f>'_live'!$C$23</f>
        <v/>
      </c>
      <c r="R657" t="inlineStr">
        <is>
          <t>shuffled: 0 of 10,000</t>
        </is>
      </c>
      <c r="S657" t="inlineStr">
        <is>
          <t>shuffled: 3,605 of 10,000</t>
        </is>
      </c>
      <c r="T657" t="n">
        <v>0.1299950199685176</v>
      </c>
      <c r="U657" t="n">
        <v>0.04568906304279959</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0.05355872577594062</v>
      </c>
      <c r="AI657">
        <f>IF($Y657="worse","Yes",IF($Y657="worse, not significant","Not sure",IF(OR($Y657="too few losses to test",$Y657="too few loans to test"),"Too few losses",IF($Y657="","","No"))))</f>
        <v/>
      </c>
      <c r="AJ657">
        <f>IF($AA657="yes","Yes",IF($AA657="","","No"))</f>
        <v/>
      </c>
    </row>
    <row r="658">
      <c r="A658" t="inlineStr">
        <is>
          <t>three-way</t>
        </is>
      </c>
      <c r="B658" t="inlineStr">
        <is>
          <t>FICO x ASSET_CLASS / REV_DEBT</t>
        </is>
      </c>
      <c r="C658" t="inlineStr">
        <is>
          <t>746 - 921</t>
        </is>
      </c>
      <c r="D658" t="inlineStr">
        <is>
          <t>1 / REV_DEBT high half</t>
        </is>
      </c>
      <c r="E658" t="inlineStr">
        <is>
          <t>contribution_rate</t>
        </is>
      </c>
      <c r="F658" t="inlineStr">
        <is>
          <t>Contribution before losses per booked dollar</t>
        </is>
      </c>
      <c r="G658" t="n">
        <v>207</v>
      </c>
      <c r="H658" t="n">
        <v>6769291.740000004</v>
      </c>
      <c r="I658" t="b">
        <v>0</v>
      </c>
      <c r="J658" t="b">
        <v>0</v>
      </c>
      <c r="K658" t="n">
        <v>-0.1024248531883314</v>
      </c>
      <c r="L658" t="n">
        <v>0.0001884426941921192</v>
      </c>
      <c r="M658" t="n">
        <v>0.004275772753383866</v>
      </c>
      <c r="N658" t="n">
        <v>0.7097956870979569</v>
      </c>
      <c r="O658" t="n">
        <v>693343.712658485</v>
      </c>
      <c r="P658" t="n">
        <v>-28943.95318159851</v>
      </c>
      <c r="Q658">
        <f>'_live'!$C$24</f>
        <v/>
      </c>
      <c r="R658" t="inlineStr">
        <is>
          <t>shuffled: 0 of 10,000</t>
        </is>
      </c>
      <c r="S658" t="inlineStr">
        <is>
          <t>shuffled: 925 of 10,000</t>
        </is>
      </c>
      <c r="T658" t="n">
        <v>0.1722795349131288</v>
      </c>
      <c r="U658" t="n">
        <v>0.06557890897141347</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0.06985468172479734</v>
      </c>
      <c r="AI658">
        <f>IF($Y658="worse","Yes",IF($Y658="worse, not significant","Not sure",IF(OR($Y658="too few losses to test",$Y658="too few loans to test"),"Too few losses",IF($Y658="","","No"))))</f>
        <v/>
      </c>
      <c r="AJ658">
        <f>IF($AA658="yes","Yes",IF($AA658="","","No"))</f>
        <v/>
      </c>
    </row>
    <row r="659">
      <c r="A659" t="inlineStr">
        <is>
          <t>three-way</t>
        </is>
      </c>
      <c r="B659" t="inlineStr">
        <is>
          <t>FICO x ASSET_CLASS / REV_DEBT</t>
        </is>
      </c>
      <c r="C659" t="inlineStr">
        <is>
          <t>686 - 711</t>
        </is>
      </c>
      <c r="D659" t="inlineStr">
        <is>
          <t>4 / REV_DEBT low half</t>
        </is>
      </c>
      <c r="E659" t="inlineStr">
        <is>
          <t>outcome_loans</t>
        </is>
      </c>
      <c r="F659" t="inlineStr">
        <is>
          <t>Outcome, share of loans</t>
        </is>
      </c>
      <c r="G659" t="n">
        <v>204</v>
      </c>
      <c r="H659" t="n">
        <v>204</v>
      </c>
      <c r="I659" t="b">
        <v>0</v>
      </c>
      <c r="J659" t="b">
        <v>0</v>
      </c>
      <c r="K659" t="n">
        <v>0.6274348819987765</v>
      </c>
      <c r="L659" t="n">
        <v>0.2989345108695579</v>
      </c>
      <c r="M659" t="n">
        <v>0.7740538075695395</v>
      </c>
      <c r="N659" t="n">
        <v>0.5700393263949008</v>
      </c>
      <c r="O659" t="n">
        <v>-5.937908915971777</v>
      </c>
      <c r="P659" t="n">
        <v>-2.91899852724595</v>
      </c>
      <c r="Q659">
        <f>'_live'!$C$20</f>
        <v/>
      </c>
      <c r="R659" t="inlineStr">
        <is>
          <t>z test</t>
        </is>
      </c>
      <c r="S659" t="inlineStr">
        <is>
          <t>z test</t>
        </is>
      </c>
      <c r="T659" t="n">
        <v>0.07812700449005773</v>
      </c>
      <c r="U659" t="n">
        <v>0.06332842415316642</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0.04901960784313725</v>
      </c>
      <c r="AI659">
        <f>IF($Y659="worse","Yes",IF($Y659="worse, not significant","Not sure",IF(OR($Y659="too few losses to test",$Y659="too few loans to test"),"Too few losses",IF($Y659="","","No"))))</f>
        <v/>
      </c>
      <c r="AJ659">
        <f>IF($AA659="yes","Yes",IF($AA659="","","No"))</f>
        <v/>
      </c>
    </row>
    <row r="660">
      <c r="A660" t="inlineStr">
        <is>
          <t>three-way</t>
        </is>
      </c>
      <c r="B660" t="inlineStr">
        <is>
          <t>FICO x ASSET_CLASS / REV_DEBT</t>
        </is>
      </c>
      <c r="C660" t="inlineStr">
        <is>
          <t>686 - 711</t>
        </is>
      </c>
      <c r="D660" t="inlineStr">
        <is>
          <t>4 / REV_DEBT low half</t>
        </is>
      </c>
      <c r="E660" t="inlineStr">
        <is>
          <t>outcome_booked</t>
        </is>
      </c>
      <c r="F660" t="inlineStr">
        <is>
          <t>Outcome, share of booked dollars</t>
        </is>
      </c>
      <c r="G660" t="n">
        <v>204</v>
      </c>
      <c r="H660" t="n">
        <v>6929823.75</v>
      </c>
      <c r="I660" t="b">
        <v>0</v>
      </c>
      <c r="J660" t="b">
        <v>0</v>
      </c>
      <c r="K660" t="n">
        <v>0.4076075509274758</v>
      </c>
      <c r="L660" t="n">
        <v>0.09941862956561487</v>
      </c>
      <c r="M660" t="n">
        <v>0.5086940998073995</v>
      </c>
      <c r="N660" t="n">
        <v>0.2535019225350192</v>
      </c>
      <c r="O660" t="n">
        <v>-312151.8285040078</v>
      </c>
      <c r="P660" t="n">
        <v>-207440.6521565423</v>
      </c>
      <c r="Q660">
        <f>'_live'!$C$21</f>
        <v/>
      </c>
      <c r="R660" t="inlineStr">
        <is>
          <t>shuffled: 289 of 10,000</t>
        </is>
      </c>
      <c r="S660" t="inlineStr">
        <is>
          <t>shuffled: 1,161 of 10,000</t>
        </is>
      </c>
      <c r="T660" t="n">
        <v>0.07603861187725126</v>
      </c>
      <c r="U660" t="n">
        <v>0.06092838972369857</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0.03099391236321126</v>
      </c>
      <c r="AI660">
        <f>IF($Y660="worse","Yes",IF($Y660="worse, not significant","Not sure",IF(OR($Y660="too few losses to test",$Y660="too few loans to test"),"Too few losses",IF($Y660="","","No"))))</f>
        <v/>
      </c>
      <c r="AJ660">
        <f>IF($AA660="yes","Yes",IF($AA660="","","No"))</f>
        <v/>
      </c>
    </row>
    <row r="661">
      <c r="A661" t="inlineStr">
        <is>
          <t>three-way</t>
        </is>
      </c>
      <c r="B661" t="inlineStr">
        <is>
          <t>FICO x ASSET_CLASS / REV_DEBT</t>
        </is>
      </c>
      <c r="C661" t="inlineStr">
        <is>
          <t>686 - 711</t>
        </is>
      </c>
      <c r="D661" t="inlineStr">
        <is>
          <t>4 / REV_DEBT low half</t>
        </is>
      </c>
      <c r="E661" t="inlineStr">
        <is>
          <t>gco_rate</t>
        </is>
      </c>
      <c r="F661" t="inlineStr">
        <is>
          <t>GCO per booked dollar</t>
        </is>
      </c>
      <c r="G661" t="n">
        <v>204</v>
      </c>
      <c r="H661" t="n">
        <v>6929823.75</v>
      </c>
      <c r="I661" t="b">
        <v>0</v>
      </c>
      <c r="J661" t="b">
        <v>0</v>
      </c>
      <c r="K661" t="n">
        <v>0.4105396365222374</v>
      </c>
      <c r="L661" t="n">
        <v>0.124101875526733</v>
      </c>
      <c r="M661" t="n">
        <v>0.5143745606949561</v>
      </c>
      <c r="N661" t="n">
        <v>0.287971202879712</v>
      </c>
      <c r="O661" t="n">
        <v>-172685.3188317876</v>
      </c>
      <c r="P661" t="n">
        <v>-113547.5714669592</v>
      </c>
      <c r="Q661">
        <f>'_live'!$C$22</f>
        <v/>
      </c>
      <c r="R661" t="inlineStr">
        <is>
          <t>shuffled: 361 of 10,000</t>
        </is>
      </c>
      <c r="S661" t="inlineStr">
        <is>
          <t>shuffled: 1,319 of 10,000</t>
        </is>
      </c>
      <c r="T661" t="n">
        <v>0.04227451366736241</v>
      </c>
      <c r="U661" t="n">
        <v>0.03374071114968245</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0.01735536347515332</v>
      </c>
      <c r="AI661">
        <f>IF($Y661="worse","Yes",IF($Y661="worse, not significant","Not sure",IF(OR($Y661="too few losses to test",$Y661="too few loans to test"),"Too few losses",IF($Y661="","","No"))))</f>
        <v/>
      </c>
      <c r="AJ661">
        <f>IF($AA661="yes","Yes",IF($AA661="","","No"))</f>
        <v/>
      </c>
    </row>
    <row r="662">
      <c r="A662" t="inlineStr">
        <is>
          <t>three-way</t>
        </is>
      </c>
      <c r="B662" t="inlineStr">
        <is>
          <t>FICO x ASSET_CLASS / REV_DEBT</t>
        </is>
      </c>
      <c r="C662" t="inlineStr">
        <is>
          <t>686 - 711</t>
        </is>
      </c>
      <c r="D662" t="inlineStr">
        <is>
          <t>4 / REV_DEBT low half</t>
        </is>
      </c>
      <c r="E662" t="inlineStr">
        <is>
          <t>ranr_rate</t>
        </is>
      </c>
      <c r="F662" t="inlineStr">
        <is>
          <t>Profit after losses: RANR per booked dollar</t>
        </is>
      </c>
      <c r="G662" t="n">
        <v>204</v>
      </c>
      <c r="H662" t="n">
        <v>6929823.75</v>
      </c>
      <c r="I662" t="b">
        <v>0</v>
      </c>
      <c r="J662" t="b">
        <v>0</v>
      </c>
      <c r="K662" t="n">
        <v>0.03700396818222376</v>
      </c>
      <c r="L662" t="n">
        <v>0.02817218278172183</v>
      </c>
      <c r="M662" t="n">
        <v>0.02555305031893965</v>
      </c>
      <c r="N662" t="n">
        <v>0.1987001299870013</v>
      </c>
      <c r="O662" t="n">
        <v>-256430.9775534186</v>
      </c>
      <c r="P662" t="n">
        <v>-177078.1349851331</v>
      </c>
      <c r="Q662">
        <f>'_live'!$C$23</f>
        <v/>
      </c>
      <c r="R662" t="inlineStr">
        <is>
          <t>shuffled: 114 of 10,000</t>
        </is>
      </c>
      <c r="S662" t="inlineStr">
        <is>
          <t>shuffled: 580 of 10,000</t>
        </is>
      </c>
      <c r="T662" t="n">
        <v>0.1269963947418694</v>
      </c>
      <c r="U662" t="n">
        <v>0.1384473126051536</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0.1640003629240932</v>
      </c>
      <c r="AI662">
        <f>IF($Y662="worse","Yes",IF($Y662="worse, not significant","Not sure",IF(OR($Y662="too few losses to test",$Y662="too few loans to test"),"Too few losses",IF($Y662="","","No"))))</f>
        <v/>
      </c>
      <c r="AJ662">
        <f>IF($AA662="yes","Yes",IF($AA662="","","No"))</f>
        <v/>
      </c>
    </row>
    <row r="663">
      <c r="A663" t="inlineStr">
        <is>
          <t>three-way</t>
        </is>
      </c>
      <c r="B663" t="inlineStr">
        <is>
          <t>FICO x ASSET_CLASS / REV_DEBT</t>
        </is>
      </c>
      <c r="C663" t="inlineStr">
        <is>
          <t>686 - 711</t>
        </is>
      </c>
      <c r="D663" t="inlineStr">
        <is>
          <t>4 / REV_DEBT low half</t>
        </is>
      </c>
      <c r="E663" t="inlineStr">
        <is>
          <t>contribution_rate</t>
        </is>
      </c>
      <c r="F663" t="inlineStr">
        <is>
          <t>Contribution before losses per booked dollar</t>
        </is>
      </c>
      <c r="G663" t="n">
        <v>204</v>
      </c>
      <c r="H663" t="n">
        <v>6929823.75</v>
      </c>
      <c r="I663" t="b">
        <v>0</v>
      </c>
      <c r="J663" t="b">
        <v>0</v>
      </c>
      <c r="K663" t="n">
        <v>0.01208791318615254</v>
      </c>
      <c r="L663" t="n">
        <v>0.2822662178226622</v>
      </c>
      <c r="M663" t="n">
        <v>0.009167702644410525</v>
      </c>
      <c r="N663" t="n">
        <v>0.7636569676365697</v>
      </c>
      <c r="O663" t="n">
        <v>-83767.1078853379</v>
      </c>
      <c r="P663" t="n">
        <v>-63530.56351817376</v>
      </c>
      <c r="Q663">
        <f>'_live'!$C$24</f>
        <v/>
      </c>
      <c r="R663" t="inlineStr">
        <is>
          <t>shuffled: 2,073 of 10,000</t>
        </is>
      </c>
      <c r="S663" t="inlineStr">
        <is>
          <t>shuffled: 2,246 of 10,000</t>
        </is>
      </c>
      <c r="T663" t="n">
        <v>0.169267813213094</v>
      </c>
      <c r="U663" t="n">
        <v>0.172188023754836</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0.1813557263992465</v>
      </c>
      <c r="AI663">
        <f>IF($Y663="worse","Yes",IF($Y663="worse, not significant","Not sure",IF(OR($Y663="too few losses to test",$Y663="too few loans to test"),"Too few losses",IF($Y663="","","No"))))</f>
        <v/>
      </c>
      <c r="AJ663">
        <f>IF($AA663="yes","Yes",IF($AA663="","","No"))</f>
        <v/>
      </c>
    </row>
    <row r="664">
      <c r="A664" t="inlineStr">
        <is>
          <t>three-way</t>
        </is>
      </c>
      <c r="B664" t="inlineStr">
        <is>
          <t>FICO x ASSET_CLASS / REV_DEBT</t>
        </is>
      </c>
      <c r="C664" t="inlineStr">
        <is>
          <t>654 - 685</t>
        </is>
      </c>
      <c r="D664" t="inlineStr">
        <is>
          <t>2 / REV_DEBT high half</t>
        </is>
      </c>
      <c r="E664" t="inlineStr">
        <is>
          <t>outcome_loans</t>
        </is>
      </c>
      <c r="F664" t="inlineStr">
        <is>
          <t>Outcome, share of loans</t>
        </is>
      </c>
      <c r="G664" t="n">
        <v>177</v>
      </c>
      <c r="H664" t="n">
        <v>177</v>
      </c>
      <c r="I664" t="b">
        <v>0</v>
      </c>
      <c r="J664" t="b">
        <v>0</v>
      </c>
      <c r="K664" t="n">
        <v>1.172592779979575</v>
      </c>
      <c r="L664" t="n">
        <v>0.6148789106960912</v>
      </c>
      <c r="M664" t="n">
        <v>1.079988105857865</v>
      </c>
      <c r="N664" t="n">
        <v>0.8906052858038503</v>
      </c>
      <c r="O664" t="n">
        <v>2.355024290462795</v>
      </c>
      <c r="P664" t="n">
        <v>1.185022026431719</v>
      </c>
      <c r="Q664">
        <f>'_live'!$C$20</f>
        <v/>
      </c>
      <c r="R664" t="inlineStr">
        <is>
          <t>z test</t>
        </is>
      </c>
      <c r="S664" t="inlineStr">
        <is>
          <t>z test</t>
        </is>
      </c>
      <c r="T664" t="n">
        <v>0.0770902582459729</v>
      </c>
      <c r="U664" t="n">
        <v>0.08370044052863436</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0.0903954802259887</v>
      </c>
      <c r="AI664">
        <f>IF($Y664="worse","Yes",IF($Y664="worse, not significant","Not sure",IF(OR($Y664="too few losses to test",$Y664="too few loans to test"),"Too few losses",IF($Y664="","","No"))))</f>
        <v/>
      </c>
      <c r="AJ664">
        <f>IF($AA664="yes","Yes",IF($AA664="","","No"))</f>
        <v/>
      </c>
    </row>
    <row r="665">
      <c r="A665" t="inlineStr">
        <is>
          <t>three-way</t>
        </is>
      </c>
      <c r="B665" t="inlineStr">
        <is>
          <t>FICO x ASSET_CLASS / REV_DEBT</t>
        </is>
      </c>
      <c r="C665" t="inlineStr">
        <is>
          <t>654 - 685</t>
        </is>
      </c>
      <c r="D665" t="inlineStr">
        <is>
          <t>2 / REV_DEBT high half</t>
        </is>
      </c>
      <c r="E665" t="inlineStr">
        <is>
          <t>outcome_booked</t>
        </is>
      </c>
      <c r="F665" t="inlineStr">
        <is>
          <t>Outcome, share of booked dollars</t>
        </is>
      </c>
      <c r="G665" t="n">
        <v>177</v>
      </c>
      <c r="H665" t="n">
        <v>5399760.349999999</v>
      </c>
      <c r="I665" t="b">
        <v>0</v>
      </c>
      <c r="J665" t="b">
        <v>0</v>
      </c>
      <c r="K665" t="n">
        <v>1.289612409338021</v>
      </c>
      <c r="L665" t="n">
        <v>0.5100989901009899</v>
      </c>
      <c r="M665" t="n">
        <v>1.231553264146694</v>
      </c>
      <c r="N665" t="n">
        <v>0.6618838116188381</v>
      </c>
      <c r="O665" t="n">
        <v>116315.2529018301</v>
      </c>
      <c r="P665" t="n">
        <v>97381.48973429069</v>
      </c>
      <c r="Q665">
        <f>'_live'!$C$21</f>
        <v/>
      </c>
      <c r="R665" t="inlineStr">
        <is>
          <t>shuffled: 3,257 of 10,000</t>
        </is>
      </c>
      <c r="S665" t="inlineStr">
        <is>
          <t>shuffled: 4,412 of 10,000</t>
        </is>
      </c>
      <c r="T665" t="n">
        <v>0.07437808922356527</v>
      </c>
      <c r="U665" t="n">
        <v>0.07788449727508914</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0.0959189068455603</v>
      </c>
      <c r="AI665">
        <f>IF($Y665="worse","Yes",IF($Y665="worse, not significant","Not sure",IF(OR($Y665="too few losses to test",$Y665="too few loans to test"),"Too few losses",IF($Y665="","","No"))))</f>
        <v/>
      </c>
      <c r="AJ665">
        <f>IF($AA665="yes","Yes",IF($AA665="","","No"))</f>
        <v/>
      </c>
    </row>
    <row r="666">
      <c r="A666" t="inlineStr">
        <is>
          <t>three-way</t>
        </is>
      </c>
      <c r="B666" t="inlineStr">
        <is>
          <t>FICO x ASSET_CLASS / REV_DEBT</t>
        </is>
      </c>
      <c r="C666" t="inlineStr">
        <is>
          <t>654 - 685</t>
        </is>
      </c>
      <c r="D666" t="inlineStr">
        <is>
          <t>2 / REV_DEBT high half</t>
        </is>
      </c>
      <c r="E666" t="inlineStr">
        <is>
          <t>gco_rate</t>
        </is>
      </c>
      <c r="F666" t="inlineStr">
        <is>
          <t>GCO per booked dollar</t>
        </is>
      </c>
      <c r="G666" t="n">
        <v>177</v>
      </c>
      <c r="H666" t="n">
        <v>5399760.349999999</v>
      </c>
      <c r="I666" t="b">
        <v>0</v>
      </c>
      <c r="J666" t="b">
        <v>0</v>
      </c>
      <c r="K666" t="n">
        <v>1.343627706729577</v>
      </c>
      <c r="L666" t="n">
        <v>0.4230635759953416</v>
      </c>
      <c r="M666" t="n">
        <v>1.262849534388298</v>
      </c>
      <c r="N666" t="n">
        <v>0.6559344065593441</v>
      </c>
      <c r="O666" t="n">
        <v>76647.69190946058</v>
      </c>
      <c r="P666" t="n">
        <v>62380.01316667534</v>
      </c>
      <c r="Q666">
        <f>'_live'!$C$22</f>
        <v/>
      </c>
      <c r="R666" t="inlineStr">
        <is>
          <t>shuffled: 2,590 of 10,000</t>
        </is>
      </c>
      <c r="S666" t="inlineStr">
        <is>
          <t>shuffled: 4,099 of 10,000</t>
        </is>
      </c>
      <c r="T666" t="n">
        <v>0.04130821437113213</v>
      </c>
      <c r="U666" t="n">
        <v>0.04395049436468505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0.05550286134457802</v>
      </c>
      <c r="AI666">
        <f>IF($Y666="worse","Yes",IF($Y666="worse, not significant","Not sure",IF(OR($Y666="too few losses to test",$Y666="too few loans to test"),"Too few losses",IF($Y666="","","No"))))</f>
        <v/>
      </c>
      <c r="AJ666">
        <f>IF($AA666="yes","Yes",IF($AA666="","","No"))</f>
        <v/>
      </c>
    </row>
    <row r="667">
      <c r="A667" t="inlineStr">
        <is>
          <t>three-way</t>
        </is>
      </c>
      <c r="B667" t="inlineStr">
        <is>
          <t>FICO x ASSET_CLASS / REV_DEBT</t>
        </is>
      </c>
      <c r="C667" t="inlineStr">
        <is>
          <t>654 - 685</t>
        </is>
      </c>
      <c r="D667" t="inlineStr">
        <is>
          <t>2 / REV_DEBT high half</t>
        </is>
      </c>
      <c r="E667" t="inlineStr">
        <is>
          <t>ranr_rate</t>
        </is>
      </c>
      <c r="F667" t="inlineStr">
        <is>
          <t>Profit after losses: RANR per booked dollar</t>
        </is>
      </c>
      <c r="G667" t="n">
        <v>177</v>
      </c>
      <c r="H667" t="n">
        <v>5399760.349999999</v>
      </c>
      <c r="I667" t="b">
        <v>0</v>
      </c>
      <c r="J667" t="b">
        <v>0</v>
      </c>
      <c r="K667" t="n">
        <v>0.02939033588626147</v>
      </c>
      <c r="L667" t="n">
        <v>0.09000581423339148</v>
      </c>
      <c r="M667" t="n">
        <v>-0.007085271411904348</v>
      </c>
      <c r="N667" t="n">
        <v>0.8774192348207039</v>
      </c>
      <c r="O667" t="n">
        <v>-158700.7703918167</v>
      </c>
      <c r="P667" t="n">
        <v>38258.76763898961</v>
      </c>
      <c r="Q667">
        <f>'_live'!$C$23</f>
        <v/>
      </c>
      <c r="R667" t="inlineStr">
        <is>
          <t>shuffled: 495 of 10,000</t>
        </is>
      </c>
      <c r="S667" t="inlineStr">
        <is>
          <t>shuffled: 6,780 of 10,000</t>
        </is>
      </c>
      <c r="T667" t="n">
        <v>0.1273750935276568</v>
      </c>
      <c r="U667" t="n">
        <v>0.1638507008258226</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0.1567654294139183</v>
      </c>
      <c r="AI667">
        <f>IF($Y667="worse","Yes",IF($Y667="worse, not significant","Not sure",IF(OR($Y667="too few losses to test",$Y667="too few loans to test"),"Too few losses",IF($Y667="","","No"))))</f>
        <v/>
      </c>
      <c r="AJ667">
        <f>IF($AA667="yes","Yes",IF($AA667="","","No"))</f>
        <v/>
      </c>
    </row>
    <row r="668">
      <c r="A668" t="inlineStr">
        <is>
          <t>three-way</t>
        </is>
      </c>
      <c r="B668" t="inlineStr">
        <is>
          <t>FICO x ASSET_CLASS / REV_DEBT</t>
        </is>
      </c>
      <c r="C668" t="inlineStr">
        <is>
          <t>654 - 685</t>
        </is>
      </c>
      <c r="D668" t="inlineStr">
        <is>
          <t>2 / REV_DEBT high half</t>
        </is>
      </c>
      <c r="E668" t="inlineStr">
        <is>
          <t>contribution_rate</t>
        </is>
      </c>
      <c r="F668" t="inlineStr">
        <is>
          <t>Contribution before losses per booked dollar</t>
        </is>
      </c>
      <c r="G668" t="n">
        <v>177</v>
      </c>
      <c r="H668" t="n">
        <v>5399760.349999999</v>
      </c>
      <c r="I668" t="b">
        <v>0</v>
      </c>
      <c r="J668" t="b">
        <v>0</v>
      </c>
      <c r="K668" t="n">
        <v>0.04358799982139205</v>
      </c>
      <c r="L668" t="n">
        <v>0.0001884426941921192</v>
      </c>
      <c r="M668" t="n">
        <v>0.004467095567988744</v>
      </c>
      <c r="N668" t="n">
        <v>0.8189950235745658</v>
      </c>
      <c r="O668" t="n">
        <v>-235364.7531713599</v>
      </c>
      <c r="P668" t="n">
        <v>-24121.24552768632</v>
      </c>
      <c r="Q668">
        <f>'_live'!$C$24</f>
        <v/>
      </c>
      <c r="R668" t="inlineStr">
        <is>
          <t>shuffled: 0 of 10,000</t>
        </is>
      </c>
      <c r="S668" t="inlineStr">
        <is>
          <t>shuffled: 6,402 of 10,000</t>
        </is>
      </c>
      <c r="T668" t="n">
        <v>0.1686802909371043</v>
      </c>
      <c r="U668" t="n">
        <v>0.2078011951905076</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0.2122682907584964</v>
      </c>
      <c r="AI668">
        <f>IF($Y668="worse","Yes",IF($Y668="worse, not significant","Not sure",IF(OR($Y668="too few losses to test",$Y668="too few loans to test"),"Too few losses",IF($Y668="","","No"))))</f>
        <v/>
      </c>
      <c r="AJ668">
        <f>IF($AA668="yes","Yes",IF($AA668="","","No"))</f>
        <v/>
      </c>
    </row>
    <row r="669">
      <c r="A669" t="inlineStr">
        <is>
          <t>three-way</t>
        </is>
      </c>
      <c r="B669" t="inlineStr">
        <is>
          <t>FICO x ASSET_CLASS / REV_DEBT</t>
        </is>
      </c>
      <c r="C669" t="inlineStr">
        <is>
          <t>686 - 711</t>
        </is>
      </c>
      <c r="D669" t="inlineStr">
        <is>
          <t>1 / REV_DEBT high half</t>
        </is>
      </c>
      <c r="E669" t="inlineStr">
        <is>
          <t>outcome_loans</t>
        </is>
      </c>
      <c r="F669" t="inlineStr">
        <is>
          <t>Outcome, share of loans</t>
        </is>
      </c>
      <c r="G669" t="n">
        <v>186</v>
      </c>
      <c r="H669" t="n">
        <v>186</v>
      </c>
      <c r="I669" t="b">
        <v>0</v>
      </c>
      <c r="J669" t="b">
        <v>0</v>
      </c>
      <c r="K669" t="n">
        <v>1.114570516592664</v>
      </c>
      <c r="L669" t="n">
        <v>0.6840649149234224</v>
      </c>
      <c r="M669" t="n">
        <v>1.479569892473118</v>
      </c>
      <c r="N669" t="n">
        <v>0.2745432980714561</v>
      </c>
      <c r="O669" t="n">
        <v>1.644694739536668</v>
      </c>
      <c r="P669" t="n">
        <v>5.186046511627907</v>
      </c>
      <c r="Q669">
        <f>'_live'!$C$20</f>
        <v/>
      </c>
      <c r="R669" t="inlineStr">
        <is>
          <t>z test</t>
        </is>
      </c>
      <c r="S669" t="inlineStr">
        <is>
          <t>z test</t>
        </is>
      </c>
      <c r="T669" t="n">
        <v>0.07717906054012544</v>
      </c>
      <c r="U669" t="n">
        <v>0.05813953488372093</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0.08602150537634409</v>
      </c>
      <c r="AI669">
        <f>IF($Y669="worse","Yes",IF($Y669="worse, not significant","Not sure",IF(OR($Y669="too few losses to test",$Y669="too few loans to test"),"Too few losses",IF($Y669="","","No"))))</f>
        <v/>
      </c>
      <c r="AJ669">
        <f>IF($AA669="yes","Yes",IF($AA669="","","No"))</f>
        <v/>
      </c>
    </row>
    <row r="670">
      <c r="A670" t="inlineStr">
        <is>
          <t>three-way</t>
        </is>
      </c>
      <c r="B670" t="inlineStr">
        <is>
          <t>FICO x ASSET_CLASS / REV_DEBT</t>
        </is>
      </c>
      <c r="C670" t="inlineStr">
        <is>
          <t>686 - 711</t>
        </is>
      </c>
      <c r="D670" t="inlineStr">
        <is>
          <t>1 / REV_DEBT high half</t>
        </is>
      </c>
      <c r="E670" t="inlineStr">
        <is>
          <t>outcome_booked</t>
        </is>
      </c>
      <c r="F670" t="inlineStr">
        <is>
          <t>Outcome, share of booked dollars</t>
        </is>
      </c>
      <c r="G670" t="n">
        <v>186</v>
      </c>
      <c r="H670" t="n">
        <v>5940536.829999997</v>
      </c>
      <c r="I670" t="b">
        <v>0</v>
      </c>
      <c r="J670" t="b">
        <v>0</v>
      </c>
      <c r="K670" t="n">
        <v>1.27258131442983</v>
      </c>
      <c r="L670" t="n">
        <v>0.5100989901009899</v>
      </c>
      <c r="M670" t="n">
        <v>1.823893768442028</v>
      </c>
      <c r="N670" t="n">
        <v>0.07972536079725362</v>
      </c>
      <c r="O670" t="n">
        <v>120413.1864172482</v>
      </c>
      <c r="P670" t="n">
        <v>253942.3815523071</v>
      </c>
      <c r="Q670">
        <f>'_live'!$C$21</f>
        <v/>
      </c>
      <c r="R670" t="inlineStr">
        <is>
          <t>shuffled: 3,400 of 10,000</t>
        </is>
      </c>
      <c r="S670" t="inlineStr">
        <is>
          <t>shuffled: 298 of 10,000</t>
        </is>
      </c>
      <c r="T670" t="n">
        <v>0.0743622076967667</v>
      </c>
      <c r="U670" t="n">
        <v>0.05188457664148394</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0.09463195601465538</v>
      </c>
      <c r="AI670">
        <f>IF($Y670="worse","Yes",IF($Y670="worse, not significant","Not sure",IF(OR($Y670="too few losses to test",$Y670="too few loans to test"),"Too few losses",IF($Y670="","","No"))))</f>
        <v/>
      </c>
      <c r="AJ670">
        <f>IF($AA670="yes","Yes",IF($AA670="","","No"))</f>
        <v/>
      </c>
    </row>
    <row r="671">
      <c r="A671" t="inlineStr">
        <is>
          <t>three-way</t>
        </is>
      </c>
      <c r="B671" t="inlineStr">
        <is>
          <t>FICO x ASSET_CLASS / REV_DEBT</t>
        </is>
      </c>
      <c r="C671" t="inlineStr">
        <is>
          <t>686 - 711</t>
        </is>
      </c>
      <c r="D671" t="inlineStr">
        <is>
          <t>1 / REV_DEBT high half</t>
        </is>
      </c>
      <c r="E671" t="inlineStr">
        <is>
          <t>gco_rate</t>
        </is>
      </c>
      <c r="F671" t="inlineStr">
        <is>
          <t>GCO per booked dollar</t>
        </is>
      </c>
      <c r="G671" t="n">
        <v>186</v>
      </c>
      <c r="H671" t="n">
        <v>5940536.829999997</v>
      </c>
      <c r="I671" t="b">
        <v>0</v>
      </c>
      <c r="J671" t="b">
        <v>0</v>
      </c>
      <c r="K671" t="n">
        <v>1.38987358704703</v>
      </c>
      <c r="L671" t="n">
        <v>0.3422426988070424</v>
      </c>
      <c r="M671" t="n">
        <v>2.038451682052987</v>
      </c>
      <c r="N671" t="n">
        <v>0.04679532046795321</v>
      </c>
      <c r="O671" t="n">
        <v>95502.99239294211</v>
      </c>
      <c r="P671" t="n">
        <v>173442.0267621033</v>
      </c>
      <c r="Q671">
        <f>'_live'!$C$22</f>
        <v/>
      </c>
      <c r="R671" t="inlineStr">
        <is>
          <t>shuffled: 1,853 of 10,000</t>
        </is>
      </c>
      <c r="S671" t="inlineStr">
        <is>
          <t>shuffled: 116 of 10,000</t>
        </is>
      </c>
      <c r="T671" t="n">
        <v>0.04123513995738631</v>
      </c>
      <c r="U671" t="n">
        <v>0.02811527611350519</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0.05731163188495881</v>
      </c>
      <c r="AI671">
        <f>IF($Y671="worse","Yes",IF($Y671="worse, not significant","Not sure",IF(OR($Y671="too few losses to test",$Y671="too few loans to test"),"Too few losses",IF($Y671="","","No"))))</f>
        <v/>
      </c>
      <c r="AJ671">
        <f>IF($AA671="yes","Yes",IF($AA671="","","No"))</f>
        <v/>
      </c>
    </row>
    <row r="672">
      <c r="A672" t="inlineStr">
        <is>
          <t>three-way</t>
        </is>
      </c>
      <c r="B672" t="inlineStr">
        <is>
          <t>FICO x ASSET_CLASS / REV_DEBT</t>
        </is>
      </c>
      <c r="C672" t="inlineStr">
        <is>
          <t>686 - 711</t>
        </is>
      </c>
      <c r="D672" t="inlineStr">
        <is>
          <t>1 / REV_DEBT high half</t>
        </is>
      </c>
      <c r="E672" t="inlineStr">
        <is>
          <t>ranr_rate</t>
        </is>
      </c>
      <c r="F672" t="inlineStr">
        <is>
          <t>Profit after losses: RANR per booked dollar</t>
        </is>
      </c>
      <c r="G672" t="n">
        <v>186</v>
      </c>
      <c r="H672" t="n">
        <v>5940536.829999997</v>
      </c>
      <c r="I672" t="b">
        <v>0</v>
      </c>
      <c r="J672" t="b">
        <v>0</v>
      </c>
      <c r="K672" t="n">
        <v>-0.006404525700937524</v>
      </c>
      <c r="L672" t="n">
        <v>0.7262162672621626</v>
      </c>
      <c r="M672" t="n">
        <v>-0.02284558612699639</v>
      </c>
      <c r="N672" t="n">
        <v>0.2862772546274784</v>
      </c>
      <c r="O672" t="n">
        <v>38046.32080510084</v>
      </c>
      <c r="P672" t="n">
        <v>135715.045790359</v>
      </c>
      <c r="Q672">
        <f>'_live'!$C$23</f>
        <v/>
      </c>
      <c r="R672" t="inlineStr">
        <is>
          <t>shuffled: 6,669 of 10,000</t>
        </is>
      </c>
      <c r="S672" t="inlineStr">
        <is>
          <t>shuffled: 1,013 of 10,000</t>
        </is>
      </c>
      <c r="T672" t="n">
        <v>0.1281374768961917</v>
      </c>
      <c r="U672" t="n">
        <v>0.1445785373222506</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0.1217329511952542</v>
      </c>
      <c r="AI672">
        <f>IF($Y672="worse","Yes",IF($Y672="worse, not significant","Not sure",IF(OR($Y672="too few losses to test",$Y672="too few loans to test"),"Too few losses",IF($Y672="","","No"))))</f>
        <v/>
      </c>
      <c r="AJ672">
        <f>IF($AA672="yes","Yes",IF($AA672="","","No"))</f>
        <v/>
      </c>
    </row>
    <row r="673">
      <c r="A673" t="inlineStr">
        <is>
          <t>three-way</t>
        </is>
      </c>
      <c r="B673" t="inlineStr">
        <is>
          <t>FICO x ASSET_CLASS / REV_DEBT</t>
        </is>
      </c>
      <c r="C673" t="inlineStr">
        <is>
          <t>686 - 711</t>
        </is>
      </c>
      <c r="D673" t="inlineStr">
        <is>
          <t>1 / REV_DEBT high half</t>
        </is>
      </c>
      <c r="E673" t="inlineStr">
        <is>
          <t>contribution_rate</t>
        </is>
      </c>
      <c r="F673" t="inlineStr">
        <is>
          <t>Contribution before losses per booked dollar</t>
        </is>
      </c>
      <c r="G673" t="n">
        <v>186</v>
      </c>
      <c r="H673" t="n">
        <v>5940536.829999997</v>
      </c>
      <c r="I673" t="b">
        <v>0</v>
      </c>
      <c r="J673" t="b">
        <v>0</v>
      </c>
      <c r="K673" t="n">
        <v>0.009674869643755996</v>
      </c>
      <c r="L673" t="n">
        <v>0.4185940380320942</v>
      </c>
      <c r="M673" t="n">
        <v>0.006350769644457327</v>
      </c>
      <c r="N673" t="n">
        <v>0.7636569676365697</v>
      </c>
      <c r="O673" t="n">
        <v>-57473.91944418149</v>
      </c>
      <c r="P673" t="n">
        <v>-37726.98097174475</v>
      </c>
      <c r="Q673">
        <f>'_live'!$C$24</f>
        <v/>
      </c>
      <c r="R673" t="inlineStr">
        <is>
          <t>shuffled: 3,331 of 10,000</t>
        </is>
      </c>
      <c r="S673" t="inlineStr">
        <is>
          <t>shuffled: 4,218 of 10,000</t>
        </is>
      </c>
      <c r="T673" t="n">
        <v>0.1693697134364571</v>
      </c>
      <c r="U673" t="n">
        <v>0.1726938134357558</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0.1790445830802131</v>
      </c>
      <c r="AI673">
        <f>IF($Y673="worse","Yes",IF($Y673="worse, not significant","Not sure",IF(OR($Y673="too few losses to test",$Y673="too few loans to test"),"Too few losses",IF($Y673="","","No"))))</f>
        <v/>
      </c>
      <c r="AJ673">
        <f>IF($AA673="yes","Yes",IF($AA673="","","No"))</f>
        <v/>
      </c>
    </row>
    <row r="674">
      <c r="A674" t="inlineStr">
        <is>
          <t>three-way</t>
        </is>
      </c>
      <c r="B674" t="inlineStr">
        <is>
          <t>FICO x ASSET_CLASS / REV_DEBT</t>
        </is>
      </c>
      <c r="C674" t="inlineStr">
        <is>
          <t>746 - 921</t>
        </is>
      </c>
      <c r="D674" t="inlineStr">
        <is>
          <t>4 / REV_DEBT low half</t>
        </is>
      </c>
      <c r="E674" t="inlineStr">
        <is>
          <t>outcome_loans</t>
        </is>
      </c>
      <c r="F674" t="inlineStr">
        <is>
          <t>Outcome, share of loans</t>
        </is>
      </c>
      <c r="G674" t="n">
        <v>187</v>
      </c>
      <c r="H674" t="n">
        <v>187</v>
      </c>
      <c r="I674" t="b">
        <v>1</v>
      </c>
      <c r="J674" t="b">
        <v>0</v>
      </c>
      <c r="K674" t="n">
        <v>0.4088946271078505</v>
      </c>
      <c r="M674" t="n">
        <v>0.7929717341482048</v>
      </c>
      <c r="O674" t="n">
        <v>-8.673707117255505</v>
      </c>
      <c r="P674" t="n">
        <v>-1.566473988439307</v>
      </c>
      <c r="Q674">
        <f>'_live'!$C$20</f>
        <v/>
      </c>
      <c r="T674" t="n">
        <v>0.07846902201740912</v>
      </c>
      <c r="U674" t="n">
        <v>0.04046242774566474</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0.03208556149732621</v>
      </c>
      <c r="AI674">
        <f>IF($Y674="worse","Yes",IF($Y674="worse, not significant","Not sure",IF(OR($Y674="too few losses to test",$Y674="too few loans to test"),"Too few losses",IF($Y674="","","No"))))</f>
        <v/>
      </c>
      <c r="AJ674">
        <f>IF($AA674="yes","Yes",IF($AA674="","","No"))</f>
        <v/>
      </c>
    </row>
    <row r="675">
      <c r="A675" t="inlineStr">
        <is>
          <t>three-way</t>
        </is>
      </c>
      <c r="B675" t="inlineStr">
        <is>
          <t>FICO x ASSET_CLASS / REV_DEBT</t>
        </is>
      </c>
      <c r="C675" t="inlineStr">
        <is>
          <t>746 - 921</t>
        </is>
      </c>
      <c r="D675" t="inlineStr">
        <is>
          <t>4 / REV_DEBT low half</t>
        </is>
      </c>
      <c r="E675" t="inlineStr">
        <is>
          <t>outcome_booked</t>
        </is>
      </c>
      <c r="F675" t="inlineStr">
        <is>
          <t>Outcome, share of booked dollars</t>
        </is>
      </c>
      <c r="G675" t="n">
        <v>187</v>
      </c>
      <c r="H675" t="n">
        <v>5846956.430000003</v>
      </c>
      <c r="I675" t="b">
        <v>1</v>
      </c>
      <c r="J675" t="b">
        <v>0</v>
      </c>
      <c r="K675" t="n">
        <v>0.3396044827936547</v>
      </c>
      <c r="M675" t="n">
        <v>0.6740492480209276</v>
      </c>
      <c r="O675" t="n">
        <v>-293326.4706922485</v>
      </c>
      <c r="P675" t="n">
        <v>-72942.54522786671</v>
      </c>
      <c r="Q675">
        <f>'_live'!$C$21</f>
        <v/>
      </c>
      <c r="T675" t="n">
        <v>0.07596565426984861</v>
      </c>
      <c r="U675" t="n">
        <v>0.03827357838338921</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0.02579827672839353</v>
      </c>
      <c r="AI675">
        <f>IF($Y675="worse","Yes",IF($Y675="worse, not significant","Not sure",IF(OR($Y675="too few losses to test",$Y675="too few loans to test"),"Too few losses",IF($Y675="","","No"))))</f>
        <v/>
      </c>
      <c r="AJ675">
        <f>IF($AA675="yes","Yes",IF($AA675="","","No"))</f>
        <v/>
      </c>
    </row>
    <row r="676">
      <c r="A676" t="inlineStr">
        <is>
          <t>three-way</t>
        </is>
      </c>
      <c r="B676" t="inlineStr">
        <is>
          <t>FICO x ASSET_CLASS / REV_DEBT</t>
        </is>
      </c>
      <c r="C676" t="inlineStr">
        <is>
          <t>746 - 921</t>
        </is>
      </c>
      <c r="D676" t="inlineStr">
        <is>
          <t>4 / REV_DEBT low half</t>
        </is>
      </c>
      <c r="E676" t="inlineStr">
        <is>
          <t>gco_rate</t>
        </is>
      </c>
      <c r="F676" t="inlineStr">
        <is>
          <t>GCO per booked dollar</t>
        </is>
      </c>
      <c r="G676" t="n">
        <v>187</v>
      </c>
      <c r="H676" t="n">
        <v>5846956.430000003</v>
      </c>
      <c r="I676" t="b">
        <v>1</v>
      </c>
      <c r="J676" t="b">
        <v>0</v>
      </c>
      <c r="K676" t="n">
        <v>0.2866228517852871</v>
      </c>
      <c r="M676" t="n">
        <v>0.5952727741340531</v>
      </c>
      <c r="O676" t="n">
        <v>-176390.489023622</v>
      </c>
      <c r="P676" t="n">
        <v>-48185.14654088757</v>
      </c>
      <c r="Q676">
        <f>'_live'!$C$22</f>
        <v/>
      </c>
      <c r="T676" t="n">
        <v>0.04228887319135058</v>
      </c>
      <c r="U676" t="n">
        <v>0.0203620221847433</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0.01212095743289128</v>
      </c>
      <c r="AI676">
        <f>IF($Y676="worse","Yes",IF($Y676="worse, not significant","Not sure",IF(OR($Y676="too few losses to test",$Y676="too few loans to test"),"Too few losses",IF($Y676="","","No"))))</f>
        <v/>
      </c>
      <c r="AJ676">
        <f>IF($AA676="yes","Yes",IF($AA676="","","No"))</f>
        <v/>
      </c>
    </row>
    <row r="677">
      <c r="A677" t="inlineStr">
        <is>
          <t>three-way</t>
        </is>
      </c>
      <c r="B677" t="inlineStr">
        <is>
          <t>FICO x ASSET_CLASS / REV_DEBT</t>
        </is>
      </c>
      <c r="C677" t="inlineStr">
        <is>
          <t>746 - 921</t>
        </is>
      </c>
      <c r="D677" t="inlineStr">
        <is>
          <t>4 / REV_DEBT low half</t>
        </is>
      </c>
      <c r="E677" t="inlineStr">
        <is>
          <t>ranr_rate</t>
        </is>
      </c>
      <c r="F677" t="inlineStr">
        <is>
          <t>Profit after losses: RANR per booked dollar</t>
        </is>
      </c>
      <c r="G677" t="n">
        <v>187</v>
      </c>
      <c r="H677" t="n">
        <v>5846956.430000003</v>
      </c>
      <c r="I677" t="b">
        <v>0</v>
      </c>
      <c r="J677" t="b">
        <v>0</v>
      </c>
      <c r="K677" t="n">
        <v>-0.07899003077733133</v>
      </c>
      <c r="L677" t="n">
        <v>0.00034996500349965</v>
      </c>
      <c r="M677" t="n">
        <v>0.004575766070332957</v>
      </c>
      <c r="N677" t="n">
        <v>0.8567828931392575</v>
      </c>
      <c r="O677" t="n">
        <v>461851.2683594155</v>
      </c>
      <c r="P677" t="n">
        <v>-26754.30484710913</v>
      </c>
      <c r="Q677">
        <f>'_live'!$C$23</f>
        <v/>
      </c>
      <c r="R677" t="inlineStr">
        <is>
          <t>shuffled: 0 of 10,000</t>
        </is>
      </c>
      <c r="S677" t="inlineStr">
        <is>
          <t>shuffled: 6,121 of 10,000</t>
        </is>
      </c>
      <c r="T677" t="n">
        <v>0.1297796960596498</v>
      </c>
      <c r="U677" t="n">
        <v>0.04621389921198553</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0.05078966528231849</v>
      </c>
      <c r="AI677">
        <f>IF($Y677="worse","Yes",IF($Y677="worse, not significant","Not sure",IF(OR($Y677="too few losses to test",$Y677="too few loans to test"),"Too few losses",IF($Y677="","","No"))))</f>
        <v/>
      </c>
      <c r="AJ677">
        <f>IF($AA677="yes","Yes",IF($AA677="","","No"))</f>
        <v/>
      </c>
    </row>
    <row r="678">
      <c r="A678" t="inlineStr">
        <is>
          <t>three-way</t>
        </is>
      </c>
      <c r="B678" t="inlineStr">
        <is>
          <t>FICO x ASSET_CLASS / REV_DEBT</t>
        </is>
      </c>
      <c r="C678" t="inlineStr">
        <is>
          <t>746 - 921</t>
        </is>
      </c>
      <c r="D678" t="inlineStr">
        <is>
          <t>4 / REV_DEBT low half</t>
        </is>
      </c>
      <c r="E678" t="inlineStr">
        <is>
          <t>contribution_rate</t>
        </is>
      </c>
      <c r="F678" t="inlineStr">
        <is>
          <t>Contribution before losses per booked dollar</t>
        </is>
      </c>
      <c r="G678" t="n">
        <v>187</v>
      </c>
      <c r="H678" t="n">
        <v>5846956.430000003</v>
      </c>
      <c r="I678" t="b">
        <v>0</v>
      </c>
      <c r="J678" t="b">
        <v>0</v>
      </c>
      <c r="K678" t="n">
        <v>-0.1091553026228569</v>
      </c>
      <c r="L678" t="n">
        <v>0.0001884426941921192</v>
      </c>
      <c r="M678" t="n">
        <v>-0.003665298681519102</v>
      </c>
      <c r="N678" t="n">
        <v>0.7504704075047041</v>
      </c>
      <c r="O678" t="n">
        <v>638226.2985393095</v>
      </c>
      <c r="P678" t="n">
        <v>21430.84169377864</v>
      </c>
      <c r="Q678">
        <f>'_live'!$C$24</f>
        <v/>
      </c>
      <c r="R678" t="inlineStr">
        <is>
          <t>shuffled: 0 of 10,000</t>
        </is>
      </c>
      <c r="S678" t="inlineStr">
        <is>
          <t>shuffled: 1,719 of 10,000</t>
        </is>
      </c>
      <c r="T678" t="n">
        <v>0.1720659253380667</v>
      </c>
      <c r="U678" t="n">
        <v>0.06657592139672884</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0.06291062271520974</v>
      </c>
      <c r="AI678">
        <f>IF($Y678="worse","Yes",IF($Y678="worse, not significant","Not sure",IF(OR($Y678="too few losses to test",$Y678="too few loans to test"),"Too few losses",IF($Y678="","","No"))))</f>
        <v/>
      </c>
      <c r="AJ678">
        <f>IF($AA678="yes","Yes",IF($AA678="","","No"))</f>
        <v/>
      </c>
    </row>
    <row r="679">
      <c r="A679" t="inlineStr">
        <is>
          <t>three-way</t>
        </is>
      </c>
      <c r="B679" t="inlineStr">
        <is>
          <t>FICO x ASSET_CLASS / REV_DEBT</t>
        </is>
      </c>
      <c r="C679" t="inlineStr">
        <is>
          <t>654 - 685</t>
        </is>
      </c>
      <c r="D679" t="inlineStr">
        <is>
          <t>1 / REV_DEBT high half</t>
        </is>
      </c>
      <c r="E679" t="inlineStr">
        <is>
          <t>outcome_loans</t>
        </is>
      </c>
      <c r="F679" t="inlineStr">
        <is>
          <t>Outcome, share of loans</t>
        </is>
      </c>
      <c r="G679" t="n">
        <v>198</v>
      </c>
      <c r="H679" t="n">
        <v>198</v>
      </c>
      <c r="I679" t="b">
        <v>0</v>
      </c>
      <c r="J679" t="b">
        <v>0</v>
      </c>
      <c r="K679" t="n">
        <v>1.451889075004653</v>
      </c>
      <c r="L679" t="n">
        <v>0.2162982845180949</v>
      </c>
      <c r="M679" t="n">
        <v>1.37962962962963</v>
      </c>
      <c r="N679" t="n">
        <v>0.2745484009738066</v>
      </c>
      <c r="O679" t="n">
        <v>6.847327265735162</v>
      </c>
      <c r="P679" t="n">
        <v>6.053691275167786</v>
      </c>
      <c r="Q679">
        <f>'_live'!$C$20</f>
        <v/>
      </c>
      <c r="R679" t="inlineStr">
        <is>
          <t>z test</t>
        </is>
      </c>
      <c r="S679" t="inlineStr">
        <is>
          <t>z test</t>
        </is>
      </c>
      <c r="T679" t="n">
        <v>0.07652865017305474</v>
      </c>
      <c r="U679" t="n">
        <v>0.08053691275167785</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0.1111111111111111</v>
      </c>
      <c r="AI679">
        <f>IF($Y679="worse","Yes",IF($Y679="worse, not significant","Not sure",IF(OR($Y679="too few losses to test",$Y679="too few loans to test"),"Too few losses",IF($Y679="","","No"))))</f>
        <v/>
      </c>
      <c r="AJ679">
        <f>IF($AA679="yes","Yes",IF($AA679="","","No"))</f>
        <v/>
      </c>
    </row>
    <row r="680">
      <c r="A680" t="inlineStr">
        <is>
          <t>three-way</t>
        </is>
      </c>
      <c r="B680" t="inlineStr">
        <is>
          <t>FICO x ASSET_CLASS / REV_DEBT</t>
        </is>
      </c>
      <c r="C680" t="inlineStr">
        <is>
          <t>654 - 685</t>
        </is>
      </c>
      <c r="D680" t="inlineStr">
        <is>
          <t>1 / REV_DEBT high half</t>
        </is>
      </c>
      <c r="E680" t="inlineStr">
        <is>
          <t>outcome_booked</t>
        </is>
      </c>
      <c r="F680" t="inlineStr">
        <is>
          <t>Outcome, share of booked dollars</t>
        </is>
      </c>
      <c r="G680" t="n">
        <v>198</v>
      </c>
      <c r="H680" t="n">
        <v>6137660.430000001</v>
      </c>
      <c r="I680" t="b">
        <v>0</v>
      </c>
      <c r="J680" t="b">
        <v>0</v>
      </c>
      <c r="K680" t="n">
        <v>1.350856626681088</v>
      </c>
      <c r="L680" t="n">
        <v>0.3872843484882281</v>
      </c>
      <c r="M680" t="n">
        <v>1.302547017524476</v>
      </c>
      <c r="N680" t="n">
        <v>0.4908309169083092</v>
      </c>
      <c r="O680" t="n">
        <v>159805.7098509216</v>
      </c>
      <c r="P680" t="n">
        <v>142912.8676937748</v>
      </c>
      <c r="Q680">
        <f>'_live'!$C$21</f>
        <v/>
      </c>
      <c r="R680" t="inlineStr">
        <is>
          <t>shuffled: 2,097 of 10,000</t>
        </is>
      </c>
      <c r="S680" t="inlineStr">
        <is>
          <t>shuffled: 3,067 of 10,000</t>
        </is>
      </c>
      <c r="T680" t="n">
        <v>0.07420954211197348</v>
      </c>
      <c r="U680" t="n">
        <v>0.07696186807555677</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0.1002464517249287</v>
      </c>
      <c r="AI680">
        <f>IF($Y680="worse","Yes",IF($Y680="worse, not significant","Not sure",IF(OR($Y680="too few losses to test",$Y680="too few loans to test"),"Too few losses",IF($Y680="","","No"))))</f>
        <v/>
      </c>
      <c r="AJ680">
        <f>IF($AA680="yes","Yes",IF($AA680="","","No"))</f>
        <v/>
      </c>
    </row>
    <row r="681">
      <c r="A681" t="inlineStr">
        <is>
          <t>three-way</t>
        </is>
      </c>
      <c r="B681" t="inlineStr">
        <is>
          <t>FICO x ASSET_CLASS / REV_DEBT</t>
        </is>
      </c>
      <c r="C681" t="inlineStr">
        <is>
          <t>654 - 685</t>
        </is>
      </c>
      <c r="D681" t="inlineStr">
        <is>
          <t>1 / REV_DEBT high half</t>
        </is>
      </c>
      <c r="E681" t="inlineStr">
        <is>
          <t>gco_rate</t>
        </is>
      </c>
      <c r="F681" t="inlineStr">
        <is>
          <t>GCO per booked dollar</t>
        </is>
      </c>
      <c r="G681" t="n">
        <v>198</v>
      </c>
      <c r="H681" t="n">
        <v>6137660.430000001</v>
      </c>
      <c r="I681" t="b">
        <v>0</v>
      </c>
      <c r="J681" t="b">
        <v>0</v>
      </c>
      <c r="K681" t="n">
        <v>1.200997294918408</v>
      </c>
      <c r="L681" t="n">
        <v>0.6248217283534805</v>
      </c>
      <c r="M681" t="n">
        <v>1.115694642398098</v>
      </c>
      <c r="N681" t="n">
        <v>0.9325734093257343</v>
      </c>
      <c r="O681" t="n">
        <v>51082.23869274254</v>
      </c>
      <c r="P681" t="n">
        <v>31651.16057104612</v>
      </c>
      <c r="Q681">
        <f>'_live'!$C$22</f>
        <v/>
      </c>
      <c r="R681" t="inlineStr">
        <is>
          <t>shuffled: 4,946 of 10,000</t>
        </is>
      </c>
      <c r="S681" t="inlineStr">
        <is>
          <t>shuffled: 6,994 of 10,000</t>
        </is>
      </c>
      <c r="T681" t="n">
        <v>0.04140729422974243</v>
      </c>
      <c r="U681" t="n">
        <v>0.04457317125133849</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0.04973004835981126</v>
      </c>
      <c r="AI681">
        <f>IF($Y681="worse","Yes",IF($Y681="worse, not significant","Not sure",IF(OR($Y681="too few losses to test",$Y681="too few loans to test"),"Too few losses",IF($Y681="","","No"))))</f>
        <v/>
      </c>
      <c r="AJ681">
        <f>IF($AA681="yes","Yes",IF($AA681="","","No"))</f>
        <v/>
      </c>
    </row>
    <row r="682">
      <c r="A682" t="inlineStr">
        <is>
          <t>three-way</t>
        </is>
      </c>
      <c r="B682" t="inlineStr">
        <is>
          <t>FICO x ASSET_CLASS / REV_DEBT</t>
        </is>
      </c>
      <c r="C682" t="inlineStr">
        <is>
          <t>654 - 685</t>
        </is>
      </c>
      <c r="D682" t="inlineStr">
        <is>
          <t>1 / REV_DEBT high half</t>
        </is>
      </c>
      <c r="E682" t="inlineStr">
        <is>
          <t>ranr_rate</t>
        </is>
      </c>
      <c r="F682" t="inlineStr">
        <is>
          <t>Profit after losses: RANR per booked dollar</t>
        </is>
      </c>
      <c r="G682" t="n">
        <v>198</v>
      </c>
      <c r="H682" t="n">
        <v>6137660.430000001</v>
      </c>
      <c r="I682" t="b">
        <v>0</v>
      </c>
      <c r="J682" t="b">
        <v>0</v>
      </c>
      <c r="K682" t="n">
        <v>0.02760353953020514</v>
      </c>
      <c r="L682" t="n">
        <v>0.1030530280305303</v>
      </c>
      <c r="M682" t="n">
        <v>-0.009294288979434545</v>
      </c>
      <c r="N682" t="n">
        <v>0.8567828931392575</v>
      </c>
      <c r="O682" t="n">
        <v>-169421.1523024809</v>
      </c>
      <c r="P682" t="n">
        <v>57045.18969406048</v>
      </c>
      <c r="Q682">
        <f>'_live'!$C$23</f>
        <v/>
      </c>
      <c r="R682" t="inlineStr">
        <is>
          <t>shuffled: 613 of 10,000</t>
        </is>
      </c>
      <c r="S682" t="inlineStr">
        <is>
          <t>shuffled: 5,569 of 10,000</t>
        </is>
      </c>
      <c r="T682" t="n">
        <v>0.1273335526803523</v>
      </c>
      <c r="U682" t="n">
        <v>0.1642313811899919</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0.1549370922105574</v>
      </c>
      <c r="AI682">
        <f>IF($Y682="worse","Yes",IF($Y682="worse, not significant","Not sure",IF(OR($Y682="too few losses to test",$Y682="too few loans to test"),"Too few losses",IF($Y682="","","No"))))</f>
        <v/>
      </c>
      <c r="AJ682">
        <f>IF($AA682="yes","Yes",IF($AA682="","","No"))</f>
        <v/>
      </c>
    </row>
    <row r="683">
      <c r="A683" t="inlineStr">
        <is>
          <t>three-way</t>
        </is>
      </c>
      <c r="B683" t="inlineStr">
        <is>
          <t>FICO x ASSET_CLASS / REV_DEBT</t>
        </is>
      </c>
      <c r="C683" t="inlineStr">
        <is>
          <t>654 - 685</t>
        </is>
      </c>
      <c r="D683" t="inlineStr">
        <is>
          <t>1 / REV_DEBT high half</t>
        </is>
      </c>
      <c r="E683" t="inlineStr">
        <is>
          <t>contribution_rate</t>
        </is>
      </c>
      <c r="F683" t="inlineStr">
        <is>
          <t>Contribution before losses per booked dollar</t>
        </is>
      </c>
      <c r="G683" t="n">
        <v>198</v>
      </c>
      <c r="H683" t="n">
        <v>6137660.430000001</v>
      </c>
      <c r="I683" t="b">
        <v>0</v>
      </c>
      <c r="J683" t="b">
        <v>0</v>
      </c>
      <c r="K683" t="n">
        <v>0.03592932600456289</v>
      </c>
      <c r="L683" t="n">
        <v>0.0001884426941921192</v>
      </c>
      <c r="M683" t="n">
        <v>-0.004137411870961671</v>
      </c>
      <c r="N683" t="n">
        <v>0.8189950235745658</v>
      </c>
      <c r="O683" t="n">
        <v>-220522.0024947757</v>
      </c>
      <c r="P683" t="n">
        <v>25394.02912301361</v>
      </c>
      <c r="Q683">
        <f>'_live'!$C$24</f>
        <v/>
      </c>
      <c r="R683" t="inlineStr">
        <is>
          <t>shuffled: 0 of 10,000</t>
        </is>
      </c>
      <c r="S683" t="inlineStr">
        <is>
          <t>shuffled: 6,488 of 10,000</t>
        </is>
      </c>
      <c r="T683" t="n">
        <v>0.1687378145658058</v>
      </c>
      <c r="U683" t="n">
        <v>0.2088045524413304</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0.2046671405703687</v>
      </c>
      <c r="AI683">
        <f>IF($Y683="worse","Yes",IF($Y683="worse, not significant","Not sure",IF(OR($Y683="too few losses to test",$Y683="too few loans to test"),"Too few losses",IF($Y683="","","No"))))</f>
        <v/>
      </c>
      <c r="AJ683">
        <f>IF($AA683="yes","Yes",IF($AA683="","","No"))</f>
        <v/>
      </c>
    </row>
    <row r="684">
      <c r="A684" t="inlineStr">
        <is>
          <t>three-way</t>
        </is>
      </c>
      <c r="B684" t="inlineStr">
        <is>
          <t>FICO x ASSET_CLASS / REV_DEBT</t>
        </is>
      </c>
      <c r="C684" t="inlineStr">
        <is>
          <t>496 - 653</t>
        </is>
      </c>
      <c r="D684" t="inlineStr">
        <is>
          <t>4 / REV_DEBT high half</t>
        </is>
      </c>
      <c r="E684" t="inlineStr">
        <is>
          <t>outcome_loans</t>
        </is>
      </c>
      <c r="F684" t="inlineStr">
        <is>
          <t>Outcome, share of loans</t>
        </is>
      </c>
      <c r="G684" t="n">
        <v>196</v>
      </c>
      <c r="H684" t="n">
        <v>196</v>
      </c>
      <c r="I684" t="b">
        <v>0</v>
      </c>
      <c r="J684" t="b">
        <v>0</v>
      </c>
      <c r="K684" t="n">
        <v>3.804966588405274</v>
      </c>
      <c r="L684" t="n">
        <v>1.857481763321691e-24</v>
      </c>
      <c r="M684" t="n">
        <v>2.080102040816326</v>
      </c>
      <c r="N684" t="n">
        <v>3.922389879764889e-06</v>
      </c>
      <c r="O684" t="n">
        <v>39.8080225554274</v>
      </c>
      <c r="P684" t="n">
        <v>28.03973509933775</v>
      </c>
      <c r="Q684">
        <f>'_live'!$C$20</f>
        <v/>
      </c>
      <c r="R684" t="inlineStr">
        <is>
          <t>z test</t>
        </is>
      </c>
      <c r="S684" t="inlineStr">
        <is>
          <t>z test</t>
        </is>
      </c>
      <c r="T684" t="n">
        <v>0.07240804818659489</v>
      </c>
      <c r="U684" t="n">
        <v>0.1324503311258278</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0.2755102040816326</v>
      </c>
      <c r="AI684">
        <f>IF($Y684="worse","Yes",IF($Y684="worse, not significant","Not sure",IF(OR($Y684="too few losses to test",$Y684="too few loans to test"),"Too few losses",IF($Y684="","","No"))))</f>
        <v/>
      </c>
      <c r="AJ684">
        <f>IF($AA684="yes","Yes",IF($AA684="","","No"))</f>
        <v/>
      </c>
    </row>
    <row r="685">
      <c r="A685" t="inlineStr">
        <is>
          <t>three-way</t>
        </is>
      </c>
      <c r="B685" t="inlineStr">
        <is>
          <t>FICO x ASSET_CLASS / REV_DEBT</t>
        </is>
      </c>
      <c r="C685" t="inlineStr">
        <is>
          <t>496 - 653</t>
        </is>
      </c>
      <c r="D685" t="inlineStr">
        <is>
          <t>4 / REV_DEBT high half</t>
        </is>
      </c>
      <c r="E685" t="inlineStr">
        <is>
          <t>outcome_booked</t>
        </is>
      </c>
      <c r="F685" t="inlineStr">
        <is>
          <t>Outcome, share of booked dollars</t>
        </is>
      </c>
      <c r="G685" t="n">
        <v>196</v>
      </c>
      <c r="H685" t="n">
        <v>6113110.779999997</v>
      </c>
      <c r="I685" t="b">
        <v>0</v>
      </c>
      <c r="J685" t="b">
        <v>0</v>
      </c>
      <c r="K685" t="n">
        <v>4.401059942580985</v>
      </c>
      <c r="L685" t="n">
        <v>0.0007999200079992001</v>
      </c>
      <c r="M685" t="n">
        <v>2.384052443238249</v>
      </c>
      <c r="N685" t="n">
        <v>0.0011998800119988</v>
      </c>
      <c r="O685" t="n">
        <v>1439761.474230882</v>
      </c>
      <c r="P685" t="n">
        <v>1081608.987906827</v>
      </c>
      <c r="Q685">
        <f>'_live'!$C$21</f>
        <v/>
      </c>
      <c r="R685" t="inlineStr">
        <is>
          <t>shuffled: 0 of 10,000</t>
        </is>
      </c>
      <c r="S685" t="inlineStr">
        <is>
          <t>shuffled: 0 of 10,000</t>
        </is>
      </c>
      <c r="T685" t="n">
        <v>0.06924907808870405</v>
      </c>
      <c r="U685" t="n">
        <v>0.1278366776289917</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0.304769343636858</v>
      </c>
      <c r="AI685">
        <f>IF($Y685="worse","Yes",IF($Y685="worse, not significant","Not sure",IF(OR($Y685="too few losses to test",$Y685="too few loans to test"),"Too few losses",IF($Y685="","","No"))))</f>
        <v/>
      </c>
      <c r="AJ685">
        <f>IF($AA685="yes","Yes",IF($AA685="","","No"))</f>
        <v/>
      </c>
    </row>
    <row r="686">
      <c r="A686" t="inlineStr">
        <is>
          <t>three-way</t>
        </is>
      </c>
      <c r="B686" t="inlineStr">
        <is>
          <t>FICO x ASSET_CLASS / REV_DEBT</t>
        </is>
      </c>
      <c r="C686" t="inlineStr">
        <is>
          <t>496 - 653</t>
        </is>
      </c>
      <c r="D686" t="inlineStr">
        <is>
          <t>4 / REV_DEBT high half</t>
        </is>
      </c>
      <c r="E686" t="inlineStr">
        <is>
          <t>gco_rate</t>
        </is>
      </c>
      <c r="F686" t="inlineStr">
        <is>
          <t>GCO per booked dollar</t>
        </is>
      </c>
      <c r="G686" t="n">
        <v>196</v>
      </c>
      <c r="H686" t="n">
        <v>6113110.779999997</v>
      </c>
      <c r="I686" t="b">
        <v>0</v>
      </c>
      <c r="J686" t="b">
        <v>0</v>
      </c>
      <c r="K686" t="n">
        <v>4.296853852883127</v>
      </c>
      <c r="L686" t="n">
        <v>0.0007999200079992001</v>
      </c>
      <c r="M686" t="n">
        <v>2.297576594112566</v>
      </c>
      <c r="N686" t="n">
        <v>0.0023997600239976</v>
      </c>
      <c r="O686" t="n">
        <v>777764.4888154061</v>
      </c>
      <c r="P686" t="n">
        <v>572482.2184075294</v>
      </c>
      <c r="Q686">
        <f>'_live'!$C$22</f>
        <v/>
      </c>
      <c r="R686" t="inlineStr">
        <is>
          <t>shuffled: 0 of 10,000</t>
        </is>
      </c>
      <c r="S686" t="inlineStr">
        <is>
          <t>shuffled: 0 of 10,000</t>
        </is>
      </c>
      <c r="T686" t="n">
        <v>0.03859101031776065</v>
      </c>
      <c r="U686" t="n">
        <v>0.07217166635289908</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0.1658199313705223</v>
      </c>
      <c r="AI686">
        <f>IF($Y686="worse","Yes",IF($Y686="worse, not significant","Not sure",IF(OR($Y686="too few losses to test",$Y686="too few loans to test"),"Too few losses",IF($Y686="","","No"))))</f>
        <v/>
      </c>
      <c r="AJ686">
        <f>IF($AA686="yes","Yes",IF($AA686="","","No"))</f>
        <v/>
      </c>
    </row>
    <row r="687">
      <c r="A687" t="inlineStr">
        <is>
          <t>three-way</t>
        </is>
      </c>
      <c r="B687" t="inlineStr">
        <is>
          <t>FICO x ASSET_CLASS / REV_DEBT</t>
        </is>
      </c>
      <c r="C687" t="inlineStr">
        <is>
          <t>496 - 653</t>
        </is>
      </c>
      <c r="D687" t="inlineStr">
        <is>
          <t>4 / REV_DEBT high half</t>
        </is>
      </c>
      <c r="E687" t="inlineStr">
        <is>
          <t>ranr_rate</t>
        </is>
      </c>
      <c r="F687" t="inlineStr">
        <is>
          <t>Profit after losses: RANR per booked dollar</t>
        </is>
      </c>
      <c r="G687" t="n">
        <v>196</v>
      </c>
      <c r="H687" t="n">
        <v>6113110.779999997</v>
      </c>
      <c r="I687" t="b">
        <v>0</v>
      </c>
      <c r="J687" t="b">
        <v>0</v>
      </c>
      <c r="K687" t="n">
        <v>-0.001161184570865725</v>
      </c>
      <c r="L687" t="n">
        <v>0.9395060493950604</v>
      </c>
      <c r="M687" t="n">
        <v>-0.07198693577880133</v>
      </c>
      <c r="N687" t="n">
        <v>0.0287971202879712</v>
      </c>
      <c r="O687" t="n">
        <v>7098.449917728896</v>
      </c>
      <c r="P687" t="n">
        <v>440064.1131285578</v>
      </c>
      <c r="Q687">
        <f>'_live'!$C$23</f>
        <v/>
      </c>
      <c r="R687" t="inlineStr">
        <is>
          <t>shuffled: 9,395 of 10,000</t>
        </is>
      </c>
      <c r="S687" t="inlineStr">
        <is>
          <t>shuffled: 5 of 10,000</t>
        </is>
      </c>
      <c r="T687" t="n">
        <v>0.1280175557227067</v>
      </c>
      <c r="U687" t="n">
        <v>0.1988433069306423</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0.126856371151841</v>
      </c>
      <c r="AI687">
        <f>IF($Y687="worse","Yes",IF($Y687="worse, not significant","Not sure",IF(OR($Y687="too few losses to test",$Y687="too few loans to test"),"Too few losses",IF($Y687="","","No"))))</f>
        <v/>
      </c>
      <c r="AJ687">
        <f>IF($AA687="yes","Yes",IF($AA687="","","No"))</f>
        <v/>
      </c>
    </row>
    <row r="688">
      <c r="A688" t="inlineStr">
        <is>
          <t>three-way</t>
        </is>
      </c>
      <c r="B688" t="inlineStr">
        <is>
          <t>FICO x ASSET_CLASS / REV_DEBT</t>
        </is>
      </c>
      <c r="C688" t="inlineStr">
        <is>
          <t>496 - 653</t>
        </is>
      </c>
      <c r="D688" t="inlineStr">
        <is>
          <t>4 / REV_DEBT high half</t>
        </is>
      </c>
      <c r="E688" t="inlineStr">
        <is>
          <t>contribution_rate</t>
        </is>
      </c>
      <c r="F688" t="inlineStr">
        <is>
          <t>Contribution before losses per booked dollar</t>
        </is>
      </c>
      <c r="G688" t="n">
        <v>196</v>
      </c>
      <c r="H688" t="n">
        <v>6113110.779999997</v>
      </c>
      <c r="I688" t="b">
        <v>0</v>
      </c>
      <c r="J688" t="b">
        <v>0</v>
      </c>
      <c r="K688" t="n">
        <v>0.1260706607792504</v>
      </c>
      <c r="L688" t="n">
        <v>0.0001884426941921192</v>
      </c>
      <c r="M688" t="n">
        <v>0.02166132923882202</v>
      </c>
      <c r="N688" t="n">
        <v>0.7097956870979569</v>
      </c>
      <c r="O688" t="n">
        <v>-770683.9154513583</v>
      </c>
      <c r="P688" t="n">
        <v>-132418.1052789721</v>
      </c>
      <c r="Q688">
        <f>'_live'!$C$24</f>
        <v/>
      </c>
      <c r="R688" t="inlineStr">
        <is>
          <t>shuffled: 0 of 10,000</t>
        </is>
      </c>
      <c r="S688" t="inlineStr">
        <is>
          <t>shuffled: 743 of 10,000</t>
        </is>
      </c>
      <c r="T688" t="n">
        <v>0.1666056417431131</v>
      </c>
      <c r="U688" t="n">
        <v>0.2710149732835414</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0.2926763025223634</v>
      </c>
      <c r="AI688">
        <f>IF($Y688="worse","Yes",IF($Y688="worse, not significant","Not sure",IF(OR($Y688="too few losses to test",$Y688="too few loans to test"),"Too few losses",IF($Y688="","","No"))))</f>
        <v/>
      </c>
      <c r="AJ688">
        <f>IF($AA688="yes","Yes",IF($AA688="","","No"))</f>
        <v/>
      </c>
    </row>
    <row r="689">
      <c r="A689" t="inlineStr">
        <is>
          <t>three-way</t>
        </is>
      </c>
      <c r="B689" t="inlineStr">
        <is>
          <t>FICO x ASSET_CLASS / REV_DEBT</t>
        </is>
      </c>
      <c r="C689" t="inlineStr">
        <is>
          <t>496 - 653</t>
        </is>
      </c>
      <c r="D689" t="inlineStr">
        <is>
          <t>3 / REV_DEBT high half</t>
        </is>
      </c>
      <c r="E689" t="inlineStr">
        <is>
          <t>outcome_loans</t>
        </is>
      </c>
      <c r="F689" t="inlineStr">
        <is>
          <t>Outcome, share of loans</t>
        </is>
      </c>
      <c r="G689" t="n">
        <v>175</v>
      </c>
      <c r="H689" t="n">
        <v>175</v>
      </c>
      <c r="I689" t="b">
        <v>0</v>
      </c>
      <c r="J689" t="b">
        <v>0</v>
      </c>
      <c r="K689" t="n">
        <v>2.679452054794521</v>
      </c>
      <c r="L689" t="n">
        <v>6.683851019813883e-09</v>
      </c>
      <c r="M689" t="n">
        <v>1.386934673366834</v>
      </c>
      <c r="N689" t="n">
        <v>0.1381292012000479</v>
      </c>
      <c r="O689" t="n">
        <v>21.93762781186094</v>
      </c>
      <c r="P689" t="n">
        <v>9.764492753623191</v>
      </c>
      <c r="Q689">
        <f>'_live'!$C$20</f>
        <v/>
      </c>
      <c r="R689" t="inlineStr">
        <is>
          <t>z test</t>
        </is>
      </c>
      <c r="S689" t="inlineStr">
        <is>
          <t>z test</t>
        </is>
      </c>
      <c r="T689" t="n">
        <v>0.07464212678936605</v>
      </c>
      <c r="U689" t="n">
        <v>0.1442028985507246</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0.2</v>
      </c>
      <c r="AI689">
        <f>IF($Y689="worse","Yes",IF($Y689="worse, not significant","Not sure",IF(OR($Y689="too few losses to test",$Y689="too few loans to test"),"Too few losses",IF($Y689="","","No"))))</f>
        <v/>
      </c>
      <c r="AJ689">
        <f>IF($AA689="yes","Yes",IF($AA689="","","No"))</f>
        <v/>
      </c>
    </row>
    <row r="690">
      <c r="A690" t="inlineStr">
        <is>
          <t>three-way</t>
        </is>
      </c>
      <c r="B690" t="inlineStr">
        <is>
          <t>FICO x ASSET_CLASS / REV_DEBT</t>
        </is>
      </c>
      <c r="C690" t="inlineStr">
        <is>
          <t>496 - 653</t>
        </is>
      </c>
      <c r="D690" t="inlineStr">
        <is>
          <t>3 / REV_DEBT high half</t>
        </is>
      </c>
      <c r="E690" t="inlineStr">
        <is>
          <t>outcome_booked</t>
        </is>
      </c>
      <c r="F690" t="inlineStr">
        <is>
          <t>Outcome, share of booked dollars</t>
        </is>
      </c>
      <c r="G690" t="n">
        <v>175</v>
      </c>
      <c r="H690" t="n">
        <v>5779210.600000001</v>
      </c>
      <c r="I690" t="b">
        <v>0</v>
      </c>
      <c r="J690" t="b">
        <v>0</v>
      </c>
      <c r="K690" t="n">
        <v>2.6453161106247</v>
      </c>
      <c r="L690" t="n">
        <v>0.0007999200079992001</v>
      </c>
      <c r="M690" t="n">
        <v>1.327648410526669</v>
      </c>
      <c r="N690" t="n">
        <v>0.2815718428157185</v>
      </c>
      <c r="O690" t="n">
        <v>686231.8061684032</v>
      </c>
      <c r="P690" t="n">
        <v>272285.2122582328</v>
      </c>
      <c r="Q690">
        <f>'_live'!$C$21</f>
        <v/>
      </c>
      <c r="R690" t="inlineStr">
        <is>
          <t>shuffled: 0 of 10,000</t>
        </is>
      </c>
      <c r="S690" t="inlineStr">
        <is>
          <t>shuffled: 1,407 of 10,000</t>
        </is>
      </c>
      <c r="T690" t="n">
        <v>0.07216937964357908</v>
      </c>
      <c r="U690" t="n">
        <v>0.1437962198058273</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0.19091082266495</v>
      </c>
      <c r="AI690">
        <f>IF($Y690="worse","Yes",IF($Y690="worse, not significant","Not sure",IF(OR($Y690="too few losses to test",$Y690="too few loans to test"),"Too few losses",IF($Y690="","","No"))))</f>
        <v/>
      </c>
      <c r="AJ690">
        <f>IF($AA690="yes","Yes",IF($AA690="","","No"))</f>
        <v/>
      </c>
    </row>
    <row r="691">
      <c r="A691" t="inlineStr">
        <is>
          <t>three-way</t>
        </is>
      </c>
      <c r="B691" t="inlineStr">
        <is>
          <t>FICO x ASSET_CLASS / REV_DEBT</t>
        </is>
      </c>
      <c r="C691" t="inlineStr">
        <is>
          <t>496 - 653</t>
        </is>
      </c>
      <c r="D691" t="inlineStr">
        <is>
          <t>3 / REV_DEBT high half</t>
        </is>
      </c>
      <c r="E691" t="inlineStr">
        <is>
          <t>gco_rate</t>
        </is>
      </c>
      <c r="F691" t="inlineStr">
        <is>
          <t>GCO per booked dollar</t>
        </is>
      </c>
      <c r="G691" t="n">
        <v>175</v>
      </c>
      <c r="H691" t="n">
        <v>5779210.600000001</v>
      </c>
      <c r="I691" t="b">
        <v>0</v>
      </c>
      <c r="J691" t="b">
        <v>0</v>
      </c>
      <c r="K691" t="n">
        <v>2.66958597431944</v>
      </c>
      <c r="L691" t="n">
        <v>0.0007999200079992001</v>
      </c>
      <c r="M691" t="n">
        <v>1.331359002688526</v>
      </c>
      <c r="N691" t="n">
        <v>0.2938783044772446</v>
      </c>
      <c r="O691" t="n">
        <v>386973.8433410359</v>
      </c>
      <c r="P691" t="n">
        <v>153999.8614562479</v>
      </c>
      <c r="Q691">
        <f>'_live'!$C$22</f>
        <v/>
      </c>
      <c r="R691" t="inlineStr">
        <is>
          <t>shuffled: 0 of 10,000</t>
        </is>
      </c>
      <c r="S691" t="inlineStr">
        <is>
          <t>shuffled: 1,512 of 10,000</t>
        </is>
      </c>
      <c r="T691" t="n">
        <v>0.04010553390439933</v>
      </c>
      <c r="U691" t="n">
        <v>0.08041795683025496</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0.1070651708037772</v>
      </c>
      <c r="AI691">
        <f>IF($Y691="worse","Yes",IF($Y691="worse, not significant","Not sure",IF(OR($Y691="too few losses to test",$Y691="too few loans to test"),"Too few losses",IF($Y691="","","No"))))</f>
        <v/>
      </c>
      <c r="AJ691">
        <f>IF($AA691="yes","Yes",IF($AA691="","","No"))</f>
        <v/>
      </c>
    </row>
    <row r="692">
      <c r="A692" t="inlineStr">
        <is>
          <t>three-way</t>
        </is>
      </c>
      <c r="B692" t="inlineStr">
        <is>
          <t>FICO x ASSET_CLASS / REV_DEBT</t>
        </is>
      </c>
      <c r="C692" t="inlineStr">
        <is>
          <t>496 - 653</t>
        </is>
      </c>
      <c r="D692" t="inlineStr">
        <is>
          <t>3 / REV_DEBT high half</t>
        </is>
      </c>
      <c r="E692" t="inlineStr">
        <is>
          <t>ranr_rate</t>
        </is>
      </c>
      <c r="F692" t="inlineStr">
        <is>
          <t>Profit after losses: RANR per booked dollar</t>
        </is>
      </c>
      <c r="G692" t="n">
        <v>175</v>
      </c>
      <c r="H692" t="n">
        <v>5779210.600000001</v>
      </c>
      <c r="I692" t="b">
        <v>0</v>
      </c>
      <c r="J692" t="b">
        <v>0</v>
      </c>
      <c r="K692" t="n">
        <v>0.02859221095382525</v>
      </c>
      <c r="L692" t="n">
        <v>0.1152175105070138</v>
      </c>
      <c r="M692" t="n">
        <v>-0.03862885947352263</v>
      </c>
      <c r="N692" t="n">
        <v>0.2408759124087591</v>
      </c>
      <c r="O692" t="n">
        <v>-165240.408621783</v>
      </c>
      <c r="P692" t="n">
        <v>223244.3141352923</v>
      </c>
      <c r="Q692">
        <f>'_live'!$C$23</f>
        <v/>
      </c>
      <c r="R692" t="inlineStr">
        <is>
          <t>shuffled: 728 of 10,000</t>
        </is>
      </c>
      <c r="S692" t="inlineStr">
        <is>
          <t>shuffled: 802 of 10,000</t>
        </is>
      </c>
      <c r="T692" t="n">
        <v>0.1273497528154134</v>
      </c>
      <c r="U692" t="n">
        <v>0.1945708232427612</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0.1559419637692386</v>
      </c>
      <c r="AI692">
        <f>IF($Y692="worse","Yes",IF($Y692="worse, not significant","Not sure",IF(OR($Y692="too few losses to test",$Y692="too few loans to test"),"Too few losses",IF($Y692="","","No"))))</f>
        <v/>
      </c>
      <c r="AJ692">
        <f>IF($AA692="yes","Yes",IF($AA692="","","No"))</f>
        <v/>
      </c>
    </row>
    <row r="693">
      <c r="A693" t="inlineStr">
        <is>
          <t>three-way</t>
        </is>
      </c>
      <c r="B693" t="inlineStr">
        <is>
          <t>FICO x ASSET_CLASS / REV_DEBT</t>
        </is>
      </c>
      <c r="C693" t="inlineStr">
        <is>
          <t>496 - 653</t>
        </is>
      </c>
      <c r="D693" t="inlineStr">
        <is>
          <t>3 / REV_DEBT high half</t>
        </is>
      </c>
      <c r="E693" t="inlineStr">
        <is>
          <t>contribution_rate</t>
        </is>
      </c>
      <c r="F693" t="inlineStr">
        <is>
          <t>Contribution before losses per booked dollar</t>
        </is>
      </c>
      <c r="G693" t="n">
        <v>175</v>
      </c>
      <c r="H693" t="n">
        <v>5779210.600000001</v>
      </c>
      <c r="I693" t="b">
        <v>0</v>
      </c>
      <c r="J693" t="b">
        <v>0</v>
      </c>
      <c r="K693" t="n">
        <v>0.0955548733398528</v>
      </c>
      <c r="L693" t="n">
        <v>0.0001884426941921192</v>
      </c>
      <c r="M693" t="n">
        <v>-0.01198164550000025</v>
      </c>
      <c r="N693" t="n">
        <v>0.7636569676365697</v>
      </c>
      <c r="O693" t="n">
        <v>-552231.7368873348</v>
      </c>
      <c r="P693" t="n">
        <v>69244.45267904364</v>
      </c>
      <c r="Q693">
        <f>'_live'!$C$24</f>
        <v/>
      </c>
      <c r="R693" t="inlineStr">
        <is>
          <t>shuffled: 0 of 10,000</t>
        </is>
      </c>
      <c r="S693" t="inlineStr">
        <is>
          <t>shuffled: 3,536 of 10,000</t>
        </is>
      </c>
      <c r="T693" t="n">
        <v>0.1674522612331631</v>
      </c>
      <c r="U693" t="n">
        <v>0.2749887800730161</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0.2630071345730159</v>
      </c>
      <c r="AI693">
        <f>IF($Y693="worse","Yes",IF($Y693="worse, not significant","Not sure",IF(OR($Y693="too few losses to test",$Y693="too few loans to test"),"Too few losses",IF($Y693="","","No"))))</f>
        <v/>
      </c>
      <c r="AJ693">
        <f>IF($AA693="yes","Yes",IF($AA693="","","No"))</f>
        <v/>
      </c>
    </row>
    <row r="694">
      <c r="A694" t="inlineStr">
        <is>
          <t>three-way</t>
        </is>
      </c>
      <c r="B694" t="inlineStr">
        <is>
          <t>FICO x ASSET_CLASS / REV_DEBT</t>
        </is>
      </c>
      <c r="C694" t="inlineStr">
        <is>
          <t>654 - 685</t>
        </is>
      </c>
      <c r="D694" t="inlineStr">
        <is>
          <t>3 / REV_DEBT low half</t>
        </is>
      </c>
      <c r="E694" t="inlineStr">
        <is>
          <t>outcome_loans</t>
        </is>
      </c>
      <c r="F694" t="inlineStr">
        <is>
          <t>Outcome, share of loans</t>
        </is>
      </c>
      <c r="G694" t="n">
        <v>189</v>
      </c>
      <c r="H694" t="n">
        <v>189</v>
      </c>
      <c r="I694" t="b">
        <v>0</v>
      </c>
      <c r="J694" t="b">
        <v>0</v>
      </c>
      <c r="K694" t="n">
        <v>0.8169242436128762</v>
      </c>
      <c r="L694" t="n">
        <v>0.6148789106960912</v>
      </c>
      <c r="M694" t="n">
        <v>0.7263922518159805</v>
      </c>
      <c r="N694" t="n">
        <v>0.4597077637310471</v>
      </c>
      <c r="O694" t="n">
        <v>-2.689244558258643</v>
      </c>
      <c r="P694" t="n">
        <v>-4.52</v>
      </c>
      <c r="Q694">
        <f>'_live'!$C$20</f>
        <v/>
      </c>
      <c r="R694" t="inlineStr">
        <is>
          <t>z test</t>
        </is>
      </c>
      <c r="S694" t="inlineStr">
        <is>
          <t>z test</t>
        </is>
      </c>
      <c r="T694" t="n">
        <v>0.07772087067861716</v>
      </c>
      <c r="U694" t="n">
        <v>0.08740740740740741</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0.06349206349206349</v>
      </c>
      <c r="AI694">
        <f>IF($Y694="worse","Yes",IF($Y694="worse, not significant","Not sure",IF(OR($Y694="too few losses to test",$Y694="too few loans to test"),"Too few losses",IF($Y694="","","No"))))</f>
        <v/>
      </c>
      <c r="AJ694">
        <f>IF($AA694="yes","Yes",IF($AA694="","","No"))</f>
        <v/>
      </c>
    </row>
    <row r="695">
      <c r="A695" t="inlineStr">
        <is>
          <t>three-way</t>
        </is>
      </c>
      <c r="B695" t="inlineStr">
        <is>
          <t>FICO x ASSET_CLASS / REV_DEBT</t>
        </is>
      </c>
      <c r="C695" t="inlineStr">
        <is>
          <t>654 - 685</t>
        </is>
      </c>
      <c r="D695" t="inlineStr">
        <is>
          <t>3 / REV_DEBT low half</t>
        </is>
      </c>
      <c r="E695" t="inlineStr">
        <is>
          <t>outcome_booked</t>
        </is>
      </c>
      <c r="F695" t="inlineStr">
        <is>
          <t>Outcome, share of booked dollars</t>
        </is>
      </c>
      <c r="G695" t="n">
        <v>189</v>
      </c>
      <c r="H695" t="n">
        <v>6202434.659999996</v>
      </c>
      <c r="I695" t="b">
        <v>0</v>
      </c>
      <c r="J695" t="b">
        <v>0</v>
      </c>
      <c r="K695" t="n">
        <v>0.8810996307825919</v>
      </c>
      <c r="L695" t="n">
        <v>0.8090790920907909</v>
      </c>
      <c r="M695" t="n">
        <v>0.8079998947135721</v>
      </c>
      <c r="N695" t="n">
        <v>0.7131522141903456</v>
      </c>
      <c r="O695" t="n">
        <v>-55342.35050707276</v>
      </c>
      <c r="P695" t="n">
        <v>-97451.73584067868</v>
      </c>
      <c r="Q695">
        <f>'_live'!$C$21</f>
        <v/>
      </c>
      <c r="R695" t="inlineStr">
        <is>
          <t>shuffled: 6,742 of 10,000</t>
        </is>
      </c>
      <c r="S695" t="inlineStr">
        <is>
          <t>shuffled: 5,051 of 10,000</t>
        </is>
      </c>
      <c r="T695" t="n">
        <v>0.07504334765649479</v>
      </c>
      <c r="U695" t="n">
        <v>0.08183251798104052</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0.06612066591282724</v>
      </c>
      <c r="AI695">
        <f>IF($Y695="worse","Yes",IF($Y695="worse, not significant","Not sure",IF(OR($Y695="too few losses to test",$Y695="too few loans to test"),"Too few losses",IF($Y695="","","No"))))</f>
        <v/>
      </c>
      <c r="AJ695">
        <f>IF($AA695="yes","Yes",IF($AA695="","","No"))</f>
        <v/>
      </c>
    </row>
    <row r="696">
      <c r="A696" t="inlineStr">
        <is>
          <t>three-way</t>
        </is>
      </c>
      <c r="B696" t="inlineStr">
        <is>
          <t>FICO x ASSET_CLASS / REV_DEBT</t>
        </is>
      </c>
      <c r="C696" t="inlineStr">
        <is>
          <t>654 - 685</t>
        </is>
      </c>
      <c r="D696" t="inlineStr">
        <is>
          <t>3 / REV_DEBT low half</t>
        </is>
      </c>
      <c r="E696" t="inlineStr">
        <is>
          <t>gco_rate</t>
        </is>
      </c>
      <c r="F696" t="inlineStr">
        <is>
          <t>GCO per booked dollar</t>
        </is>
      </c>
      <c r="G696" t="n">
        <v>189</v>
      </c>
      <c r="H696" t="n">
        <v>6202434.659999996</v>
      </c>
      <c r="I696" t="b">
        <v>0</v>
      </c>
      <c r="J696" t="b">
        <v>0</v>
      </c>
      <c r="K696" t="n">
        <v>0.8873425648309708</v>
      </c>
      <c r="L696" t="n">
        <v>0.7642144876421448</v>
      </c>
      <c r="M696" t="n">
        <v>0.7979345048484309</v>
      </c>
      <c r="N696" t="n">
        <v>0.7431756824317568</v>
      </c>
      <c r="O696" t="n">
        <v>-29150.63586815062</v>
      </c>
      <c r="P696" t="n">
        <v>-58143.93250095585</v>
      </c>
      <c r="Q696">
        <f>'_live'!$C$22</f>
        <v/>
      </c>
      <c r="R696" t="inlineStr">
        <is>
          <t>shuffled: 7,005 of 10,000</t>
        </is>
      </c>
      <c r="S696" t="inlineStr">
        <is>
          <t>shuffled: 4,954 of 10,000</t>
        </is>
      </c>
      <c r="T696" t="n">
        <v>0.04171823969978763</v>
      </c>
      <c r="U696" t="n">
        <v>0.046392742249534</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0.03701836981544279</v>
      </c>
      <c r="AI696">
        <f>IF($Y696="worse","Yes",IF($Y696="worse, not significant","Not sure",IF(OR($Y696="too few losses to test",$Y696="too few loans to test"),"Too few losses",IF($Y696="","","No"))))</f>
        <v/>
      </c>
      <c r="AJ696">
        <f>IF($AA696="yes","Yes",IF($AA696="","","No"))</f>
        <v/>
      </c>
    </row>
    <row r="697">
      <c r="A697" t="inlineStr">
        <is>
          <t>three-way</t>
        </is>
      </c>
      <c r="B697" t="inlineStr">
        <is>
          <t>FICO x ASSET_CLASS / REV_DEBT</t>
        </is>
      </c>
      <c r="C697" t="inlineStr">
        <is>
          <t>654 - 685</t>
        </is>
      </c>
      <c r="D697" t="inlineStr">
        <is>
          <t>3 / REV_DEBT low half</t>
        </is>
      </c>
      <c r="E697" t="inlineStr">
        <is>
          <t>ranr_rate</t>
        </is>
      </c>
      <c r="F697" t="inlineStr">
        <is>
          <t>Profit after losses: RANR per booked dollar</t>
        </is>
      </c>
      <c r="G697" t="n">
        <v>189</v>
      </c>
      <c r="H697" t="n">
        <v>6202434.659999996</v>
      </c>
      <c r="I697" t="b">
        <v>0</v>
      </c>
      <c r="J697" t="b">
        <v>0</v>
      </c>
      <c r="K697" t="n">
        <v>0.04143217089521062</v>
      </c>
      <c r="L697" t="n">
        <v>0.01823706518237065</v>
      </c>
      <c r="M697" t="n">
        <v>0.006120205535652651</v>
      </c>
      <c r="N697" t="n">
        <v>0.8774192348207039</v>
      </c>
      <c r="O697" t="n">
        <v>-256980.3327994974</v>
      </c>
      <c r="P697" t="n">
        <v>-37960.17494065582</v>
      </c>
      <c r="Q697">
        <f>'_live'!$C$23</f>
        <v/>
      </c>
      <c r="R697" t="inlineStr">
        <is>
          <t>shuffled: 66 of 10,000</t>
        </is>
      </c>
      <c r="S697" t="inlineStr">
        <is>
          <t>shuffled: 6,987 of 10,000</t>
        </is>
      </c>
      <c r="T697" t="n">
        <v>0.1269942660227078</v>
      </c>
      <c r="U697" t="n">
        <v>0.1623062313822658</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0.1684264369179184</v>
      </c>
      <c r="AI697">
        <f>IF($Y697="worse","Yes",IF($Y697="worse, not significant","Not sure",IF(OR($Y697="too few losses to test",$Y697="too few loans to test"),"Too few losses",IF($Y697="","","No"))))</f>
        <v/>
      </c>
      <c r="AJ697">
        <f>IF($AA697="yes","Yes",IF($AA697="","","No"))</f>
        <v/>
      </c>
    </row>
    <row r="698">
      <c r="A698" t="inlineStr">
        <is>
          <t>three-way</t>
        </is>
      </c>
      <c r="B698" t="inlineStr">
        <is>
          <t>FICO x ASSET_CLASS / REV_DEBT</t>
        </is>
      </c>
      <c r="C698" t="inlineStr">
        <is>
          <t>654 - 685</t>
        </is>
      </c>
      <c r="D698" t="inlineStr">
        <is>
          <t>3 / REV_DEBT low half</t>
        </is>
      </c>
      <c r="E698" t="inlineStr">
        <is>
          <t>contribution_rate</t>
        </is>
      </c>
      <c r="F698" t="inlineStr">
        <is>
          <t>Contribution before losses per booked dollar</t>
        </is>
      </c>
      <c r="G698" t="n">
        <v>189</v>
      </c>
      <c r="H698" t="n">
        <v>6202434.659999996</v>
      </c>
      <c r="I698" t="b">
        <v>0</v>
      </c>
      <c r="J698" t="b">
        <v>0</v>
      </c>
      <c r="K698" t="n">
        <v>0.03673538760212533</v>
      </c>
      <c r="L698" t="n">
        <v>0.0003378972447582828</v>
      </c>
      <c r="M698" t="n">
        <v>-0.003254166898438549</v>
      </c>
      <c r="N698" t="n">
        <v>0.8567728592994359</v>
      </c>
      <c r="O698" t="n">
        <v>-227848.8413119563</v>
      </c>
      <c r="P698" t="n">
        <v>20183.75756029994</v>
      </c>
      <c r="Q698">
        <f>'_live'!$C$24</f>
        <v/>
      </c>
      <c r="R698" t="inlineStr">
        <is>
          <t>shuffled: 1 of 10,000</t>
        </is>
      </c>
      <c r="S698" t="inlineStr">
        <is>
          <t>shuffled: 7,209 of 10,000</t>
        </is>
      </c>
      <c r="T698" t="n">
        <v>0.1687094191312359</v>
      </c>
      <c r="U698" t="n">
        <v>0.2086989736317997</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0.2054448067333612</v>
      </c>
      <c r="AI698">
        <f>IF($Y698="worse","Yes",IF($Y698="worse, not significant","Not sure",IF(OR($Y698="too few losses to test",$Y698="too few loans to test"),"Too few losses",IF($Y698="","","No"))))</f>
        <v/>
      </c>
      <c r="AJ698">
        <f>IF($AA698="yes","Yes",IF($AA698="","","No"))</f>
        <v/>
      </c>
    </row>
    <row r="699">
      <c r="A699" t="inlineStr">
        <is>
          <t>three-way</t>
        </is>
      </c>
      <c r="B699" t="inlineStr">
        <is>
          <t>FICO x ASSET_CLASS / REV_DEBT</t>
        </is>
      </c>
      <c r="C699" t="inlineStr">
        <is>
          <t>746 - 921</t>
        </is>
      </c>
      <c r="D699" t="inlineStr">
        <is>
          <t>3 / REV_DEBT high half</t>
        </is>
      </c>
      <c r="E699" t="inlineStr">
        <is>
          <t>outcome_loans</t>
        </is>
      </c>
      <c r="F699" t="inlineStr">
        <is>
          <t>Outcome, share of loans</t>
        </is>
      </c>
      <c r="G699" t="n">
        <v>192</v>
      </c>
      <c r="H699" t="n">
        <v>192</v>
      </c>
      <c r="I699" t="b">
        <v>0</v>
      </c>
      <c r="J699" t="b">
        <v>0</v>
      </c>
      <c r="K699" t="n">
        <v>0.6676758347016968</v>
      </c>
      <c r="L699" t="n">
        <v>0.3682875081620477</v>
      </c>
      <c r="M699" t="n">
        <v>1.381209935897436</v>
      </c>
      <c r="N699" t="n">
        <v>0.5405121506478611</v>
      </c>
      <c r="O699" t="n">
        <v>-4.977328038939413</v>
      </c>
      <c r="P699" t="n">
        <v>2.759970993473532</v>
      </c>
      <c r="Q699">
        <f>'_live'!$C$20</f>
        <v/>
      </c>
      <c r="R699" t="inlineStr">
        <is>
          <t>z test</t>
        </is>
      </c>
      <c r="S699" t="inlineStr">
        <is>
          <t>z test</t>
        </is>
      </c>
      <c r="T699" t="n">
        <v>0.07800691686947611</v>
      </c>
      <c r="U699" t="n">
        <v>0.03770848440899202</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0.05208333333333334</v>
      </c>
      <c r="AI699">
        <f>IF($Y699="worse","Yes",IF($Y699="worse, not significant","Not sure",IF(OR($Y699="too few losses to test",$Y699="too few loans to test"),"Too few losses",IF($Y699="","","No"))))</f>
        <v/>
      </c>
      <c r="AJ699">
        <f>IF($AA699="yes","Yes",IF($AA699="","","No"))</f>
        <v/>
      </c>
    </row>
    <row r="700">
      <c r="A700" t="inlineStr">
        <is>
          <t>three-way</t>
        </is>
      </c>
      <c r="B700" t="inlineStr">
        <is>
          <t>FICO x ASSET_CLASS / REV_DEBT</t>
        </is>
      </c>
      <c r="C700" t="inlineStr">
        <is>
          <t>746 - 921</t>
        </is>
      </c>
      <c r="D700" t="inlineStr">
        <is>
          <t>3 / REV_DEBT high half</t>
        </is>
      </c>
      <c r="E700" t="inlineStr">
        <is>
          <t>outcome_booked</t>
        </is>
      </c>
      <c r="F700" t="inlineStr">
        <is>
          <t>Outcome, share of booked dollars</t>
        </is>
      </c>
      <c r="G700" t="n">
        <v>192</v>
      </c>
      <c r="H700" t="n">
        <v>6092828.640000002</v>
      </c>
      <c r="I700" t="b">
        <v>0</v>
      </c>
      <c r="J700" t="b">
        <v>0</v>
      </c>
      <c r="K700" t="n">
        <v>0.4647550265450434</v>
      </c>
      <c r="L700" t="n">
        <v>0.1455854414558544</v>
      </c>
      <c r="M700" t="n">
        <v>0.9506589565934175</v>
      </c>
      <c r="N700" t="n">
        <v>0.9132086791320869</v>
      </c>
      <c r="O700" t="n">
        <v>-247152.2646651085</v>
      </c>
      <c r="P700" t="n">
        <v>-11138.31965280478</v>
      </c>
      <c r="Q700">
        <f>'_live'!$C$21</f>
        <v/>
      </c>
      <c r="R700" t="inlineStr">
        <is>
          <t>shuffled: 545 of 10,000</t>
        </is>
      </c>
      <c r="S700" t="inlineStr">
        <is>
          <t>shuffled: 9,132 of 10,000</t>
        </is>
      </c>
      <c r="T700" t="n">
        <v>0.07578670629822741</v>
      </c>
      <c r="U700" t="n">
        <v>0.03705035591692018</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0.03522225269739409</v>
      </c>
      <c r="AI700">
        <f>IF($Y700="worse","Yes",IF($Y700="worse, not significant","Not sure",IF(OR($Y700="too few losses to test",$Y700="too few loans to test"),"Too few losses",IF($Y700="","","No"))))</f>
        <v/>
      </c>
      <c r="AJ700">
        <f>IF($AA700="yes","Yes",IF($AA700="","","No"))</f>
        <v/>
      </c>
    </row>
    <row r="701">
      <c r="A701" t="inlineStr">
        <is>
          <t>three-way</t>
        </is>
      </c>
      <c r="B701" t="inlineStr">
        <is>
          <t>FICO x ASSET_CLASS / REV_DEBT</t>
        </is>
      </c>
      <c r="C701" t="inlineStr">
        <is>
          <t>746 - 921</t>
        </is>
      </c>
      <c r="D701" t="inlineStr">
        <is>
          <t>3 / REV_DEBT high half</t>
        </is>
      </c>
      <c r="E701" t="inlineStr">
        <is>
          <t>gco_rate</t>
        </is>
      </c>
      <c r="F701" t="inlineStr">
        <is>
          <t>GCO per booked dollar</t>
        </is>
      </c>
      <c r="G701" t="n">
        <v>192</v>
      </c>
      <c r="H701" t="n">
        <v>6092828.640000002</v>
      </c>
      <c r="I701" t="b">
        <v>0</v>
      </c>
      <c r="J701" t="b">
        <v>0</v>
      </c>
      <c r="K701" t="n">
        <v>0.4385484264184326</v>
      </c>
      <c r="L701" t="n">
        <v>0.146985301469853</v>
      </c>
      <c r="M701" t="n">
        <v>0.9466032935025499</v>
      </c>
      <c r="N701" t="n">
        <v>0.9349065093490651</v>
      </c>
      <c r="O701" t="n">
        <v>-144236.6906544112</v>
      </c>
      <c r="P701" t="n">
        <v>-6355.174246358671</v>
      </c>
      <c r="Q701">
        <f>'_live'!$C$22</f>
        <v/>
      </c>
      <c r="R701" t="inlineStr">
        <is>
          <t>shuffled: 489 of 10,000</t>
        </is>
      </c>
      <c r="S701" t="inlineStr">
        <is>
          <t>shuffled: 9,057 of 10,000</t>
        </is>
      </c>
      <c r="T701" t="n">
        <v>0.0421642599576559</v>
      </c>
      <c r="U701" t="n">
        <v>0.01953412795249049</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0.01849106985552772</v>
      </c>
      <c r="AI701">
        <f>IF($Y701="worse","Yes",IF($Y701="worse, not significant","Not sure",IF(OR($Y701="too few losses to test",$Y701="too few loans to test"),"Too few losses",IF($Y701="","","No"))))</f>
        <v/>
      </c>
      <c r="AJ701">
        <f>IF($AA701="yes","Yes",IF($AA701="","","No"))</f>
        <v/>
      </c>
    </row>
    <row r="702">
      <c r="A702" t="inlineStr">
        <is>
          <t>three-way</t>
        </is>
      </c>
      <c r="B702" t="inlineStr">
        <is>
          <t>FICO x ASSET_CLASS / REV_DEBT</t>
        </is>
      </c>
      <c r="C702" t="inlineStr">
        <is>
          <t>746 - 921</t>
        </is>
      </c>
      <c r="D702" t="inlineStr">
        <is>
          <t>3 / REV_DEBT high half</t>
        </is>
      </c>
      <c r="E702" t="inlineStr">
        <is>
          <t>ranr_rate</t>
        </is>
      </c>
      <c r="F702" t="inlineStr">
        <is>
          <t>Profit after losses: RANR per booked dollar</t>
        </is>
      </c>
      <c r="G702" t="n">
        <v>192</v>
      </c>
      <c r="H702" t="n">
        <v>6092828.640000002</v>
      </c>
      <c r="I702" t="b">
        <v>0</v>
      </c>
      <c r="J702" t="b">
        <v>0</v>
      </c>
      <c r="K702" t="n">
        <v>-0.07610518291860652</v>
      </c>
      <c r="L702" t="n">
        <v>0.00034996500349965</v>
      </c>
      <c r="M702" t="n">
        <v>0.007889644408970782</v>
      </c>
      <c r="N702" t="n">
        <v>0.7651234876512348</v>
      </c>
      <c r="O702" t="n">
        <v>463695.8381389247</v>
      </c>
      <c r="P702" t="n">
        <v>-48070.25141439307</v>
      </c>
      <c r="Q702">
        <f>'_live'!$C$23</f>
        <v/>
      </c>
      <c r="R702" t="inlineStr">
        <is>
          <t>shuffled: 0 of 10,000</t>
        </is>
      </c>
      <c r="S702" t="inlineStr">
        <is>
          <t>shuffled: 3,766 of 10,000</t>
        </is>
      </c>
      <c r="T702" t="n">
        <v>0.1297868436586992</v>
      </c>
      <c r="U702" t="n">
        <v>0.04579201633112186</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0.05368166074009264</v>
      </c>
      <c r="AI702">
        <f>IF($Y702="worse","Yes",IF($Y702="worse, not significant","Not sure",IF(OR($Y702="too few losses to test",$Y702="too few loans to test"),"Too few losses",IF($Y702="","","No"))))</f>
        <v/>
      </c>
      <c r="AJ702">
        <f>IF($AA702="yes","Yes",IF($AA702="","","No"))</f>
        <v/>
      </c>
    </row>
    <row r="703">
      <c r="A703" t="inlineStr">
        <is>
          <t>three-way</t>
        </is>
      </c>
      <c r="B703" t="inlineStr">
        <is>
          <t>FICO x ASSET_CLASS / REV_DEBT</t>
        </is>
      </c>
      <c r="C703" t="inlineStr">
        <is>
          <t>746 - 921</t>
        </is>
      </c>
      <c r="D703" t="inlineStr">
        <is>
          <t>3 / REV_DEBT high half</t>
        </is>
      </c>
      <c r="E703" t="inlineStr">
        <is>
          <t>contribution_rate</t>
        </is>
      </c>
      <c r="F703" t="inlineStr">
        <is>
          <t>Contribution before losses per booked dollar</t>
        </is>
      </c>
      <c r="G703" t="n">
        <v>192</v>
      </c>
      <c r="H703" t="n">
        <v>6092828.640000002</v>
      </c>
      <c r="I703" t="b">
        <v>0</v>
      </c>
      <c r="J703" t="b">
        <v>0</v>
      </c>
      <c r="K703" t="n">
        <v>-0.09977572765339819</v>
      </c>
      <c r="L703" t="n">
        <v>0.0001884426941921192</v>
      </c>
      <c r="M703" t="n">
        <v>0.006846586312008004</v>
      </c>
      <c r="N703" t="n">
        <v>0.4415558444155584</v>
      </c>
      <c r="O703" t="n">
        <v>607916.4110234645</v>
      </c>
      <c r="P703" t="n">
        <v>-41715.07716803439</v>
      </c>
      <c r="Q703">
        <f>'_live'!$C$24</f>
        <v/>
      </c>
      <c r="R703" t="inlineStr">
        <is>
          <t>shuffled: 0 of 10,000</t>
        </is>
      </c>
      <c r="S703" t="inlineStr">
        <is>
          <t>shuffled: 91 of 10,000</t>
        </is>
      </c>
      <c r="T703" t="n">
        <v>0.1719484582490186</v>
      </c>
      <c r="U703" t="n">
        <v>0.06532614428361236</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0.07217273059562036</v>
      </c>
      <c r="AI703">
        <f>IF($Y703="worse","Yes",IF($Y703="worse, not significant","Not sure",IF(OR($Y703="too few losses to test",$Y703="too few loans to test"),"Too few losses",IF($Y703="","","No"))))</f>
        <v/>
      </c>
      <c r="AJ703">
        <f>IF($AA703="yes","Yes",IF($AA703="","","No"))</f>
        <v/>
      </c>
    </row>
    <row r="704">
      <c r="A704" t="inlineStr">
        <is>
          <t>three-way</t>
        </is>
      </c>
      <c r="B704" t="inlineStr">
        <is>
          <t>FICO x ASSET_CLASS / REV_DEBT</t>
        </is>
      </c>
      <c r="C704" t="inlineStr">
        <is>
          <t>654 - 685</t>
        </is>
      </c>
      <c r="D704" t="inlineStr">
        <is>
          <t>3 / REV_DEBT high half</t>
        </is>
      </c>
      <c r="E704" t="inlineStr">
        <is>
          <t>outcome_loans</t>
        </is>
      </c>
      <c r="F704" t="inlineStr">
        <is>
          <t>Outcome, share of loans</t>
        </is>
      </c>
      <c r="G704" t="n">
        <v>188</v>
      </c>
      <c r="H704" t="n">
        <v>188</v>
      </c>
      <c r="I704" t="b">
        <v>0</v>
      </c>
      <c r="J704" t="b">
        <v>0</v>
      </c>
      <c r="K704" t="n">
        <v>1.315682624113475</v>
      </c>
      <c r="L704" t="n">
        <v>0.375151577396872</v>
      </c>
      <c r="M704" t="n">
        <v>1.230065171554533</v>
      </c>
      <c r="N704" t="n">
        <v>0.5700393263949008</v>
      </c>
      <c r="O704" t="n">
        <v>4.55882729484061</v>
      </c>
      <c r="P704" t="n">
        <v>3.553663952627682</v>
      </c>
      <c r="Q704">
        <f>'_live'!$C$20</f>
        <v/>
      </c>
      <c r="R704" t="inlineStr">
        <is>
          <t>z test</t>
        </is>
      </c>
      <c r="S704" t="inlineStr">
        <is>
          <t>z test</t>
        </is>
      </c>
      <c r="T704" t="n">
        <v>0.07681474843169889</v>
      </c>
      <c r="U704" t="n">
        <v>0.08216136195410807</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0.101063829787234</v>
      </c>
      <c r="AI704">
        <f>IF($Y704="worse","Yes",IF($Y704="worse, not significant","Not sure",IF(OR($Y704="too few losses to test",$Y704="too few loans to test"),"Too few losses",IF($Y704="","","No"))))</f>
        <v/>
      </c>
      <c r="AJ704">
        <f>IF($AA704="yes","Yes",IF($AA704="","","No"))</f>
        <v/>
      </c>
    </row>
    <row r="705">
      <c r="A705" t="inlineStr">
        <is>
          <t>three-way</t>
        </is>
      </c>
      <c r="B705" t="inlineStr">
        <is>
          <t>FICO x ASSET_CLASS / REV_DEBT</t>
        </is>
      </c>
      <c r="C705" t="inlineStr">
        <is>
          <t>654 - 685</t>
        </is>
      </c>
      <c r="D705" t="inlineStr">
        <is>
          <t>3 / REV_DEBT high half</t>
        </is>
      </c>
      <c r="E705" t="inlineStr">
        <is>
          <t>outcome_booked</t>
        </is>
      </c>
      <c r="F705" t="inlineStr">
        <is>
          <t>Outcome, share of booked dollars</t>
        </is>
      </c>
      <c r="G705" t="n">
        <v>188</v>
      </c>
      <c r="H705" t="n">
        <v>5784886.36</v>
      </c>
      <c r="I705" t="b">
        <v>0</v>
      </c>
      <c r="J705" t="b">
        <v>0</v>
      </c>
      <c r="K705" t="n">
        <v>1.374299953078449</v>
      </c>
      <c r="L705" t="n">
        <v>0.3872843484882281</v>
      </c>
      <c r="M705" t="n">
        <v>1.325812520332648</v>
      </c>
      <c r="N705" t="n">
        <v>0.4856085819989429</v>
      </c>
      <c r="O705" t="n">
        <v>160677.3230173815</v>
      </c>
      <c r="P705" t="n">
        <v>144977.9651586225</v>
      </c>
      <c r="Q705">
        <f>'_live'!$C$21</f>
        <v/>
      </c>
      <c r="R705" t="inlineStr">
        <is>
          <t>shuffled: 1,921 of 10,000</t>
        </is>
      </c>
      <c r="S705" t="inlineStr">
        <is>
          <t>shuffled: 2,832 of 10,000</t>
        </is>
      </c>
      <c r="T705" t="n">
        <v>0.07420616417823954</v>
      </c>
      <c r="U705" t="n">
        <v>0.0769200217861112</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0.1019815279482863</v>
      </c>
      <c r="AI705">
        <f>IF($Y705="worse","Yes",IF($Y705="worse, not significant","Not sure",IF(OR($Y705="too few losses to test",$Y705="too few loans to test"),"Too few losses",IF($Y705="","","No"))))</f>
        <v/>
      </c>
      <c r="AJ705">
        <f>IF($AA705="yes","Yes",IF($AA705="","","No"))</f>
        <v/>
      </c>
    </row>
    <row r="706">
      <c r="A706" t="inlineStr">
        <is>
          <t>three-way</t>
        </is>
      </c>
      <c r="B706" t="inlineStr">
        <is>
          <t>FICO x ASSET_CLASS / REV_DEBT</t>
        </is>
      </c>
      <c r="C706" t="inlineStr">
        <is>
          <t>654 - 685</t>
        </is>
      </c>
      <c r="D706" t="inlineStr">
        <is>
          <t>3 / REV_DEBT high half</t>
        </is>
      </c>
      <c r="E706" t="inlineStr">
        <is>
          <t>gco_rate</t>
        </is>
      </c>
      <c r="F706" t="inlineStr">
        <is>
          <t>GCO per booked dollar</t>
        </is>
      </c>
      <c r="G706" t="n">
        <v>188</v>
      </c>
      <c r="H706" t="n">
        <v>5784886.36</v>
      </c>
      <c r="I706" t="b">
        <v>0</v>
      </c>
      <c r="J706" t="b">
        <v>0</v>
      </c>
      <c r="K706" t="n">
        <v>1.505680855511252</v>
      </c>
      <c r="L706" t="n">
        <v>0.2186181381861814</v>
      </c>
      <c r="M706" t="n">
        <v>1.440735462037166</v>
      </c>
      <c r="N706" t="n">
        <v>0.2938783044772446</v>
      </c>
      <c r="O706" t="n">
        <v>120343.7905978133</v>
      </c>
      <c r="P706" t="n">
        <v>109615.9754600285</v>
      </c>
      <c r="Q706">
        <f>'_live'!$C$22</f>
        <v/>
      </c>
      <c r="R706" t="inlineStr">
        <is>
          <t>shuffled: 861 of 10,000</t>
        </is>
      </c>
      <c r="S706" t="inlineStr">
        <is>
          <t>shuffled: 1,591 of 10,000</t>
        </is>
      </c>
      <c r="T706" t="n">
        <v>0.04113886852605115</v>
      </c>
      <c r="U706" t="n">
        <v>0.04299332416617627</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0.06194200675706962</v>
      </c>
      <c r="AI706">
        <f>IF($Y706="worse","Yes",IF($Y706="worse, not significant","Not sure",IF(OR($Y706="too few losses to test",$Y706="too few loans to test"),"Too few losses",IF($Y706="","","No"))))</f>
        <v/>
      </c>
      <c r="AJ706">
        <f>IF($AA706="yes","Yes",IF($AA706="","","No"))</f>
        <v/>
      </c>
    </row>
    <row r="707">
      <c r="A707" t="inlineStr">
        <is>
          <t>three-way</t>
        </is>
      </c>
      <c r="B707" t="inlineStr">
        <is>
          <t>FICO x ASSET_CLASS / REV_DEBT</t>
        </is>
      </c>
      <c r="C707" t="inlineStr">
        <is>
          <t>654 - 685</t>
        </is>
      </c>
      <c r="D707" t="inlineStr">
        <is>
          <t>3 / REV_DEBT high half</t>
        </is>
      </c>
      <c r="E707" t="inlineStr">
        <is>
          <t>ranr_rate</t>
        </is>
      </c>
      <c r="F707" t="inlineStr">
        <is>
          <t>Profit after losses: RANR per booked dollar</t>
        </is>
      </c>
      <c r="G707" t="n">
        <v>188</v>
      </c>
      <c r="H707" t="n">
        <v>5784886.36</v>
      </c>
      <c r="I707" t="b">
        <v>0</v>
      </c>
      <c r="J707" t="b">
        <v>0</v>
      </c>
      <c r="K707" t="n">
        <v>0.02293078526215761</v>
      </c>
      <c r="L707" t="n">
        <v>0.1761101667611017</v>
      </c>
      <c r="M707" t="n">
        <v>-0.01435087042680117</v>
      </c>
      <c r="N707" t="n">
        <v>0.7651234876512348</v>
      </c>
      <c r="O707" t="n">
        <v>-132651.9868871446</v>
      </c>
      <c r="P707" t="n">
        <v>83018.15458612936</v>
      </c>
      <c r="Q707">
        <f>'_live'!$C$23</f>
        <v/>
      </c>
      <c r="R707" t="inlineStr">
        <is>
          <t>shuffled: 1,293 of 10,000</t>
        </is>
      </c>
      <c r="S707" t="inlineStr">
        <is>
          <t>shuffled: 3,825 of 10,000</t>
        </is>
      </c>
      <c r="T707" t="n">
        <v>0.1274760310266242</v>
      </c>
      <c r="U707" t="n">
        <v>0.164757686715583</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0.1504068162887819</v>
      </c>
      <c r="AI707">
        <f>IF($Y707="worse","Yes",IF($Y707="worse, not significant","Not sure",IF(OR($Y707="too few losses to test",$Y707="too few loans to test"),"Too few losses",IF($Y707="","","No"))))</f>
        <v/>
      </c>
      <c r="AJ707">
        <f>IF($AA707="yes","Yes",IF($AA707="","","No"))</f>
        <v/>
      </c>
    </row>
    <row r="708">
      <c r="A708" t="inlineStr">
        <is>
          <t>three-way</t>
        </is>
      </c>
      <c r="B708" t="inlineStr">
        <is>
          <t>FICO x ASSET_CLASS / REV_DEBT</t>
        </is>
      </c>
      <c r="C708" t="inlineStr">
        <is>
          <t>654 - 685</t>
        </is>
      </c>
      <c r="D708" t="inlineStr">
        <is>
          <t>3 / REV_DEBT high half</t>
        </is>
      </c>
      <c r="E708" t="inlineStr">
        <is>
          <t>contribution_rate</t>
        </is>
      </c>
      <c r="F708" t="inlineStr">
        <is>
          <t>Contribution before losses per booked dollar</t>
        </is>
      </c>
      <c r="G708" t="n">
        <v>188</v>
      </c>
      <c r="H708" t="n">
        <v>5784886.36</v>
      </c>
      <c r="I708" t="b">
        <v>0</v>
      </c>
      <c r="J708" t="b">
        <v>0</v>
      </c>
      <c r="K708" t="n">
        <v>0.04373692918110139</v>
      </c>
      <c r="L708" t="n">
        <v>0.0003378972447582828</v>
      </c>
      <c r="M708" t="n">
        <v>0.004597812164091997</v>
      </c>
      <c r="N708" t="n">
        <v>0.8189950235745658</v>
      </c>
      <c r="O708" t="n">
        <v>-253013.1650480395</v>
      </c>
      <c r="P708" t="n">
        <v>-26597.82087389799</v>
      </c>
      <c r="Q708">
        <f>'_live'!$C$24</f>
        <v/>
      </c>
      <c r="R708" t="inlineStr">
        <is>
          <t>shuffled: 1 of 10,000</t>
        </is>
      </c>
      <c r="S708" t="inlineStr">
        <is>
          <t>shuffled: 6,263 of 10,000</t>
        </is>
      </c>
      <c r="T708" t="n">
        <v>0.1686118938647499</v>
      </c>
      <c r="U708" t="n">
        <v>0.2077510108817593</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0.2123488230458513</v>
      </c>
      <c r="AI708">
        <f>IF($Y708="worse","Yes",IF($Y708="worse, not significant","Not sure",IF(OR($Y708="too few losses to test",$Y708="too few loans to test"),"Too few losses",IF($Y708="","","No"))))</f>
        <v/>
      </c>
      <c r="AJ708">
        <f>IF($AA708="yes","Yes",IF($AA708="","","No"))</f>
        <v/>
      </c>
    </row>
    <row r="709">
      <c r="A709" t="inlineStr">
        <is>
          <t>three-way</t>
        </is>
      </c>
      <c r="B709" t="inlineStr">
        <is>
          <t>FICO x ASSET_CLASS / REV_DEBT</t>
        </is>
      </c>
      <c r="C709" t="inlineStr">
        <is>
          <t>496 - 653</t>
        </is>
      </c>
      <c r="D709" t="inlineStr">
        <is>
          <t>3 / REV_DEBT low half</t>
        </is>
      </c>
      <c r="E709" t="inlineStr">
        <is>
          <t>outcome_loans</t>
        </is>
      </c>
      <c r="F709" t="inlineStr">
        <is>
          <t>Outcome, share of loans</t>
        </is>
      </c>
      <c r="G709" t="n">
        <v>175</v>
      </c>
      <c r="H709" t="n">
        <v>175</v>
      </c>
      <c r="I709" t="b">
        <v>0</v>
      </c>
      <c r="J709" t="b">
        <v>0</v>
      </c>
      <c r="K709" t="n">
        <v>1.339025433800808</v>
      </c>
      <c r="L709" t="n">
        <v>0.3734066750891921</v>
      </c>
      <c r="M709" t="n">
        <v>0.657142857142857</v>
      </c>
      <c r="N709" t="n">
        <v>0.1474023727920892</v>
      </c>
      <c r="O709" t="n">
        <v>4.557387525562371</v>
      </c>
      <c r="P709" t="n">
        <v>-9.39130434782609</v>
      </c>
      <c r="Q709">
        <f>'_live'!$C$20</f>
        <v/>
      </c>
      <c r="R709" t="inlineStr">
        <is>
          <t>z test</t>
        </is>
      </c>
      <c r="S709" t="inlineStr">
        <is>
          <t>z test</t>
        </is>
      </c>
      <c r="T709" t="n">
        <v>0.07681492842535788</v>
      </c>
      <c r="U709" t="n">
        <v>0.1565217391304348</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0.1028571428571429</v>
      </c>
      <c r="AI709">
        <f>IF($Y709="worse","Yes",IF($Y709="worse, not significant","Not sure",IF(OR($Y709="too few losses to test",$Y709="too few loans to test"),"Too few losses",IF($Y709="","","No"))))</f>
        <v/>
      </c>
      <c r="AJ709">
        <f>IF($AA709="yes","Yes",IF($AA709="","","No"))</f>
        <v/>
      </c>
    </row>
    <row r="710">
      <c r="A710" t="inlineStr">
        <is>
          <t>three-way</t>
        </is>
      </c>
      <c r="B710" t="inlineStr">
        <is>
          <t>FICO x ASSET_CLASS / REV_DEBT</t>
        </is>
      </c>
      <c r="C710" t="inlineStr">
        <is>
          <t>496 - 653</t>
        </is>
      </c>
      <c r="D710" t="inlineStr">
        <is>
          <t>3 / REV_DEBT low half</t>
        </is>
      </c>
      <c r="E710" t="inlineStr">
        <is>
          <t>outcome_booked</t>
        </is>
      </c>
      <c r="F710" t="inlineStr">
        <is>
          <t>Outcome, share of booked dollars</t>
        </is>
      </c>
      <c r="G710" t="n">
        <v>175</v>
      </c>
      <c r="H710" t="n">
        <v>5945032.699999998</v>
      </c>
      <c r="I710" t="b">
        <v>0</v>
      </c>
      <c r="J710" t="b">
        <v>0</v>
      </c>
      <c r="K710" t="n">
        <v>1.239619111666213</v>
      </c>
      <c r="L710" t="n">
        <v>0.5634103256341033</v>
      </c>
      <c r="M710" t="n">
        <v>0.5886139597872938</v>
      </c>
      <c r="N710" t="n">
        <v>0.1099090090990901</v>
      </c>
      <c r="O710" t="n">
        <v>106011.7041213664</v>
      </c>
      <c r="P710" t="n">
        <v>-383300.7049366882</v>
      </c>
      <c r="Q710">
        <f>'_live'!$C$21</f>
        <v/>
      </c>
      <c r="R710" t="inlineStr">
        <is>
          <t>shuffled: 4,225 of 10,000</t>
        </is>
      </c>
      <c r="S710" t="inlineStr">
        <is>
          <t>shuffled: 457 of 10,000</t>
        </is>
      </c>
      <c r="T710" t="n">
        <v>0.07441802059030453</v>
      </c>
      <c r="U710" t="n">
        <v>0.1567241127095379</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0.09225000057611124</v>
      </c>
      <c r="AI710">
        <f>IF($Y710="worse","Yes",IF($Y710="worse, not significant","Not sure",IF(OR($Y710="too few losses to test",$Y710="too few loans to test"),"Too few losses",IF($Y710="","","No"))))</f>
        <v/>
      </c>
      <c r="AJ710">
        <f>IF($AA710="yes","Yes",IF($AA710="","","No"))</f>
        <v/>
      </c>
    </row>
    <row r="711">
      <c r="A711" t="inlineStr">
        <is>
          <t>three-way</t>
        </is>
      </c>
      <c r="B711" t="inlineStr">
        <is>
          <t>FICO x ASSET_CLASS / REV_DEBT</t>
        </is>
      </c>
      <c r="C711" t="inlineStr">
        <is>
          <t>496 - 653</t>
        </is>
      </c>
      <c r="D711" t="inlineStr">
        <is>
          <t>3 / REV_DEBT low half</t>
        </is>
      </c>
      <c r="E711" t="inlineStr">
        <is>
          <t>gco_rate</t>
        </is>
      </c>
      <c r="F711" t="inlineStr">
        <is>
          <t>GCO per booked dollar</t>
        </is>
      </c>
      <c r="G711" t="n">
        <v>175</v>
      </c>
      <c r="H711" t="n">
        <v>5945032.699999998</v>
      </c>
      <c r="I711" t="b">
        <v>0</v>
      </c>
      <c r="J711" t="b">
        <v>0</v>
      </c>
      <c r="K711" t="n">
        <v>1.320189816308607</v>
      </c>
      <c r="L711" t="n">
        <v>0.4230635759953416</v>
      </c>
      <c r="M711" t="n">
        <v>0.6246296544128618</v>
      </c>
      <c r="N711" t="n">
        <v>0.1797420257974203</v>
      </c>
      <c r="O711" t="n">
        <v>78617.2641104272</v>
      </c>
      <c r="P711" t="n">
        <v>-194797.8464095514</v>
      </c>
      <c r="Q711">
        <f>'_live'!$C$22</f>
        <v/>
      </c>
      <c r="R711" t="inlineStr">
        <is>
          <t>shuffled: 2,996 of 10,000</t>
        </is>
      </c>
      <c r="S711" t="inlineStr">
        <is>
          <t>shuffled: 748 of 10,000</t>
        </is>
      </c>
      <c r="T711" t="n">
        <v>0.04130058122128964</v>
      </c>
      <c r="U711" t="n">
        <v>0.08729109537270527</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0.05452460673597305</v>
      </c>
      <c r="AI711">
        <f>IF($Y711="worse","Yes",IF($Y711="worse, not significant","Not sure",IF(OR($Y711="too few losses to test",$Y711="too few loans to test"),"Too few losses",IF($Y711="","","No"))))</f>
        <v/>
      </c>
      <c r="AJ711">
        <f>IF($AA711="yes","Yes",IF($AA711="","","No"))</f>
        <v/>
      </c>
    </row>
    <row r="712">
      <c r="A712" t="inlineStr">
        <is>
          <t>three-way</t>
        </is>
      </c>
      <c r="B712" t="inlineStr">
        <is>
          <t>FICO x ASSET_CLASS / REV_DEBT</t>
        </is>
      </c>
      <c r="C712" t="inlineStr">
        <is>
          <t>496 - 653</t>
        </is>
      </c>
      <c r="D712" t="inlineStr">
        <is>
          <t>3 / REV_DEBT low half</t>
        </is>
      </c>
      <c r="E712" t="inlineStr">
        <is>
          <t>ranr_rate</t>
        </is>
      </c>
      <c r="F712" t="inlineStr">
        <is>
          <t>Profit after losses: RANR per booked dollar</t>
        </is>
      </c>
      <c r="G712" t="n">
        <v>175</v>
      </c>
      <c r="H712" t="n">
        <v>5945032.699999998</v>
      </c>
      <c r="I712" t="b">
        <v>0</v>
      </c>
      <c r="J712" t="b">
        <v>0</v>
      </c>
      <c r="K712" t="n">
        <v>0.1008854655399211</v>
      </c>
      <c r="L712" t="n">
        <v>0.00034996500349965</v>
      </c>
      <c r="M712" t="n">
        <v>0.04120704072063186</v>
      </c>
      <c r="N712" t="n">
        <v>0.1987001299870013</v>
      </c>
      <c r="O712" t="n">
        <v>-599767.3915895538</v>
      </c>
      <c r="P712" t="n">
        <v>-244977.2045543878</v>
      </c>
      <c r="Q712">
        <f>'_live'!$C$23</f>
        <v/>
      </c>
      <c r="R712" t="inlineStr">
        <is>
          <t>shuffled: 0 of 10,000</t>
        </is>
      </c>
      <c r="S712" t="inlineStr">
        <is>
          <t>shuffled: 620 of 10,000</t>
        </is>
      </c>
      <c r="T712" t="n">
        <v>0.1256659863974249</v>
      </c>
      <c r="U712" t="n">
        <v>0.1853444112167142</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0.226551451937346</v>
      </c>
      <c r="AI712">
        <f>IF($Y712="worse","Yes",IF($Y712="worse, not significant","Not sure",IF(OR($Y712="too few losses to test",$Y712="too few loans to test"),"Too few losses",IF($Y712="","","No"))))</f>
        <v/>
      </c>
      <c r="AJ712">
        <f>IF($AA712="yes","Yes",IF($AA712="","","No"))</f>
        <v/>
      </c>
    </row>
    <row r="713">
      <c r="A713" t="inlineStr">
        <is>
          <t>three-way</t>
        </is>
      </c>
      <c r="B713" t="inlineStr">
        <is>
          <t>FICO x ASSET_CLASS / REV_DEBT</t>
        </is>
      </c>
      <c r="C713" t="inlineStr">
        <is>
          <t>496 - 653</t>
        </is>
      </c>
      <c r="D713" t="inlineStr">
        <is>
          <t>3 / REV_DEBT low half</t>
        </is>
      </c>
      <c r="E713" t="inlineStr">
        <is>
          <t>contribution_rate</t>
        </is>
      </c>
      <c r="F713" t="inlineStr">
        <is>
          <t>Contribution before losses per booked dollar</t>
        </is>
      </c>
      <c r="G713" t="n">
        <v>175</v>
      </c>
      <c r="H713" t="n">
        <v>5945032.699999998</v>
      </c>
      <c r="I713" t="b">
        <v>0</v>
      </c>
      <c r="J713" t="b">
        <v>0</v>
      </c>
      <c r="K713" t="n">
        <v>0.1141127835993598</v>
      </c>
      <c r="L713" t="n">
        <v>0.0001884426941921192</v>
      </c>
      <c r="M713" t="n">
        <v>0.008440552083899766</v>
      </c>
      <c r="N713" t="n">
        <v>0.7920756311465628</v>
      </c>
      <c r="O713" t="n">
        <v>-678404.2299862175</v>
      </c>
      <c r="P713" t="n">
        <v>-50179.3581448372</v>
      </c>
      <c r="Q713">
        <f>'_live'!$C$24</f>
        <v/>
      </c>
      <c r="R713" t="inlineStr">
        <is>
          <t>shuffled: 0 of 10,000</t>
        </is>
      </c>
      <c r="S713" t="inlineStr">
        <is>
          <t>shuffled: 5,115 of 10,000</t>
        </is>
      </c>
      <c r="T713" t="n">
        <v>0.1669632750739593</v>
      </c>
      <c r="U713" t="n">
        <v>0.2726355065894194</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0.2810760586733191</v>
      </c>
      <c r="AI713">
        <f>IF($Y713="worse","Yes",IF($Y713="worse, not significant","Not sure",IF(OR($Y713="too few losses to test",$Y713="too few loans to test"),"Too few losses",IF($Y713="","","No"))))</f>
        <v/>
      </c>
      <c r="AJ713">
        <f>IF($AA713="yes","Yes",IF($AA713="","","No"))</f>
        <v/>
      </c>
    </row>
    <row r="714">
      <c r="A714" t="inlineStr">
        <is>
          <t>three-way</t>
        </is>
      </c>
      <c r="B714" t="inlineStr">
        <is>
          <t>FICO x ASSET_CLASS / REV_DEBT</t>
        </is>
      </c>
      <c r="C714" t="inlineStr">
        <is>
          <t>654 - 685</t>
        </is>
      </c>
      <c r="D714" t="inlineStr">
        <is>
          <t>4 / REV_DEBT high half</t>
        </is>
      </c>
      <c r="E714" t="inlineStr">
        <is>
          <t>outcome_loans</t>
        </is>
      </c>
      <c r="F714" t="inlineStr">
        <is>
          <t>Outcome, share of loans</t>
        </is>
      </c>
      <c r="G714" t="n">
        <v>205</v>
      </c>
      <c r="H714" t="n">
        <v>205</v>
      </c>
      <c r="I714" t="b">
        <v>0</v>
      </c>
      <c r="J714" t="b">
        <v>0</v>
      </c>
      <c r="K714" t="n">
        <v>1.936477700939997</v>
      </c>
      <c r="L714" t="n">
        <v>0.0009802499753608774</v>
      </c>
      <c r="M714" t="n">
        <v>1.952195121951219</v>
      </c>
      <c r="N714" t="n">
        <v>0.004982057039350564</v>
      </c>
      <c r="O714" t="n">
        <v>14.50795483705414</v>
      </c>
      <c r="P714" t="n">
        <v>14.63268365817091</v>
      </c>
      <c r="Q714">
        <f>'_live'!$C$20</f>
        <v/>
      </c>
      <c r="R714" t="inlineStr">
        <is>
          <t>z test</t>
        </is>
      </c>
      <c r="S714" t="inlineStr">
        <is>
          <t>z test</t>
        </is>
      </c>
      <c r="T714" t="n">
        <v>0.07557095201437003</v>
      </c>
      <c r="U714" t="n">
        <v>0.07496251874062969</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0.1463414634146341</v>
      </c>
      <c r="AI714">
        <f>IF($Y714="worse","Yes",IF($Y714="worse, not significant","Not sure",IF(OR($Y714="too few losses to test",$Y714="too few loans to test"),"Too few losses",IF($Y714="","","No"))))</f>
        <v/>
      </c>
      <c r="AJ714">
        <f>IF($AA714="yes","Yes",IF($AA714="","","No"))</f>
        <v/>
      </c>
    </row>
    <row r="715">
      <c r="A715" t="inlineStr">
        <is>
          <t>three-way</t>
        </is>
      </c>
      <c r="B715" t="inlineStr">
        <is>
          <t>FICO x ASSET_CLASS / REV_DEBT</t>
        </is>
      </c>
      <c r="C715" t="inlineStr">
        <is>
          <t>654 - 685</t>
        </is>
      </c>
      <c r="D715" t="inlineStr">
        <is>
          <t>4 / REV_DEBT high half</t>
        </is>
      </c>
      <c r="E715" t="inlineStr">
        <is>
          <t>outcome_booked</t>
        </is>
      </c>
      <c r="F715" t="inlineStr">
        <is>
          <t>Outcome, share of booked dollars</t>
        </is>
      </c>
      <c r="G715" t="n">
        <v>205</v>
      </c>
      <c r="H715" t="n">
        <v>6558477.669999999</v>
      </c>
      <c r="I715" t="b">
        <v>0</v>
      </c>
      <c r="J715" t="b">
        <v>0</v>
      </c>
      <c r="K715" t="n">
        <v>2.175803948034364</v>
      </c>
      <c r="L715" t="n">
        <v>0.0023997600239976</v>
      </c>
      <c r="M715" t="n">
        <v>2.329363576216264</v>
      </c>
      <c r="N715" t="n">
        <v>0.0011998800119988</v>
      </c>
      <c r="O715" t="n">
        <v>560296.6872819341</v>
      </c>
      <c r="P715" t="n">
        <v>591710.6636216295</v>
      </c>
      <c r="Q715">
        <f>'_live'!$C$21</f>
        <v/>
      </c>
      <c r="R715" t="inlineStr">
        <is>
          <t>shuffled: 3 of 10,000</t>
        </is>
      </c>
      <c r="S715" t="inlineStr">
        <is>
          <t>shuffled: 0 of 10,000</t>
        </is>
      </c>
      <c r="T715" t="n">
        <v>0.07265744074997608</v>
      </c>
      <c r="U715" t="n">
        <v>0.06786761330520331</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0.1580883464378709</v>
      </c>
      <c r="AI715">
        <f>IF($Y715="worse","Yes",IF($Y715="worse, not significant","Not sure",IF(OR($Y715="too few losses to test",$Y715="too few loans to test"),"Too few losses",IF($Y715="","","No"))))</f>
        <v/>
      </c>
      <c r="AJ715">
        <f>IF($AA715="yes","Yes",IF($AA715="","","No"))</f>
        <v/>
      </c>
    </row>
    <row r="716">
      <c r="A716" t="inlineStr">
        <is>
          <t>three-way</t>
        </is>
      </c>
      <c r="B716" t="inlineStr">
        <is>
          <t>FICO x ASSET_CLASS / REV_DEBT</t>
        </is>
      </c>
      <c r="C716" t="inlineStr">
        <is>
          <t>654 - 685</t>
        </is>
      </c>
      <c r="D716" t="inlineStr">
        <is>
          <t>4 / REV_DEBT high half</t>
        </is>
      </c>
      <c r="E716" t="inlineStr">
        <is>
          <t>gco_rate</t>
        </is>
      </c>
      <c r="F716" t="inlineStr">
        <is>
          <t>GCO per booked dollar</t>
        </is>
      </c>
      <c r="G716" t="n">
        <v>205</v>
      </c>
      <c r="H716" t="n">
        <v>6558477.669999999</v>
      </c>
      <c r="I716" t="b">
        <v>0</v>
      </c>
      <c r="J716" t="b">
        <v>0</v>
      </c>
      <c r="K716" t="n">
        <v>2.115623468243722</v>
      </c>
      <c r="L716" t="n">
        <v>0.004199580041995801</v>
      </c>
      <c r="M716" t="n">
        <v>2.193270999651162</v>
      </c>
      <c r="N716" t="n">
        <v>0.008399160083991601</v>
      </c>
      <c r="O716" t="n">
        <v>296022.8842968085</v>
      </c>
      <c r="P716" t="n">
        <v>305416.7208871613</v>
      </c>
      <c r="Q716">
        <f>'_live'!$C$22</f>
        <v/>
      </c>
      <c r="R716" t="inlineStr">
        <is>
          <t>shuffled: 6 of 10,000</t>
        </is>
      </c>
      <c r="S716" t="inlineStr">
        <is>
          <t>shuffled: 6 of 10,000</t>
        </is>
      </c>
      <c r="T716" t="n">
        <v>0.04045801770690356</v>
      </c>
      <c r="U716" t="n">
        <v>0.03902569803410472</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0.08559393173934525</v>
      </c>
      <c r="AI716">
        <f>IF($Y716="worse","Yes",IF($Y716="worse, not significant","Not sure",IF(OR($Y716="too few losses to test",$Y716="too few loans to test"),"Too few losses",IF($Y716="","","No"))))</f>
        <v/>
      </c>
      <c r="AJ716">
        <f>IF($AA716="yes","Yes",IF($AA716="","","No"))</f>
        <v/>
      </c>
    </row>
    <row r="717">
      <c r="A717" t="inlineStr">
        <is>
          <t>three-way</t>
        </is>
      </c>
      <c r="B717" t="inlineStr">
        <is>
          <t>FICO x ASSET_CLASS / REV_DEBT</t>
        </is>
      </c>
      <c r="C717" t="inlineStr">
        <is>
          <t>654 - 685</t>
        </is>
      </c>
      <c r="D717" t="inlineStr">
        <is>
          <t>4 / REV_DEBT high half</t>
        </is>
      </c>
      <c r="E717" t="inlineStr">
        <is>
          <t>ranr_rate</t>
        </is>
      </c>
      <c r="F717" t="inlineStr">
        <is>
          <t>Profit after losses: RANR per booked dollar</t>
        </is>
      </c>
      <c r="G717" t="n">
        <v>205</v>
      </c>
      <c r="H717" t="n">
        <v>6558477.669999999</v>
      </c>
      <c r="I717" t="b">
        <v>0</v>
      </c>
      <c r="J717" t="b">
        <v>0</v>
      </c>
      <c r="K717" t="n">
        <v>-0.005893633794462713</v>
      </c>
      <c r="L717" t="n">
        <v>0.7272577090117076</v>
      </c>
      <c r="M717" t="n">
        <v>-0.04708703273396871</v>
      </c>
      <c r="N717" t="n">
        <v>0.0647935206479352</v>
      </c>
      <c r="O717" t="n">
        <v>38653.26563614106</v>
      </c>
      <c r="P717" t="n">
        <v>308819.2527322927</v>
      </c>
      <c r="Q717">
        <f>'_live'!$C$23</f>
        <v/>
      </c>
      <c r="R717" t="inlineStr">
        <is>
          <t>shuffled: 6,827 of 10,000</t>
        </is>
      </c>
      <c r="S717" t="inlineStr">
        <is>
          <t>shuffled: 26 of 10,000</t>
        </is>
      </c>
      <c r="T717" t="n">
        <v>0.1281398287715968</v>
      </c>
      <c r="U717" t="n">
        <v>0.1693332277111028</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0.1222461949771341</v>
      </c>
      <c r="AI717">
        <f>IF($Y717="worse","Yes",IF($Y717="worse, not significant","Not sure",IF(OR($Y717="too few losses to test",$Y717="too few loans to test"),"Too few losses",IF($Y717="","","No"))))</f>
        <v/>
      </c>
      <c r="AJ717">
        <f>IF($AA717="yes","Yes",IF($AA717="","","No"))</f>
        <v/>
      </c>
    </row>
    <row r="718">
      <c r="A718" t="inlineStr">
        <is>
          <t>three-way</t>
        </is>
      </c>
      <c r="B718" t="inlineStr">
        <is>
          <t>FICO x ASSET_CLASS / REV_DEBT</t>
        </is>
      </c>
      <c r="C718" t="inlineStr">
        <is>
          <t>654 - 685</t>
        </is>
      </c>
      <c r="D718" t="inlineStr">
        <is>
          <t>4 / REV_DEBT high half</t>
        </is>
      </c>
      <c r="E718" t="inlineStr">
        <is>
          <t>contribution_rate</t>
        </is>
      </c>
      <c r="F718" t="inlineStr">
        <is>
          <t>Contribution before losses per booked dollar</t>
        </is>
      </c>
      <c r="G718" t="n">
        <v>205</v>
      </c>
      <c r="H718" t="n">
        <v>6558477.669999999</v>
      </c>
      <c r="I718" t="b">
        <v>0</v>
      </c>
      <c r="J718" t="b">
        <v>0</v>
      </c>
      <c r="K718" t="n">
        <v>0.0392451904185519</v>
      </c>
      <c r="L718" t="n">
        <v>0.0001884426941921192</v>
      </c>
      <c r="M718" t="n">
        <v>-0.0005187990287280619</v>
      </c>
      <c r="N718" t="n">
        <v>0.9967003299670033</v>
      </c>
      <c r="O718" t="n">
        <v>-257388.7050149706</v>
      </c>
      <c r="P718" t="n">
        <v>3402.531845130725</v>
      </c>
      <c r="Q718">
        <f>'_live'!$C$24</f>
        <v/>
      </c>
      <c r="R718" t="inlineStr">
        <is>
          <t>shuffled: 0 of 10,000</t>
        </is>
      </c>
      <c r="S718" t="inlineStr">
        <is>
          <t>shuffled: 9,563 of 10,000</t>
        </is>
      </c>
      <c r="T718" t="n">
        <v>0.1685949362979275</v>
      </c>
      <c r="U718" t="n">
        <v>0.2083589257452075</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0.2078401267164794</v>
      </c>
      <c r="AI718">
        <f>IF($Y718="worse","Yes",IF($Y718="worse, not significant","Not sure",IF(OR($Y718="too few losses to test",$Y718="too few loans to test"),"Too few losses",IF($Y718="","","No"))))</f>
        <v/>
      </c>
      <c r="AJ718">
        <f>IF($AA718="yes","Yes",IF($AA718="","","No"))</f>
        <v/>
      </c>
    </row>
    <row r="719">
      <c r="A719" t="inlineStr">
        <is>
          <t>three-way</t>
        </is>
      </c>
      <c r="B719" t="inlineStr">
        <is>
          <t>FICO x ASSET_CLASS / REV_DEBT</t>
        </is>
      </c>
      <c r="C719" t="inlineStr">
        <is>
          <t>746 - 921</t>
        </is>
      </c>
      <c r="D719" t="inlineStr">
        <is>
          <t>2 / REV_DEBT low half</t>
        </is>
      </c>
      <c r="E719" t="inlineStr">
        <is>
          <t>outcome_loans</t>
        </is>
      </c>
      <c r="F719" t="inlineStr">
        <is>
          <t>Outcome, share of loans</t>
        </is>
      </c>
      <c r="G719" t="n">
        <v>200</v>
      </c>
      <c r="H719" t="n">
        <v>200</v>
      </c>
      <c r="I719" t="b">
        <v>1</v>
      </c>
      <c r="J719" t="b">
        <v>0</v>
      </c>
      <c r="K719" t="n">
        <v>0.2536260162601626</v>
      </c>
      <c r="M719" t="n">
        <v>0.4727586206896552</v>
      </c>
      <c r="O719" t="n">
        <v>-11.7712527247083</v>
      </c>
      <c r="P719" t="n">
        <v>-4.460977388767322</v>
      </c>
      <c r="Q719">
        <f>'_live'!$C$20</f>
        <v/>
      </c>
      <c r="T719" t="n">
        <v>0.07885626362354148</v>
      </c>
      <c r="U719" t="n">
        <v>0.04230488694383661</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0.02</v>
      </c>
      <c r="AI719">
        <f>IF($Y719="worse","Yes",IF($Y719="worse, not significant","Not sure",IF(OR($Y719="too few losses to test",$Y719="too few loans to test"),"Too few losses",IF($Y719="","","No"))))</f>
        <v/>
      </c>
      <c r="AJ719">
        <f>IF($AA719="yes","Yes",IF($AA719="","","No"))</f>
        <v/>
      </c>
    </row>
    <row r="720">
      <c r="A720" t="inlineStr">
        <is>
          <t>three-way</t>
        </is>
      </c>
      <c r="B720" t="inlineStr">
        <is>
          <t>FICO x ASSET_CLASS / REV_DEBT</t>
        </is>
      </c>
      <c r="C720" t="inlineStr">
        <is>
          <t>746 - 921</t>
        </is>
      </c>
      <c r="D720" t="inlineStr">
        <is>
          <t>2 / REV_DEBT low half</t>
        </is>
      </c>
      <c r="E720" t="inlineStr">
        <is>
          <t>outcome_booked</t>
        </is>
      </c>
      <c r="F720" t="inlineStr">
        <is>
          <t>Outcome, share of booked dollars</t>
        </is>
      </c>
      <c r="G720" t="n">
        <v>200</v>
      </c>
      <c r="H720" t="n">
        <v>6369533.53</v>
      </c>
      <c r="I720" t="b">
        <v>1</v>
      </c>
      <c r="J720" t="b">
        <v>0</v>
      </c>
      <c r="K720" t="n">
        <v>0.2557334601954954</v>
      </c>
      <c r="M720" t="n">
        <v>0.4956554224423027</v>
      </c>
      <c r="O720" t="n">
        <v>-361375.325088524</v>
      </c>
      <c r="P720" t="n">
        <v>-126347.0335357292</v>
      </c>
      <c r="Q720">
        <f>'_live'!$C$21</f>
        <v/>
      </c>
      <c r="T720" t="n">
        <v>0.07622937736360798</v>
      </c>
      <c r="U720" t="n">
        <v>0.03933055416943998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0.01949440244174364</v>
      </c>
      <c r="AI720">
        <f>IF($Y720="worse","Yes",IF($Y720="worse, not significant","Not sure",IF(OR($Y720="too few losses to test",$Y720="too few loans to test"),"Too few losses",IF($Y720="","","No"))))</f>
        <v/>
      </c>
      <c r="AJ720">
        <f>IF($AA720="yes","Yes",IF($AA720="","","No"))</f>
        <v/>
      </c>
    </row>
    <row r="721">
      <c r="A721" t="inlineStr">
        <is>
          <t>three-way</t>
        </is>
      </c>
      <c r="B721" t="inlineStr">
        <is>
          <t>FICO x ASSET_CLASS / REV_DEBT</t>
        </is>
      </c>
      <c r="C721" t="inlineStr">
        <is>
          <t>746 - 921</t>
        </is>
      </c>
      <c r="D721" t="inlineStr">
        <is>
          <t>2 / REV_DEBT low half</t>
        </is>
      </c>
      <c r="E721" t="inlineStr">
        <is>
          <t>gco_rate</t>
        </is>
      </c>
      <c r="F721" t="inlineStr">
        <is>
          <t>GCO per booked dollar</t>
        </is>
      </c>
      <c r="G721" t="n">
        <v>200</v>
      </c>
      <c r="H721" t="n">
        <v>6369533.53</v>
      </c>
      <c r="I721" t="b">
        <v>1</v>
      </c>
      <c r="J721" t="b">
        <v>0</v>
      </c>
      <c r="K721" t="n">
        <v>0.2779334902354168</v>
      </c>
      <c r="M721" t="n">
        <v>0.5740382872575635</v>
      </c>
      <c r="O721" t="n">
        <v>-194824.7009428889</v>
      </c>
      <c r="P721" t="n">
        <v>-55646.44209090427</v>
      </c>
      <c r="Q721">
        <f>'_live'!$C$22</f>
        <v/>
      </c>
      <c r="T721" t="n">
        <v>0.04236031566080616</v>
      </c>
      <c r="U721" t="n">
        <v>0.02050969532943243</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0.01177335037908184</v>
      </c>
      <c r="AI721">
        <f>IF($Y721="worse","Yes",IF($Y721="worse, not significant","Not sure",IF(OR($Y721="too few losses to test",$Y721="too few loans to test"),"Too few losses",IF($Y721="","","No"))))</f>
        <v/>
      </c>
      <c r="AJ721">
        <f>IF($AA721="yes","Yes",IF($AA721="","","No"))</f>
        <v/>
      </c>
    </row>
    <row r="722">
      <c r="A722" t="inlineStr">
        <is>
          <t>three-way</t>
        </is>
      </c>
      <c r="B722" t="inlineStr">
        <is>
          <t>FICO x ASSET_CLASS / REV_DEBT</t>
        </is>
      </c>
      <c r="C722" t="inlineStr">
        <is>
          <t>746 - 921</t>
        </is>
      </c>
      <c r="D722" t="inlineStr">
        <is>
          <t>2 / REV_DEBT low half</t>
        </is>
      </c>
      <c r="E722" t="inlineStr">
        <is>
          <t>ranr_rate</t>
        </is>
      </c>
      <c r="F722" t="inlineStr">
        <is>
          <t>Profit after losses: RANR per booked dollar</t>
        </is>
      </c>
      <c r="G722" t="n">
        <v>200</v>
      </c>
      <c r="H722" t="n">
        <v>6369533.53</v>
      </c>
      <c r="I722" t="b">
        <v>0</v>
      </c>
      <c r="J722" t="b">
        <v>0</v>
      </c>
      <c r="K722" t="n">
        <v>-0.07732116904583168</v>
      </c>
      <c r="L722" t="n">
        <v>0.00034996500349965</v>
      </c>
      <c r="M722" t="n">
        <v>0.006675406563556203</v>
      </c>
      <c r="N722" t="n">
        <v>0.7869435278694353</v>
      </c>
      <c r="O722" t="n">
        <v>492499.778816223</v>
      </c>
      <c r="P722" t="n">
        <v>-42519.22593295336</v>
      </c>
      <c r="Q722">
        <f>'_live'!$C$23</f>
        <v/>
      </c>
      <c r="R722" t="inlineStr">
        <is>
          <t>shuffled: 0 of 10,000</t>
        </is>
      </c>
      <c r="S722" t="inlineStr">
        <is>
          <t>shuffled: 4,426 of 10,000</t>
        </is>
      </c>
      <c r="T722" t="n">
        <v>0.1298984572291313</v>
      </c>
      <c r="U722" t="n">
        <v>0.04590188161974346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0.05257728818329967</v>
      </c>
      <c r="AI722">
        <f>IF($Y722="worse","Yes",IF($Y722="worse, not significant","Not sure",IF(OR($Y722="too few losses to test",$Y722="too few loans to test"),"Too few losses",IF($Y722="","","No"))))</f>
        <v/>
      </c>
      <c r="AJ722">
        <f>IF($AA722="yes","Yes",IF($AA722="","","No"))</f>
        <v/>
      </c>
    </row>
    <row r="723">
      <c r="A723" t="inlineStr">
        <is>
          <t>three-way</t>
        </is>
      </c>
      <c r="B723" t="inlineStr">
        <is>
          <t>FICO x ASSET_CLASS / REV_DEBT</t>
        </is>
      </c>
      <c r="C723" t="inlineStr">
        <is>
          <t>746 - 921</t>
        </is>
      </c>
      <c r="D723" t="inlineStr">
        <is>
          <t>2 / REV_DEBT low half</t>
        </is>
      </c>
      <c r="E723" t="inlineStr">
        <is>
          <t>contribution_rate</t>
        </is>
      </c>
      <c r="F723" t="inlineStr">
        <is>
          <t>Contribution before losses per booked dollar</t>
        </is>
      </c>
      <c r="G723" t="n">
        <v>200</v>
      </c>
      <c r="H723" t="n">
        <v>6369533.53</v>
      </c>
      <c r="I723" t="b">
        <v>0</v>
      </c>
      <c r="J723" t="b">
        <v>0</v>
      </c>
      <c r="K723" t="n">
        <v>-0.1079055036520505</v>
      </c>
      <c r="L723" t="n">
        <v>0.0001884426941921192</v>
      </c>
      <c r="M723" t="n">
        <v>-0.002060938386794428</v>
      </c>
      <c r="N723" t="n">
        <v>0.7636569676365697</v>
      </c>
      <c r="O723" t="n">
        <v>687307.7235832734</v>
      </c>
      <c r="P723" t="n">
        <v>13127.21615795122</v>
      </c>
      <c r="Q723">
        <f>'_live'!$C$24</f>
        <v/>
      </c>
      <c r="R723" t="inlineStr">
        <is>
          <t>shuffled: 0 of 10,000</t>
        </is>
      </c>
      <c r="S723" t="inlineStr">
        <is>
          <t>shuffled: 4,295 of 10,000</t>
        </is>
      </c>
      <c r="T723" t="n">
        <v>0.172256142214432</v>
      </c>
      <c r="U723" t="n">
        <v>0.0664115769491759</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0.06435063856238148</v>
      </c>
      <c r="AI723">
        <f>IF($Y723="worse","Yes",IF($Y723="worse, not significant","Not sure",IF(OR($Y723="too few losses to test",$Y723="too few loans to test"),"Too few losses",IF($Y723="","","No"))))</f>
        <v/>
      </c>
      <c r="AJ723">
        <f>IF($AA723="yes","Yes",IF($AA723="","","No"))</f>
        <v/>
      </c>
    </row>
    <row r="724">
      <c r="A724" t="inlineStr">
        <is>
          <t>three-way</t>
        </is>
      </c>
      <c r="B724" t="inlineStr">
        <is>
          <t>FICO x ASSET_CLASS / REV_DEBT</t>
        </is>
      </c>
      <c r="C724" t="inlineStr">
        <is>
          <t>712 - 745</t>
        </is>
      </c>
      <c r="D724" t="inlineStr">
        <is>
          <t>2 / REV_DEBT low half</t>
        </is>
      </c>
      <c r="E724" t="inlineStr">
        <is>
          <t>outcome_loans</t>
        </is>
      </c>
      <c r="F724" t="inlineStr">
        <is>
          <t>Outcome, share of loans</t>
        </is>
      </c>
      <c r="G724" t="n">
        <v>216</v>
      </c>
      <c r="H724" t="n">
        <v>216</v>
      </c>
      <c r="I724" t="b">
        <v>1</v>
      </c>
      <c r="J724" t="b">
        <v>0</v>
      </c>
      <c r="K724" t="n">
        <v>0.5316256830601093</v>
      </c>
      <c r="M724" t="n">
        <v>0.7451923076923076</v>
      </c>
      <c r="O724" t="n">
        <v>-7.929204676859822</v>
      </c>
      <c r="P724" t="n">
        <v>-3.07741935483871</v>
      </c>
      <c r="Q724">
        <f>'_live'!$C$20</f>
        <v/>
      </c>
      <c r="T724" t="n">
        <v>0.07837594757805473</v>
      </c>
      <c r="U724" t="n">
        <v>0.05591397849462366</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0.04166666666666666</v>
      </c>
      <c r="AI724">
        <f>IF($Y724="worse","Yes",IF($Y724="worse, not significant","Not sure",IF(OR($Y724="too few losses to test",$Y724="too few loans to test"),"Too few losses",IF($Y724="","","No"))))</f>
        <v/>
      </c>
      <c r="AJ724">
        <f>IF($AA724="yes","Yes",IF($AA724="","","No"))</f>
        <v/>
      </c>
    </row>
    <row r="725">
      <c r="A725" t="inlineStr">
        <is>
          <t>three-way</t>
        </is>
      </c>
      <c r="B725" t="inlineStr">
        <is>
          <t>FICO x ASSET_CLASS / REV_DEBT</t>
        </is>
      </c>
      <c r="C725" t="inlineStr">
        <is>
          <t>712 - 745</t>
        </is>
      </c>
      <c r="D725" t="inlineStr">
        <is>
          <t>2 / REV_DEBT low half</t>
        </is>
      </c>
      <c r="E725" t="inlineStr">
        <is>
          <t>outcome_booked</t>
        </is>
      </c>
      <c r="F725" t="inlineStr">
        <is>
          <t>Outcome, share of booked dollars</t>
        </is>
      </c>
      <c r="G725" t="n">
        <v>216</v>
      </c>
      <c r="H725" t="n">
        <v>6955419.470000002</v>
      </c>
      <c r="I725" t="b">
        <v>1</v>
      </c>
      <c r="J725" t="b">
        <v>0</v>
      </c>
      <c r="K725" t="n">
        <v>0.5478066470827538</v>
      </c>
      <c r="M725" t="n">
        <v>0.7335831426631508</v>
      </c>
      <c r="O725" t="n">
        <v>-238255.4835605117</v>
      </c>
      <c r="P725" t="n">
        <v>-104823.4348693617</v>
      </c>
      <c r="Q725">
        <f>'_live'!$C$21</f>
        <v/>
      </c>
      <c r="T725" t="n">
        <v>0.07575222685462442</v>
      </c>
      <c r="U725" t="n">
        <v>0.05656833014405695</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0.04149757340228395</v>
      </c>
      <c r="AI725">
        <f>IF($Y725="worse","Yes",IF($Y725="worse, not significant","Not sure",IF(OR($Y725="too few losses to test",$Y725="too few loans to test"),"Too few losses",IF($Y725="","","No"))))</f>
        <v/>
      </c>
      <c r="AJ725">
        <f>IF($AA725="yes","Yes",IF($AA725="","","No"))</f>
        <v/>
      </c>
    </row>
    <row r="726">
      <c r="A726" t="inlineStr">
        <is>
          <t>three-way</t>
        </is>
      </c>
      <c r="B726" t="inlineStr">
        <is>
          <t>FICO x ASSET_CLASS / REV_DEBT</t>
        </is>
      </c>
      <c r="C726" t="inlineStr">
        <is>
          <t>712 - 745</t>
        </is>
      </c>
      <c r="D726" t="inlineStr">
        <is>
          <t>2 / REV_DEBT low half</t>
        </is>
      </c>
      <c r="E726" t="inlineStr">
        <is>
          <t>gco_rate</t>
        </is>
      </c>
      <c r="F726" t="inlineStr">
        <is>
          <t>GCO per booked dollar</t>
        </is>
      </c>
      <c r="G726" t="n">
        <v>216</v>
      </c>
      <c r="H726" t="n">
        <v>6955419.470000002</v>
      </c>
      <c r="I726" t="b">
        <v>1</v>
      </c>
      <c r="J726" t="b">
        <v>0</v>
      </c>
      <c r="K726" t="n">
        <v>0.6353122163284162</v>
      </c>
      <c r="M726" t="n">
        <v>0.8659626407771506</v>
      </c>
      <c r="O726" t="n">
        <v>-106581.8616351634</v>
      </c>
      <c r="P726" t="n">
        <v>-28739.2876501485</v>
      </c>
      <c r="Q726">
        <f>'_live'!$C$22</f>
        <v/>
      </c>
      <c r="T726" t="n">
        <v>0.04201832727640844</v>
      </c>
      <c r="U726" t="n">
        <v>0.03082668393688533</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0.02669475662838779</v>
      </c>
      <c r="AI726">
        <f>IF($Y726="worse","Yes",IF($Y726="worse, not significant","Not sure",IF(OR($Y726="too few losses to test",$Y726="too few loans to test"),"Too few losses",IF($Y726="","","No"))))</f>
        <v/>
      </c>
      <c r="AJ726">
        <f>IF($AA726="yes","Yes",IF($AA726="","","No"))</f>
        <v/>
      </c>
    </row>
    <row r="727">
      <c r="A727" t="inlineStr">
        <is>
          <t>three-way</t>
        </is>
      </c>
      <c r="B727" t="inlineStr">
        <is>
          <t>FICO x ASSET_CLASS / REV_DEBT</t>
        </is>
      </c>
      <c r="C727" t="inlineStr">
        <is>
          <t>712 - 745</t>
        </is>
      </c>
      <c r="D727" t="inlineStr">
        <is>
          <t>2 / REV_DEBT low half</t>
        </is>
      </c>
      <c r="E727" t="inlineStr">
        <is>
          <t>ranr_rate</t>
        </is>
      </c>
      <c r="F727" t="inlineStr">
        <is>
          <t>Profit after losses: RANR per booked dollar</t>
        </is>
      </c>
      <c r="G727" t="n">
        <v>216</v>
      </c>
      <c r="H727" t="n">
        <v>6955419.470000002</v>
      </c>
      <c r="I727" t="b">
        <v>0</v>
      </c>
      <c r="J727" t="b">
        <v>0</v>
      </c>
      <c r="K727" t="n">
        <v>-0.03719781046643866</v>
      </c>
      <c r="L727" t="n">
        <v>0.0219188607455044</v>
      </c>
      <c r="M727" t="n">
        <v>-0.004831996090927507</v>
      </c>
      <c r="N727" t="n">
        <v>0.8774192348207039</v>
      </c>
      <c r="O727" t="n">
        <v>258726.3751596374</v>
      </c>
      <c r="P727" t="n">
        <v>33608.55968980107</v>
      </c>
      <c r="Q727">
        <f>'_live'!$C$23</f>
        <v/>
      </c>
      <c r="R727" t="inlineStr">
        <is>
          <t>shuffled: 84 of 10,000</t>
        </is>
      </c>
      <c r="S727" t="inlineStr">
        <is>
          <t>shuffled: 6,887 of 10,000</t>
        </is>
      </c>
      <c r="T727" t="n">
        <v>0.1289925990847017</v>
      </c>
      <c r="U727" t="n">
        <v>0.09662678470919052</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0.09179478861826301</v>
      </c>
      <c r="AI727">
        <f>IF($Y727="worse","Yes",IF($Y727="worse, not significant","Not sure",IF(OR($Y727="too few losses to test",$Y727="too few loans to test"),"Too few losses",IF($Y727="","","No"))))</f>
        <v/>
      </c>
      <c r="AJ727">
        <f>IF($AA727="yes","Yes",IF($AA727="","","No"))</f>
        <v/>
      </c>
    </row>
    <row r="728">
      <c r="A728" t="inlineStr">
        <is>
          <t>three-way</t>
        </is>
      </c>
      <c r="B728" t="inlineStr">
        <is>
          <t>FICO x ASSET_CLASS / REV_DEBT</t>
        </is>
      </c>
      <c r="C728" t="inlineStr">
        <is>
          <t>712 - 745</t>
        </is>
      </c>
      <c r="D728" t="inlineStr">
        <is>
          <t>2 / REV_DEBT low half</t>
        </is>
      </c>
      <c r="E728" t="inlineStr">
        <is>
          <t>contribution_rate</t>
        </is>
      </c>
      <c r="F728" t="inlineStr">
        <is>
          <t>Contribution before losses per booked dollar</t>
        </is>
      </c>
      <c r="G728" t="n">
        <v>216</v>
      </c>
      <c r="H728" t="n">
        <v>6955419.470000002</v>
      </c>
      <c r="I728" t="b">
        <v>0</v>
      </c>
      <c r="J728" t="b">
        <v>0</v>
      </c>
      <c r="K728" t="n">
        <v>-0.05251860112107092</v>
      </c>
      <c r="L728" t="n">
        <v>0.0001884426941921192</v>
      </c>
      <c r="M728" t="n">
        <v>-0.008918988701916195</v>
      </c>
      <c r="N728" t="n">
        <v>0.7097956870979569</v>
      </c>
      <c r="O728" t="n">
        <v>365288.9007746604</v>
      </c>
      <c r="P728" t="n">
        <v>62035.30767001794</v>
      </c>
      <c r="Q728">
        <f>'_live'!$C$24</f>
        <v/>
      </c>
      <c r="R728" t="inlineStr">
        <is>
          <t>shuffled: 0 of 10,000</t>
        </is>
      </c>
      <c r="S728" t="inlineStr">
        <is>
          <t>shuffled: 1,251 of 10,000</t>
        </is>
      </c>
      <c r="T728" t="n">
        <v>0.1710081463677216</v>
      </c>
      <c r="U728" t="n">
        <v>0.1274085339485669</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0.1184895452466507</v>
      </c>
      <c r="AI728">
        <f>IF($Y728="worse","Yes",IF($Y728="worse, not significant","Not sure",IF(OR($Y728="too few losses to test",$Y728="too few loans to test"),"Too few losses",IF($Y728="","","No"))))</f>
        <v/>
      </c>
      <c r="AJ728">
        <f>IF($AA728="yes","Yes",IF($AA728="","","No"))</f>
        <v/>
      </c>
    </row>
    <row r="729">
      <c r="A729" t="inlineStr">
        <is>
          <t>three-way</t>
        </is>
      </c>
      <c r="B729" t="inlineStr">
        <is>
          <t>FICO x ASSET_CLASS / REV_DEBT</t>
        </is>
      </c>
      <c r="C729" t="inlineStr">
        <is>
          <t>654 - 685</t>
        </is>
      </c>
      <c r="D729" t="inlineStr">
        <is>
          <t>1 / REV_DEBT low half</t>
        </is>
      </c>
      <c r="E729" t="inlineStr">
        <is>
          <t>outcome_loans</t>
        </is>
      </c>
      <c r="F729" t="inlineStr">
        <is>
          <t>Outcome, share of loans</t>
        </is>
      </c>
      <c r="G729" t="n">
        <v>199</v>
      </c>
      <c r="H729" t="n">
        <v>199</v>
      </c>
      <c r="I729" t="b">
        <v>1</v>
      </c>
      <c r="J729" t="b">
        <v>0</v>
      </c>
      <c r="K729" t="n">
        <v>0.5132043194696888</v>
      </c>
      <c r="M729" t="n">
        <v>0.4415520224071176</v>
      </c>
      <c r="O729" t="n">
        <v>-7.588333333333335</v>
      </c>
      <c r="P729" t="n">
        <v>-10.11791044776119</v>
      </c>
      <c r="Q729">
        <f>'_live'!$C$20</f>
        <v/>
      </c>
      <c r="T729" t="n">
        <v>0.07833333333333334</v>
      </c>
      <c r="U729" t="n">
        <v>0.09104477611940298</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0.04020100502512563</v>
      </c>
      <c r="AI729">
        <f>IF($Y729="worse","Yes",IF($Y729="worse, not significant","Not sure",IF(OR($Y729="too few losses to test",$Y729="too few loans to test"),"Too few losses",IF($Y729="","","No"))))</f>
        <v/>
      </c>
      <c r="AJ729">
        <f>IF($AA729="yes","Yes",IF($AA729="","","No"))</f>
        <v/>
      </c>
    </row>
    <row r="730">
      <c r="A730" t="inlineStr">
        <is>
          <t>three-way</t>
        </is>
      </c>
      <c r="B730" t="inlineStr">
        <is>
          <t>FICO x ASSET_CLASS / REV_DEBT</t>
        </is>
      </c>
      <c r="C730" t="inlineStr">
        <is>
          <t>654 - 685</t>
        </is>
      </c>
      <c r="D730" t="inlineStr">
        <is>
          <t>1 / REV_DEBT low half</t>
        </is>
      </c>
      <c r="E730" t="inlineStr">
        <is>
          <t>outcome_booked</t>
        </is>
      </c>
      <c r="F730" t="inlineStr">
        <is>
          <t>Outcome, share of booked dollars</t>
        </is>
      </c>
      <c r="G730" t="n">
        <v>199</v>
      </c>
      <c r="H730" t="n">
        <v>6493148.339999998</v>
      </c>
      <c r="I730" t="b">
        <v>1</v>
      </c>
      <c r="J730" t="b">
        <v>0</v>
      </c>
      <c r="K730" t="n">
        <v>0.3780515966051742</v>
      </c>
      <c r="M730" t="n">
        <v>0.3280599541007579</v>
      </c>
      <c r="O730" t="n">
        <v>-306993.8502271718</v>
      </c>
      <c r="P730" t="n">
        <v>-382211.4558553487</v>
      </c>
      <c r="Q730">
        <f>'_live'!$C$21</f>
        <v/>
      </c>
      <c r="T730" t="n">
        <v>0.07601862215074112</v>
      </c>
      <c r="U730" t="n">
        <v>0.0876027723486984</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0.02873896147581314</v>
      </c>
      <c r="AI730">
        <f>IF($Y730="worse","Yes",IF($Y730="worse, not significant","Not sure",IF(OR($Y730="too few losses to test",$Y730="too few loans to test"),"Too few losses",IF($Y730="","","No"))))</f>
        <v/>
      </c>
      <c r="AJ730">
        <f>IF($AA730="yes","Yes",IF($AA730="","","No"))</f>
        <v/>
      </c>
    </row>
    <row r="731">
      <c r="A731" t="inlineStr">
        <is>
          <t>three-way</t>
        </is>
      </c>
      <c r="B731" t="inlineStr">
        <is>
          <t>FICO x ASSET_CLASS / REV_DEBT</t>
        </is>
      </c>
      <c r="C731" t="inlineStr">
        <is>
          <t>654 - 685</t>
        </is>
      </c>
      <c r="D731" t="inlineStr">
        <is>
          <t>1 / REV_DEBT low half</t>
        </is>
      </c>
      <c r="E731" t="inlineStr">
        <is>
          <t>gco_rate</t>
        </is>
      </c>
      <c r="F731" t="inlineStr">
        <is>
          <t>GCO per booked dollar</t>
        </is>
      </c>
      <c r="G731" t="n">
        <v>199</v>
      </c>
      <c r="H731" t="n">
        <v>6493148.339999998</v>
      </c>
      <c r="I731" t="b">
        <v>1</v>
      </c>
      <c r="J731" t="b">
        <v>0</v>
      </c>
      <c r="K731" t="n">
        <v>0.3896442009365653</v>
      </c>
      <c r="M731" t="n">
        <v>0.3321356510762832</v>
      </c>
      <c r="O731" t="n">
        <v>-167459.1547708319</v>
      </c>
      <c r="P731" t="n">
        <v>-214964.5287498203</v>
      </c>
      <c r="Q731">
        <f>'_live'!$C$22</f>
        <v/>
      </c>
      <c r="T731" t="n">
        <v>0.04225425947543222</v>
      </c>
      <c r="U731" t="n">
        <v>0.04957049059960648</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0.01646412716947108</v>
      </c>
      <c r="AI731">
        <f>IF($Y731="worse","Yes",IF($Y731="worse, not significant","Not sure",IF(OR($Y731="too few losses to test",$Y731="too few loans to test"),"Too few losses",IF($Y731="","","No"))))</f>
        <v/>
      </c>
      <c r="AJ731">
        <f>IF($AA731="yes","Yes",IF($AA731="","","No"))</f>
        <v/>
      </c>
    </row>
    <row r="732">
      <c r="A732" t="inlineStr">
        <is>
          <t>three-way</t>
        </is>
      </c>
      <c r="B732" t="inlineStr">
        <is>
          <t>FICO x ASSET_CLASS / REV_DEBT</t>
        </is>
      </c>
      <c r="C732" t="inlineStr">
        <is>
          <t>654 - 685</t>
        </is>
      </c>
      <c r="D732" t="inlineStr">
        <is>
          <t>1 / REV_DEBT low half</t>
        </is>
      </c>
      <c r="E732" t="inlineStr">
        <is>
          <t>ranr_rate</t>
        </is>
      </c>
      <c r="F732" t="inlineStr">
        <is>
          <t>Profit after losses: RANR per booked dollar</t>
        </is>
      </c>
      <c r="G732" t="n">
        <v>199</v>
      </c>
      <c r="H732" t="n">
        <v>6493148.339999998</v>
      </c>
      <c r="I732" t="b">
        <v>0</v>
      </c>
      <c r="J732" t="b">
        <v>0</v>
      </c>
      <c r="K732" t="n">
        <v>0.07341626064264944</v>
      </c>
      <c r="L732" t="n">
        <v>0.00034996500349965</v>
      </c>
      <c r="M732" t="n">
        <v>0.04201128906907356</v>
      </c>
      <c r="N732" t="n">
        <v>0.1331866813318668</v>
      </c>
      <c r="O732" t="n">
        <v>-476702.6709208265</v>
      </c>
      <c r="P732" t="n">
        <v>-272785.531880115</v>
      </c>
      <c r="Q732">
        <f>'_live'!$C$23</f>
        <v/>
      </c>
      <c r="R732" t="inlineStr">
        <is>
          <t>shuffled: 0 of 10,000</t>
        </is>
      </c>
      <c r="S732" t="inlineStr">
        <is>
          <t>shuffled: 110 of 10,000</t>
        </is>
      </c>
      <c r="T732" t="n">
        <v>0.1261428549280876</v>
      </c>
      <c r="U732" t="n">
        <v>0.1575478265016635</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0.1995591155707371</v>
      </c>
      <c r="AI732">
        <f>IF($Y732="worse","Yes",IF($Y732="worse, not significant","Not sure",IF(OR($Y732="too few losses to test",$Y732="too few loans to test"),"Too few losses",IF($Y732="","","No"))))</f>
        <v/>
      </c>
      <c r="AJ732">
        <f>IF($AA732="yes","Yes",IF($AA732="","","No"))</f>
        <v/>
      </c>
    </row>
    <row r="733">
      <c r="A733" t="inlineStr">
        <is>
          <t>three-way</t>
        </is>
      </c>
      <c r="B733" t="inlineStr">
        <is>
          <t>FICO x ASSET_CLASS / REV_DEBT</t>
        </is>
      </c>
      <c r="C733" t="inlineStr">
        <is>
          <t>654 - 685</t>
        </is>
      </c>
      <c r="D733" t="inlineStr">
        <is>
          <t>1 / REV_DEBT low half</t>
        </is>
      </c>
      <c r="E733" t="inlineStr">
        <is>
          <t>contribution_rate</t>
        </is>
      </c>
      <c r="F733" t="inlineStr">
        <is>
          <t>Contribution before losses per booked dollar</t>
        </is>
      </c>
      <c r="G733" t="n">
        <v>199</v>
      </c>
      <c r="H733" t="n">
        <v>6493148.339999998</v>
      </c>
      <c r="I733" t="b">
        <v>0</v>
      </c>
      <c r="J733" t="b">
        <v>0</v>
      </c>
      <c r="K733" t="n">
        <v>0.04762935282125788</v>
      </c>
      <c r="L733" t="n">
        <v>0.0001884426941921192</v>
      </c>
      <c r="M733" t="n">
        <v>0.008904925638938188</v>
      </c>
      <c r="N733" t="n">
        <v>0.7636569676365697</v>
      </c>
      <c r="O733" t="n">
        <v>-309264.4532066248</v>
      </c>
      <c r="P733" t="n">
        <v>-57821.00313029485</v>
      </c>
      <c r="Q733">
        <f>'_live'!$C$24</f>
        <v/>
      </c>
      <c r="R733" t="inlineStr">
        <is>
          <t>shuffled: 0 of 10,000</t>
        </is>
      </c>
      <c r="S733" t="inlineStr">
        <is>
          <t>shuffled: 3,228 of 10,000</t>
        </is>
      </c>
      <c r="T733" t="n">
        <v>0.1683938899189503</v>
      </c>
      <c r="U733" t="n">
        <v>0.20711831710127</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0.2160232427402082</v>
      </c>
      <c r="AI733">
        <f>IF($Y733="worse","Yes",IF($Y733="worse, not significant","Not sure",IF(OR($Y733="too few losses to test",$Y733="too few loans to test"),"Too few losses",IF($Y733="","","No"))))</f>
        <v/>
      </c>
      <c r="AJ733">
        <f>IF($AA733="yes","Yes",IF($AA733="","","No"))</f>
        <v/>
      </c>
    </row>
    <row r="734">
      <c r="A734" t="inlineStr">
        <is>
          <t>three-way</t>
        </is>
      </c>
      <c r="B734" t="inlineStr">
        <is>
          <t>FICO x ASSET_CLASS / REV_DEBT</t>
        </is>
      </c>
      <c r="C734" t="inlineStr">
        <is>
          <t>686 - 711</t>
        </is>
      </c>
      <c r="D734" t="inlineStr">
        <is>
          <t>2 / REV_DEBT low half</t>
        </is>
      </c>
      <c r="E734" t="inlineStr">
        <is>
          <t>outcome_loans</t>
        </is>
      </c>
      <c r="F734" t="inlineStr">
        <is>
          <t>Outcome, share of loans</t>
        </is>
      </c>
      <c r="G734" t="n">
        <v>198</v>
      </c>
      <c r="H734" t="n">
        <v>198</v>
      </c>
      <c r="I734" t="b">
        <v>1</v>
      </c>
      <c r="J734" t="b">
        <v>0</v>
      </c>
      <c r="K734" t="n">
        <v>0.5158623882028137</v>
      </c>
      <c r="M734" t="n">
        <v>0.6262626262626263</v>
      </c>
      <c r="O734" t="n">
        <v>-7.508011793359827</v>
      </c>
      <c r="P734" t="n">
        <v>-4.774193548387096</v>
      </c>
      <c r="Q734">
        <f>'_live'!$C$20</f>
        <v/>
      </c>
      <c r="T734" t="n">
        <v>0.07832329188565569</v>
      </c>
      <c r="U734" t="n">
        <v>0.06451612903225806</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0.04040404040404041</v>
      </c>
      <c r="AI734">
        <f>IF($Y734="worse","Yes",IF($Y734="worse, not significant","Not sure",IF(OR($Y734="too few losses to test",$Y734="too few loans to test"),"Too few losses",IF($Y734="","","No"))))</f>
        <v/>
      </c>
      <c r="AJ734">
        <f>IF($AA734="yes","Yes",IF($AA734="","","No"))</f>
        <v/>
      </c>
    </row>
    <row r="735">
      <c r="A735" t="inlineStr">
        <is>
          <t>three-way</t>
        </is>
      </c>
      <c r="B735" t="inlineStr">
        <is>
          <t>FICO x ASSET_CLASS / REV_DEBT</t>
        </is>
      </c>
      <c r="C735" t="inlineStr">
        <is>
          <t>686 - 711</t>
        </is>
      </c>
      <c r="D735" t="inlineStr">
        <is>
          <t>2 / REV_DEBT low half</t>
        </is>
      </c>
      <c r="E735" t="inlineStr">
        <is>
          <t>outcome_booked</t>
        </is>
      </c>
      <c r="F735" t="inlineStr">
        <is>
          <t>Outcome, share of booked dollars</t>
        </is>
      </c>
      <c r="G735" t="n">
        <v>198</v>
      </c>
      <c r="H735" t="n">
        <v>6414246.630000001</v>
      </c>
      <c r="I735" t="b">
        <v>1</v>
      </c>
      <c r="J735" t="b">
        <v>0</v>
      </c>
      <c r="K735" t="n">
        <v>0.4973599400683748</v>
      </c>
      <c r="M735" t="n">
        <v>0.6321362443687334</v>
      </c>
      <c r="O735" t="n">
        <v>-244305.1097856639</v>
      </c>
      <c r="P735" t="n">
        <v>-140676.8265071952</v>
      </c>
      <c r="Q735">
        <f>'_live'!$C$21</f>
        <v/>
      </c>
      <c r="T735" t="n">
        <v>0.07577567215959451</v>
      </c>
      <c r="U735" t="n">
        <v>0.05961971663493632</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0.03768778376393674</v>
      </c>
      <c r="AI735">
        <f>IF($Y735="worse","Yes",IF($Y735="worse, not significant","Not sure",IF(OR($Y735="too few losses to test",$Y735="too few loans to test"),"Too few losses",IF($Y735="","","No"))))</f>
        <v/>
      </c>
      <c r="AJ735">
        <f>IF($AA735="yes","Yes",IF($AA735="","","No"))</f>
        <v/>
      </c>
    </row>
    <row r="736">
      <c r="A736" t="inlineStr">
        <is>
          <t>three-way</t>
        </is>
      </c>
      <c r="B736" t="inlineStr">
        <is>
          <t>FICO x ASSET_CLASS / REV_DEBT</t>
        </is>
      </c>
      <c r="C736" t="inlineStr">
        <is>
          <t>686 - 711</t>
        </is>
      </c>
      <c r="D736" t="inlineStr">
        <is>
          <t>2 / REV_DEBT low half</t>
        </is>
      </c>
      <c r="E736" t="inlineStr">
        <is>
          <t>gco_rate</t>
        </is>
      </c>
      <c r="F736" t="inlineStr">
        <is>
          <t>GCO per booked dollar</t>
        </is>
      </c>
      <c r="G736" t="n">
        <v>198</v>
      </c>
      <c r="H736" t="n">
        <v>6414246.630000001</v>
      </c>
      <c r="I736" t="b">
        <v>1</v>
      </c>
      <c r="J736" t="b">
        <v>0</v>
      </c>
      <c r="K736" t="n">
        <v>0.4600485442749581</v>
      </c>
      <c r="M736" t="n">
        <v>0.5833588437859221</v>
      </c>
      <c r="O736" t="n">
        <v>-146055.341545498</v>
      </c>
      <c r="P736" t="n">
        <v>-88877.69249560307</v>
      </c>
      <c r="Q736">
        <f>'_live'!$C$22</f>
        <v/>
      </c>
      <c r="T736" t="n">
        <v>0.04217130820638526</v>
      </c>
      <c r="U736" t="n">
        <v>0.03325714379267687</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0.01940084895051813</v>
      </c>
      <c r="AI736">
        <f>IF($Y736="worse","Yes",IF($Y736="worse, not significant","Not sure",IF(OR($Y736="too few losses to test",$Y736="too few loans to test"),"Too few losses",IF($Y736="","","No"))))</f>
        <v/>
      </c>
      <c r="AJ736">
        <f>IF($AA736="yes","Yes",IF($AA736="","","No"))</f>
        <v/>
      </c>
    </row>
    <row r="737">
      <c r="A737" t="inlineStr">
        <is>
          <t>three-way</t>
        </is>
      </c>
      <c r="B737" t="inlineStr">
        <is>
          <t>FICO x ASSET_CLASS / REV_DEBT</t>
        </is>
      </c>
      <c r="C737" t="inlineStr">
        <is>
          <t>686 - 711</t>
        </is>
      </c>
      <c r="D737" t="inlineStr">
        <is>
          <t>2 / REV_DEBT low half</t>
        </is>
      </c>
      <c r="E737" t="inlineStr">
        <is>
          <t>ranr_rate</t>
        </is>
      </c>
      <c r="F737" t="inlineStr">
        <is>
          <t>Profit after losses: RANR per booked dollar</t>
        </is>
      </c>
      <c r="G737" t="n">
        <v>198</v>
      </c>
      <c r="H737" t="n">
        <v>6414246.630000001</v>
      </c>
      <c r="I737" t="b">
        <v>0</v>
      </c>
      <c r="J737" t="b">
        <v>0</v>
      </c>
      <c r="K737" t="n">
        <v>0.02372147344042577</v>
      </c>
      <c r="L737" t="n">
        <v>0.1446055394460554</v>
      </c>
      <c r="M737" t="n">
        <v>0.01052718843196351</v>
      </c>
      <c r="N737" t="n">
        <v>0.7869435278694353</v>
      </c>
      <c r="O737" t="n">
        <v>-152155.3810738856</v>
      </c>
      <c r="P737" t="n">
        <v>-67523.98292309698</v>
      </c>
      <c r="Q737">
        <f>'_live'!$C$23</f>
        <v/>
      </c>
      <c r="R737" t="inlineStr">
        <is>
          <t>shuffled: 1,032 of 10,000</t>
        </is>
      </c>
      <c r="S737" t="inlineStr">
        <is>
          <t>shuffled: 4,343 of 10,000</t>
        </is>
      </c>
      <c r="T737" t="n">
        <v>0.1274004565250268</v>
      </c>
      <c r="U737" t="n">
        <v>0.1405947415334891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0.1511219299654526</v>
      </c>
      <c r="AI737">
        <f>IF($Y737="worse","Yes",IF($Y737="worse, not significant","Not sure",IF(OR($Y737="too few losses to test",$Y737="too few loans to test"),"Too few losses",IF($Y737="","","No"))))</f>
        <v/>
      </c>
      <c r="AJ737">
        <f>IF($AA737="yes","Yes",IF($AA737="","","No"))</f>
        <v/>
      </c>
    </row>
    <row r="738">
      <c r="A738" t="inlineStr">
        <is>
          <t>three-way</t>
        </is>
      </c>
      <c r="B738" t="inlineStr">
        <is>
          <t>FICO x ASSET_CLASS / REV_DEBT</t>
        </is>
      </c>
      <c r="C738" t="inlineStr">
        <is>
          <t>686 - 711</t>
        </is>
      </c>
      <c r="D738" t="inlineStr">
        <is>
          <t>2 / REV_DEBT low half</t>
        </is>
      </c>
      <c r="E738" t="inlineStr">
        <is>
          <t>contribution_rate</t>
        </is>
      </c>
      <c r="F738" t="inlineStr">
        <is>
          <t>Contribution before losses per booked dollar</t>
        </is>
      </c>
      <c r="G738" t="n">
        <v>198</v>
      </c>
      <c r="H738" t="n">
        <v>6414246.630000001</v>
      </c>
      <c r="I738" t="b">
        <v>0</v>
      </c>
      <c r="J738" t="b">
        <v>0</v>
      </c>
      <c r="K738" t="n">
        <v>0.0009540393101209743</v>
      </c>
      <c r="L738" t="n">
        <v>0.9612226277372263</v>
      </c>
      <c r="M738" t="n">
        <v>-0.003329106410195293</v>
      </c>
      <c r="N738" t="n">
        <v>0.8189950235745658</v>
      </c>
      <c r="O738" t="n">
        <v>-6119.44342983095</v>
      </c>
      <c r="P738" t="n">
        <v>21353.7095725066</v>
      </c>
      <c r="Q738">
        <f>'_live'!$C$24</f>
        <v/>
      </c>
      <c r="R738" t="inlineStr">
        <is>
          <t>shuffled: 9,278 of 10,000</t>
        </is>
      </c>
      <c r="S738" t="inlineStr">
        <is>
          <t>shuffled: 6,654 of 10,000</t>
        </is>
      </c>
      <c r="T738" t="n">
        <v>0.1695687396058497</v>
      </c>
      <c r="U738" t="n">
        <v>0.1738518853261659</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0.1705227789159706</v>
      </c>
      <c r="AI738">
        <f>IF($Y738="worse","Yes",IF($Y738="worse, not significant","Not sure",IF(OR($Y738="too few losses to test",$Y738="too few loans to test"),"Too few losses",IF($Y738="","","No"))))</f>
        <v/>
      </c>
      <c r="AJ738">
        <f>IF($AA738="yes","Yes",IF($AA738="","","No"))</f>
        <v/>
      </c>
    </row>
    <row r="739">
      <c r="A739" t="inlineStr">
        <is>
          <t>three-way</t>
        </is>
      </c>
      <c r="B739" t="inlineStr">
        <is>
          <t>FICO x ASSET_CLASS / REV_DEBT</t>
        </is>
      </c>
      <c r="C739" t="inlineStr">
        <is>
          <t>712 - 745</t>
        </is>
      </c>
      <c r="D739" t="inlineStr">
        <is>
          <t>1 / REV_DEBT high half</t>
        </is>
      </c>
      <c r="E739" t="inlineStr">
        <is>
          <t>outcome_loans</t>
        </is>
      </c>
      <c r="F739" t="inlineStr">
        <is>
          <t>Outcome, share of loans</t>
        </is>
      </c>
      <c r="G739" t="n">
        <v>180</v>
      </c>
      <c r="H739" t="n">
        <v>180</v>
      </c>
      <c r="I739" t="b">
        <v>1</v>
      </c>
      <c r="J739" t="b">
        <v>0</v>
      </c>
      <c r="K739" t="n">
        <v>0.5687579559919985</v>
      </c>
      <c r="M739" t="n">
        <v>0.8050632911392406</v>
      </c>
      <c r="O739" t="n">
        <v>-6.065737306560941</v>
      </c>
      <c r="P739" t="n">
        <v>-1.937106918238994</v>
      </c>
      <c r="Q739">
        <f>'_live'!$C$20</f>
        <v/>
      </c>
      <c r="T739" t="n">
        <v>0.07814298503644967</v>
      </c>
      <c r="U739" t="n">
        <v>0.05520614954577219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0.04444444444444445</v>
      </c>
      <c r="AI739">
        <f>IF($Y739="worse","Yes",IF($Y739="worse, not significant","Not sure",IF(OR($Y739="too few losses to test",$Y739="too few loans to test"),"Too few losses",IF($Y739="","","No"))))</f>
        <v/>
      </c>
      <c r="AJ739">
        <f>IF($AA739="yes","Yes",IF($AA739="","","No"))</f>
        <v/>
      </c>
    </row>
    <row r="740">
      <c r="A740" t="inlineStr">
        <is>
          <t>three-way</t>
        </is>
      </c>
      <c r="B740" t="inlineStr">
        <is>
          <t>FICO x ASSET_CLASS / REV_DEBT</t>
        </is>
      </c>
      <c r="C740" t="inlineStr">
        <is>
          <t>712 - 745</t>
        </is>
      </c>
      <c r="D740" t="inlineStr">
        <is>
          <t>1 / REV_DEBT high half</t>
        </is>
      </c>
      <c r="E740" t="inlineStr">
        <is>
          <t>outcome_booked</t>
        </is>
      </c>
      <c r="F740" t="inlineStr">
        <is>
          <t>Outcome, share of booked dollars</t>
        </is>
      </c>
      <c r="G740" t="n">
        <v>180</v>
      </c>
      <c r="H740" t="n">
        <v>5823424.629999999</v>
      </c>
      <c r="I740" t="b">
        <v>1</v>
      </c>
      <c r="J740" t="b">
        <v>0</v>
      </c>
      <c r="K740" t="n">
        <v>0.6871333024612003</v>
      </c>
      <c r="M740" t="n">
        <v>0.9437561427561735</v>
      </c>
      <c r="O740" t="n">
        <v>-137304.3824136728</v>
      </c>
      <c r="P740" t="n">
        <v>-17971.37739539047</v>
      </c>
      <c r="Q740">
        <f>'_live'!$C$21</f>
        <v/>
      </c>
      <c r="T740" t="n">
        <v>0.07536099122032817</v>
      </c>
      <c r="U740" t="n">
        <v>0.05486909639893296</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0.05178304677397362</v>
      </c>
      <c r="AI740">
        <f>IF($Y740="worse","Yes",IF($Y740="worse, not significant","Not sure",IF(OR($Y740="too few losses to test",$Y740="too few loans to test"),"Too few losses",IF($Y740="","","No"))))</f>
        <v/>
      </c>
      <c r="AJ740">
        <f>IF($AA740="yes","Yes",IF($AA740="","","No"))</f>
        <v/>
      </c>
    </row>
    <row r="741">
      <c r="A741" t="inlineStr">
        <is>
          <t>three-way</t>
        </is>
      </c>
      <c r="B741" t="inlineStr">
        <is>
          <t>FICO x ASSET_CLASS / REV_DEBT</t>
        </is>
      </c>
      <c r="C741" t="inlineStr">
        <is>
          <t>712 - 745</t>
        </is>
      </c>
      <c r="D741" t="inlineStr">
        <is>
          <t>1 / REV_DEBT high half</t>
        </is>
      </c>
      <c r="E741" t="inlineStr">
        <is>
          <t>gco_rate</t>
        </is>
      </c>
      <c r="F741" t="inlineStr">
        <is>
          <t>GCO per booked dollar</t>
        </is>
      </c>
      <c r="G741" t="n">
        <v>180</v>
      </c>
      <c r="H741" t="n">
        <v>5823424.629999999</v>
      </c>
      <c r="I741" t="b">
        <v>1</v>
      </c>
      <c r="J741" t="b">
        <v>0</v>
      </c>
      <c r="K741" t="n">
        <v>0.8037564659185772</v>
      </c>
      <c r="M741" t="n">
        <v>1.12579591636</v>
      </c>
      <c r="O741" t="n">
        <v>-47758.41156737352</v>
      </c>
      <c r="P741" t="n">
        <v>21856.76441864559</v>
      </c>
      <c r="Q741">
        <f>'_live'!$C$22</f>
        <v/>
      </c>
      <c r="T741" t="n">
        <v>0.04179035482208578</v>
      </c>
      <c r="U741" t="n">
        <v>0.02983601860085454</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0.03358926790128303</v>
      </c>
      <c r="AI741">
        <f>IF($Y741="worse","Yes",IF($Y741="worse, not significant","Not sure",IF(OR($Y741="too few losses to test",$Y741="too few loans to test"),"Too few losses",IF($Y741="","","No"))))</f>
        <v/>
      </c>
      <c r="AJ741">
        <f>IF($AA741="yes","Yes",IF($AA741="","","No"))</f>
        <v/>
      </c>
    </row>
    <row r="742">
      <c r="A742" t="inlineStr">
        <is>
          <t>three-way</t>
        </is>
      </c>
      <c r="B742" t="inlineStr">
        <is>
          <t>FICO x ASSET_CLASS / REV_DEBT</t>
        </is>
      </c>
      <c r="C742" t="inlineStr">
        <is>
          <t>712 - 745</t>
        </is>
      </c>
      <c r="D742" t="inlineStr">
        <is>
          <t>1 / REV_DEBT high half</t>
        </is>
      </c>
      <c r="E742" t="inlineStr">
        <is>
          <t>ranr_rate</t>
        </is>
      </c>
      <c r="F742" t="inlineStr">
        <is>
          <t>Profit after losses: RANR per booked dollar</t>
        </is>
      </c>
      <c r="G742" t="n">
        <v>180</v>
      </c>
      <c r="H742" t="n">
        <v>5823424.629999999</v>
      </c>
      <c r="I742" t="b">
        <v>0</v>
      </c>
      <c r="J742" t="b">
        <v>0</v>
      </c>
      <c r="K742" t="n">
        <v>-0.03417588392454832</v>
      </c>
      <c r="L742" t="n">
        <v>0.05133834442642692</v>
      </c>
      <c r="M742" t="n">
        <v>-0.001561829136347434</v>
      </c>
      <c r="N742" t="n">
        <v>0.938514844167757</v>
      </c>
      <c r="O742" t="n">
        <v>199020.6841982357</v>
      </c>
      <c r="P742" t="n">
        <v>9095.194260457298</v>
      </c>
      <c r="Q742">
        <f>'_live'!$C$23</f>
        <v/>
      </c>
      <c r="R742" t="inlineStr">
        <is>
          <t>shuffled: 239 of 10,000</t>
        </is>
      </c>
      <c r="S742" t="inlineStr">
        <is>
          <t>shuffled: 8,994 of 10,000</t>
        </is>
      </c>
      <c r="T742" t="n">
        <v>0.1287612430554006</v>
      </c>
      <c r="U742" t="n">
        <v>0.09614718826719972</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0.09458535913085228</v>
      </c>
      <c r="AI742">
        <f>IF($Y742="worse","Yes",IF($Y742="worse, not significant","Not sure",IF(OR($Y742="too few losses to test",$Y742="too few loans to test"),"Too few losses",IF($Y742="","","No"))))</f>
        <v/>
      </c>
      <c r="AJ742">
        <f>IF($AA742="yes","Yes",IF($AA742="","","No"))</f>
        <v/>
      </c>
    </row>
    <row r="743">
      <c r="A743" t="inlineStr">
        <is>
          <t>three-way</t>
        </is>
      </c>
      <c r="B743" t="inlineStr">
        <is>
          <t>FICO x ASSET_CLASS / REV_DEBT</t>
        </is>
      </c>
      <c r="C743" t="inlineStr">
        <is>
          <t>712 - 745</t>
        </is>
      </c>
      <c r="D743" t="inlineStr">
        <is>
          <t>1 / REV_DEBT high half</t>
        </is>
      </c>
      <c r="E743" t="inlineStr">
        <is>
          <t>contribution_rate</t>
        </is>
      </c>
      <c r="F743" t="inlineStr">
        <is>
          <t>Contribution before losses per booked dollar</t>
        </is>
      </c>
      <c r="G743" t="n">
        <v>180</v>
      </c>
      <c r="H743" t="n">
        <v>5823424.629999999</v>
      </c>
      <c r="I743" t="b">
        <v>0</v>
      </c>
      <c r="J743" t="b">
        <v>0</v>
      </c>
      <c r="K743" t="n">
        <v>-0.04237416692584731</v>
      </c>
      <c r="L743" t="n">
        <v>0.0001884426941921192</v>
      </c>
      <c r="M743" t="n">
        <v>0.00223565135277054</v>
      </c>
      <c r="N743" t="n">
        <v>0.8567728592994359</v>
      </c>
      <c r="O743" t="n">
        <v>246762.7673517105</v>
      </c>
      <c r="P743" t="n">
        <v>-13019.14715181687</v>
      </c>
      <c r="Q743">
        <f>'_live'!$C$24</f>
        <v/>
      </c>
      <c r="R743" t="inlineStr">
        <is>
          <t>shuffled: 0 of 10,000</t>
        </is>
      </c>
      <c r="S743" t="inlineStr">
        <is>
          <t>shuffled: 7,318 of 10,000</t>
        </is>
      </c>
      <c r="T743" t="n">
        <v>0.1705487939579826</v>
      </c>
      <c r="U743" t="n">
        <v>0.1259389756793647</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0.1281746270321353</v>
      </c>
      <c r="AI743">
        <f>IF($Y743="worse","Yes",IF($Y743="worse, not significant","Not sure",IF(OR($Y743="too few losses to test",$Y743="too few loans to test"),"Too few losses",IF($Y743="","","No"))))</f>
        <v/>
      </c>
      <c r="AJ743">
        <f>IF($AA743="yes","Yes",IF($AA743="","","No"))</f>
        <v/>
      </c>
    </row>
    <row r="744">
      <c r="A744" t="inlineStr">
        <is>
          <t>three-way</t>
        </is>
      </c>
      <c r="B744" t="inlineStr">
        <is>
          <t>FICO x ASSET_CLASS / REV_DEBT</t>
        </is>
      </c>
      <c r="C744" t="inlineStr">
        <is>
          <t>(marked missing)</t>
        </is>
      </c>
      <c r="D744" t="inlineStr">
        <is>
          <t>3 / REV_DEBT low half</t>
        </is>
      </c>
      <c r="E744" t="inlineStr">
        <is>
          <t>outcome_loans</t>
        </is>
      </c>
      <c r="F744" t="inlineStr">
        <is>
          <t>Outcome, share of loans</t>
        </is>
      </c>
      <c r="G744" t="n">
        <v>22</v>
      </c>
      <c r="H744" t="n">
        <v>22</v>
      </c>
      <c r="I744" t="b">
        <v>1</v>
      </c>
      <c r="J744" t="b">
        <v>0</v>
      </c>
      <c r="K744" t="n">
        <v>0.5867166813768756</v>
      </c>
      <c r="M744" t="n">
        <v>0.696969696969697</v>
      </c>
      <c r="O744" t="n">
        <v>-0.7044001504324933</v>
      </c>
      <c r="P744" t="n">
        <v>-0.4347826086956521</v>
      </c>
      <c r="Q744">
        <f>'_live'!$C$20</f>
        <v/>
      </c>
      <c r="T744" t="n">
        <v>0.07747273411056788</v>
      </c>
      <c r="U744" t="n">
        <v>0.06521739130434782</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0.04545454545454546</v>
      </c>
      <c r="AI744">
        <f>IF($Y744="worse","Yes",IF($Y744="worse, not significant","Not sure",IF(OR($Y744="too few losses to test",$Y744="too few loans to test"),"Too few losses",IF($Y744="","","No"))))</f>
        <v/>
      </c>
      <c r="AJ744">
        <f>IF($AA744="yes","Yes",IF($AA744="","","No"))</f>
        <v/>
      </c>
    </row>
    <row r="745">
      <c r="A745" t="inlineStr">
        <is>
          <t>three-way</t>
        </is>
      </c>
      <c r="B745" t="inlineStr">
        <is>
          <t>FICO x ASSET_CLASS / REV_DEBT</t>
        </is>
      </c>
      <c r="C745" t="inlineStr">
        <is>
          <t>(marked missing)</t>
        </is>
      </c>
      <c r="D745" t="inlineStr">
        <is>
          <t>3 / REV_DEBT low half</t>
        </is>
      </c>
      <c r="E745" t="inlineStr">
        <is>
          <t>outcome_booked</t>
        </is>
      </c>
      <c r="F745" t="inlineStr">
        <is>
          <t>Outcome, share of booked dollars</t>
        </is>
      </c>
      <c r="G745" t="n">
        <v>22</v>
      </c>
      <c r="H745" t="n">
        <v>791046.1499999998</v>
      </c>
      <c r="I745" t="b">
        <v>1</v>
      </c>
      <c r="J745" t="b">
        <v>0</v>
      </c>
      <c r="K745" t="n">
        <v>0.785680632462747</v>
      </c>
      <c r="M745" t="n">
        <v>1.271405705557512</v>
      </c>
      <c r="O745" t="n">
        <v>-12694.56608130883</v>
      </c>
      <c r="P745" t="n">
        <v>9934.300815884642</v>
      </c>
      <c r="Q745">
        <f>'_live'!$C$21</f>
        <v/>
      </c>
      <c r="T745" t="n">
        <v>0.07487806631927714</v>
      </c>
      <c r="U745" t="n">
        <v>0.04627181256632798</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0.05883024650331718</v>
      </c>
      <c r="AI745">
        <f>IF($Y745="worse","Yes",IF($Y745="worse, not significant","Not sure",IF(OR($Y745="too few losses to test",$Y745="too few loans to test"),"Too few losses",IF($Y745="","","No"))))</f>
        <v/>
      </c>
      <c r="AJ745">
        <f>IF($AA745="yes","Yes",IF($AA745="","","No"))</f>
        <v/>
      </c>
    </row>
    <row r="746">
      <c r="A746" t="inlineStr">
        <is>
          <t>three-way</t>
        </is>
      </c>
      <c r="B746" t="inlineStr">
        <is>
          <t>FICO x ASSET_CLASS / REV_DEBT</t>
        </is>
      </c>
      <c r="C746" t="inlineStr">
        <is>
          <t>(marked missing)</t>
        </is>
      </c>
      <c r="D746" t="inlineStr">
        <is>
          <t>3 / REV_DEBT low half</t>
        </is>
      </c>
      <c r="E746" t="inlineStr">
        <is>
          <t>gco_rate</t>
        </is>
      </c>
      <c r="F746" t="inlineStr">
        <is>
          <t>GCO per booked dollar</t>
        </is>
      </c>
      <c r="G746" t="n">
        <v>22</v>
      </c>
      <c r="H746" t="n">
        <v>791046.1499999998</v>
      </c>
      <c r="I746" t="b">
        <v>1</v>
      </c>
      <c r="J746" t="b">
        <v>0</v>
      </c>
      <c r="K746" t="n">
        <v>0.9412526203507966</v>
      </c>
      <c r="M746" t="n">
        <v>1.694765772131656</v>
      </c>
      <c r="O746" t="n">
        <v>-1933.823539766418</v>
      </c>
      <c r="P746" t="n">
        <v>12701.74152493022</v>
      </c>
      <c r="Q746">
        <f>'_live'!$C$22</f>
        <v/>
      </c>
      <c r="T746" t="n">
        <v>0.04161275993792072</v>
      </c>
      <c r="U746" t="n">
        <v>0.02311122868756746</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0.03916811933159653</v>
      </c>
      <c r="AI746">
        <f>IF($Y746="worse","Yes",IF($Y746="worse, not significant","Not sure",IF(OR($Y746="too few losses to test",$Y746="too few loans to test"),"Too few losses",IF($Y746="","","No"))))</f>
        <v/>
      </c>
      <c r="AJ746">
        <f>IF($AA746="yes","Yes",IF($AA746="","","No"))</f>
        <v/>
      </c>
    </row>
    <row r="747">
      <c r="A747" t="inlineStr">
        <is>
          <t>three-way</t>
        </is>
      </c>
      <c r="B747" t="inlineStr">
        <is>
          <t>FICO x ASSET_CLASS / REV_DEBT</t>
        </is>
      </c>
      <c r="C747" t="inlineStr">
        <is>
          <t>(marked missing)</t>
        </is>
      </c>
      <c r="D747" t="inlineStr">
        <is>
          <t>3 / REV_DEBT low half</t>
        </is>
      </c>
      <c r="E747" t="inlineStr">
        <is>
          <t>ranr_rate</t>
        </is>
      </c>
      <c r="F747" t="inlineStr">
        <is>
          <t>Profit after losses: RANR per booked dollar</t>
        </is>
      </c>
      <c r="G747" t="n">
        <v>22</v>
      </c>
      <c r="H747" t="n">
        <v>791046.1499999998</v>
      </c>
      <c r="I747" t="b">
        <v>0</v>
      </c>
      <c r="J747" t="b">
        <v>0</v>
      </c>
      <c r="K747" t="n">
        <v>-0.03808511459154472</v>
      </c>
      <c r="L747" t="n">
        <v>0.445257913233067</v>
      </c>
      <c r="M747" t="n">
        <v>-0.07661152045946405</v>
      </c>
      <c r="N747" t="n">
        <v>0.1987001299870013</v>
      </c>
      <c r="O747" t="n">
        <v>30127.08326995026</v>
      </c>
      <c r="P747" t="n">
        <v>60603.24830510525</v>
      </c>
      <c r="Q747">
        <f>'_live'!$C$23</f>
        <v/>
      </c>
      <c r="R747" t="inlineStr">
        <is>
          <t>shuffled: 3,725 of 10,000</t>
        </is>
      </c>
      <c r="S747" t="inlineStr">
        <is>
          <t>shuffled: 476 of 10,000</t>
        </is>
      </c>
      <c r="T747" t="n">
        <v>0.1281067903180495</v>
      </c>
      <c r="U747" t="n">
        <v>0.1666331961859688</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0.09002167572650475</v>
      </c>
      <c r="AI747">
        <f>IF($Y747="worse","Yes",IF($Y747="worse, not significant","Not sure",IF(OR($Y747="too few losses to test",$Y747="too few loans to test"),"Too few losses",IF($Y747="","","No"))))</f>
        <v/>
      </c>
      <c r="AJ747">
        <f>IF($AA747="yes","Yes",IF($AA747="","","No"))</f>
        <v/>
      </c>
    </row>
    <row r="748">
      <c r="A748" t="inlineStr">
        <is>
          <t>three-way</t>
        </is>
      </c>
      <c r="B748" t="inlineStr">
        <is>
          <t>FICO x ASSET_CLASS / REV_DEBT</t>
        </is>
      </c>
      <c r="C748" t="inlineStr">
        <is>
          <t>(marked missing)</t>
        </is>
      </c>
      <c r="D748" t="inlineStr">
        <is>
          <t>3 / REV_DEBT low half</t>
        </is>
      </c>
      <c r="E748" t="inlineStr">
        <is>
          <t>contribution_rate</t>
        </is>
      </c>
      <c r="F748" t="inlineStr">
        <is>
          <t>Contribution before losses per booked dollar</t>
        </is>
      </c>
      <c r="G748" t="n">
        <v>22</v>
      </c>
      <c r="H748" t="n">
        <v>791046.1499999998</v>
      </c>
      <c r="I748" t="b">
        <v>0</v>
      </c>
      <c r="J748" t="b">
        <v>0</v>
      </c>
      <c r="K748" t="n">
        <v>-0.04052690516848712</v>
      </c>
      <c r="L748" t="n">
        <v>0.2111112418169948</v>
      </c>
      <c r="M748" t="n">
        <v>-0.06055462981543508</v>
      </c>
      <c r="N748" t="n">
        <v>0.7097956870979569</v>
      </c>
      <c r="O748" t="n">
        <v>32058.65230494682</v>
      </c>
      <c r="P748" t="n">
        <v>47901.50678017511</v>
      </c>
      <c r="Q748">
        <f>'_live'!$C$24</f>
        <v/>
      </c>
      <c r="R748" t="inlineStr">
        <is>
          <t>shuffled: 1,464 of 10,000</t>
        </is>
      </c>
      <c r="S748" t="inlineStr">
        <is>
          <t>shuffled: 506 of 10,000</t>
        </is>
      </c>
      <c r="T748" t="n">
        <v>0.1697167002265884</v>
      </c>
      <c r="U748" t="n">
        <v>0.1897444248735363</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0.1291897950581012</v>
      </c>
      <c r="AI748">
        <f>IF($Y748="worse","Yes",IF($Y748="worse, not significant","Not sure",IF(OR($Y748="too few losses to test",$Y748="too few loans to test"),"Too few losses",IF($Y748="","","No"))))</f>
        <v/>
      </c>
      <c r="AJ748">
        <f>IF($AA748="yes","Yes",IF($AA748="","","No"))</f>
        <v/>
      </c>
    </row>
    <row r="749">
      <c r="A749" t="inlineStr">
        <is>
          <t>three-way</t>
        </is>
      </c>
      <c r="B749" t="inlineStr">
        <is>
          <t>FICO x ASSET_CLASS / REV_DEBT</t>
        </is>
      </c>
      <c r="C749" t="inlineStr">
        <is>
          <t>712 - 745</t>
        </is>
      </c>
      <c r="D749" t="inlineStr">
        <is>
          <t>3 / REV_DEBT low half</t>
        </is>
      </c>
      <c r="E749" t="inlineStr">
        <is>
          <t>outcome_loans</t>
        </is>
      </c>
      <c r="F749" t="inlineStr">
        <is>
          <t>Outcome, share of loans</t>
        </is>
      </c>
      <c r="G749" t="n">
        <v>196</v>
      </c>
      <c r="H749" t="n">
        <v>196</v>
      </c>
      <c r="I749" t="b">
        <v>1</v>
      </c>
      <c r="J749" t="b">
        <v>0</v>
      </c>
      <c r="K749" t="n">
        <v>0.5212598951200774</v>
      </c>
      <c r="M749" t="n">
        <v>0.7310772410229914</v>
      </c>
      <c r="O749" t="n">
        <v>-7.347430475458157</v>
      </c>
      <c r="P749" t="n">
        <v>-2.942756183745583</v>
      </c>
      <c r="Q749">
        <f>'_live'!$C$20</f>
        <v/>
      </c>
      <c r="T749" t="n">
        <v>0.07830321671152121</v>
      </c>
      <c r="U749" t="n">
        <v>0.0558303886925795</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0.04081632653061224</v>
      </c>
      <c r="AI749">
        <f>IF($Y749="worse","Yes",IF($Y749="worse, not significant","Not sure",IF(OR($Y749="too few losses to test",$Y749="too few loans to test"),"Too few losses",IF($Y749="","","No"))))</f>
        <v/>
      </c>
      <c r="AJ749">
        <f>IF($AA749="yes","Yes",IF($AA749="","","No"))</f>
        <v/>
      </c>
    </row>
    <row r="750">
      <c r="A750" t="inlineStr">
        <is>
          <t>three-way</t>
        </is>
      </c>
      <c r="B750" t="inlineStr">
        <is>
          <t>FICO x ASSET_CLASS / REV_DEBT</t>
        </is>
      </c>
      <c r="C750" t="inlineStr">
        <is>
          <t>712 - 745</t>
        </is>
      </c>
      <c r="D750" t="inlineStr">
        <is>
          <t>3 / REV_DEBT low half</t>
        </is>
      </c>
      <c r="E750" t="inlineStr">
        <is>
          <t>outcome_booked</t>
        </is>
      </c>
      <c r="F750" t="inlineStr">
        <is>
          <t>Outcome, share of booked dollars</t>
        </is>
      </c>
      <c r="G750" t="n">
        <v>196</v>
      </c>
      <c r="H750" t="n">
        <v>6111009.799999997</v>
      </c>
      <c r="I750" t="b">
        <v>1</v>
      </c>
      <c r="J750" t="b">
        <v>0</v>
      </c>
      <c r="K750" t="n">
        <v>0.3501933388431572</v>
      </c>
      <c r="M750" t="n">
        <v>0.4564513787724596</v>
      </c>
      <c r="O750" t="n">
        <v>-301787.9219210939</v>
      </c>
      <c r="P750" t="n">
        <v>-193673.1658399468</v>
      </c>
      <c r="Q750">
        <f>'_live'!$C$21</f>
        <v/>
      </c>
      <c r="T750" t="n">
        <v>0.07599844659406277</v>
      </c>
      <c r="U750" t="n">
        <v>0.05830664775565356</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0.02661414975966821</v>
      </c>
      <c r="AI750">
        <f>IF($Y750="worse","Yes",IF($Y750="worse, not significant","Not sure",IF(OR($Y750="too few losses to test",$Y750="too few loans to test"),"Too few losses",IF($Y750="","","No"))))</f>
        <v/>
      </c>
      <c r="AJ750">
        <f>IF($AA750="yes","Yes",IF($AA750="","","No"))</f>
        <v/>
      </c>
    </row>
    <row r="751">
      <c r="A751" t="inlineStr">
        <is>
          <t>three-way</t>
        </is>
      </c>
      <c r="B751" t="inlineStr">
        <is>
          <t>FICO x ASSET_CLASS / REV_DEBT</t>
        </is>
      </c>
      <c r="C751" t="inlineStr">
        <is>
          <t>712 - 745</t>
        </is>
      </c>
      <c r="D751" t="inlineStr">
        <is>
          <t>3 / REV_DEBT low half</t>
        </is>
      </c>
      <c r="E751" t="inlineStr">
        <is>
          <t>gco_rate</t>
        </is>
      </c>
      <c r="F751" t="inlineStr">
        <is>
          <t>GCO per booked dollar</t>
        </is>
      </c>
      <c r="G751" t="n">
        <v>196</v>
      </c>
      <c r="H751" t="n">
        <v>6111009.799999997</v>
      </c>
      <c r="I751" t="b">
        <v>1</v>
      </c>
      <c r="J751" t="b">
        <v>0</v>
      </c>
      <c r="K751" t="n">
        <v>0.4196186057142008</v>
      </c>
      <c r="M751" t="n">
        <v>0.55367197060296</v>
      </c>
      <c r="O751" t="n">
        <v>-149618.6491245698</v>
      </c>
      <c r="P751" t="n">
        <v>-87202.4340585741</v>
      </c>
      <c r="Q751">
        <f>'_live'!$C$22</f>
        <v/>
      </c>
      <c r="T751" t="n">
        <v>0.04218511793657571</v>
      </c>
      <c r="U751" t="n">
        <v>0.03197138614612829</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0.01770166037043502</v>
      </c>
      <c r="AI751">
        <f>IF($Y751="worse","Yes",IF($Y751="worse, not significant","Not sure",IF(OR($Y751="too few losses to test",$Y751="too few loans to test"),"Too few losses",IF($Y751="","","No"))))</f>
        <v/>
      </c>
      <c r="AJ751">
        <f>IF($AA751="yes","Yes",IF($AA751="","","No"))</f>
        <v/>
      </c>
    </row>
    <row r="752">
      <c r="A752" t="inlineStr">
        <is>
          <t>three-way</t>
        </is>
      </c>
      <c r="B752" t="inlineStr">
        <is>
          <t>FICO x ASSET_CLASS / REV_DEBT</t>
        </is>
      </c>
      <c r="C752" t="inlineStr">
        <is>
          <t>712 - 745</t>
        </is>
      </c>
      <c r="D752" t="inlineStr">
        <is>
          <t>3 / REV_DEBT low half</t>
        </is>
      </c>
      <c r="E752" t="inlineStr">
        <is>
          <t>ranr_rate</t>
        </is>
      </c>
      <c r="F752" t="inlineStr">
        <is>
          <t>Profit after losses: RANR per booked dollar</t>
        </is>
      </c>
      <c r="G752" t="n">
        <v>196</v>
      </c>
      <c r="H752" t="n">
        <v>6111009.799999997</v>
      </c>
      <c r="I752" t="b">
        <v>0</v>
      </c>
      <c r="J752" t="b">
        <v>0</v>
      </c>
      <c r="K752" t="n">
        <v>-0.02584231908843342</v>
      </c>
      <c r="L752" t="n">
        <v>0.1234064093590641</v>
      </c>
      <c r="M752" t="n">
        <v>0.007712539365819407</v>
      </c>
      <c r="N752" t="n">
        <v>0.8567828931392575</v>
      </c>
      <c r="O752" t="n">
        <v>157922.6652041436</v>
      </c>
      <c r="P752" t="n">
        <v>-47131.40364740812</v>
      </c>
      <c r="Q752">
        <f>'_live'!$C$23</f>
        <v/>
      </c>
      <c r="R752" t="inlineStr">
        <is>
          <t>shuffled: 805 of 10,000</t>
        </is>
      </c>
      <c r="S752" t="inlineStr">
        <is>
          <t>shuffled: 5,428 of 10,000</t>
        </is>
      </c>
      <c r="T752" t="n">
        <v>0.1286019906569523</v>
      </c>
      <c r="U752" t="n">
        <v>0.0950471322026995</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0.1027596715685189</v>
      </c>
      <c r="AI752">
        <f>IF($Y752="worse","Yes",IF($Y752="worse, not significant","Not sure",IF(OR($Y752="too few losses to test",$Y752="too few loans to test"),"Too few losses",IF($Y752="","","No"))))</f>
        <v/>
      </c>
      <c r="AJ752">
        <f>IF($AA752="yes","Yes",IF($AA752="","","No"))</f>
        <v/>
      </c>
    </row>
    <row r="753">
      <c r="A753" t="inlineStr">
        <is>
          <t>three-way</t>
        </is>
      </c>
      <c r="B753" t="inlineStr">
        <is>
          <t>FICO x ASSET_CLASS / REV_DEBT</t>
        </is>
      </c>
      <c r="C753" t="inlineStr">
        <is>
          <t>712 - 745</t>
        </is>
      </c>
      <c r="D753" t="inlineStr">
        <is>
          <t>3 / REV_DEBT low half</t>
        </is>
      </c>
      <c r="E753" t="inlineStr">
        <is>
          <t>contribution_rate</t>
        </is>
      </c>
      <c r="F753" t="inlineStr">
        <is>
          <t>Contribution before losses per booked dollar</t>
        </is>
      </c>
      <c r="G753" t="n">
        <v>196</v>
      </c>
      <c r="H753" t="n">
        <v>6111009.799999997</v>
      </c>
      <c r="I753" t="b">
        <v>0</v>
      </c>
      <c r="J753" t="b">
        <v>0</v>
      </c>
      <c r="K753" t="n">
        <v>-0.05032294444724113</v>
      </c>
      <c r="L753" t="n">
        <v>0.0001884426941921192</v>
      </c>
      <c r="M753" t="n">
        <v>-0.006511701371366627</v>
      </c>
      <c r="N753" t="n">
        <v>0.7636569676365697</v>
      </c>
      <c r="O753" t="n">
        <v>307524.006681946</v>
      </c>
      <c r="P753" t="n">
        <v>39793.07089509489</v>
      </c>
      <c r="Q753">
        <f>'_live'!$C$24</f>
        <v/>
      </c>
      <c r="R753" t="inlineStr">
        <is>
          <t>shuffled: 0 of 10,000</t>
        </is>
      </c>
      <c r="S753" t="inlineStr">
        <is>
          <t>shuffled: 2,868 of 10,000</t>
        </is>
      </c>
      <c r="T753" t="n">
        <v>0.1707842763861951</v>
      </c>
      <c r="U753" t="n">
        <v>0.1269730333103206</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0.1204613319389539</v>
      </c>
      <c r="AI753">
        <f>IF($Y753="worse","Yes",IF($Y753="worse, not significant","Not sure",IF(OR($Y753="too few losses to test",$Y753="too few loans to test"),"Too few losses",IF($Y753="","","No"))))</f>
        <v/>
      </c>
      <c r="AJ753">
        <f>IF($AA753="yes","Yes",IF($AA753="","","No"))</f>
        <v/>
      </c>
    </row>
    <row r="754">
      <c r="A754" t="inlineStr">
        <is>
          <t>three-way</t>
        </is>
      </c>
      <c r="B754" t="inlineStr">
        <is>
          <t>FICO x ASSET_CLASS / REV_DEBT</t>
        </is>
      </c>
      <c r="C754" t="inlineStr">
        <is>
          <t>746 - 921</t>
        </is>
      </c>
      <c r="D754" t="inlineStr">
        <is>
          <t>4 / REV_DEBT high half</t>
        </is>
      </c>
      <c r="E754" t="inlineStr">
        <is>
          <t>outcome_loans</t>
        </is>
      </c>
      <c r="F754" t="inlineStr">
        <is>
          <t>Outcome, share of loans</t>
        </is>
      </c>
      <c r="G754" t="n">
        <v>186</v>
      </c>
      <c r="H754" t="n">
        <v>186</v>
      </c>
      <c r="I754" t="b">
        <v>1</v>
      </c>
      <c r="J754" t="b">
        <v>0</v>
      </c>
      <c r="K754" t="n">
        <v>0.6197514542570068</v>
      </c>
      <c r="M754" t="n">
        <v>1.264455264759586</v>
      </c>
      <c r="O754" t="n">
        <v>-5.521950595161909</v>
      </c>
      <c r="P754" t="n">
        <v>1.882310469314079</v>
      </c>
      <c r="Q754">
        <f>'_live'!$C$20</f>
        <v/>
      </c>
      <c r="T754" t="n">
        <v>0.07807500319979521</v>
      </c>
      <c r="U754" t="n">
        <v>0.03826714801444044</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0.04838709677419355</v>
      </c>
      <c r="AI754">
        <f>IF($Y754="worse","Yes",IF($Y754="worse, not significant","Not sure",IF(OR($Y754="too few losses to test",$Y754="too few loans to test"),"Too few losses",IF($Y754="","","No"))))</f>
        <v/>
      </c>
      <c r="AJ754">
        <f>IF($AA754="yes","Yes",IF($AA754="","","No"))</f>
        <v/>
      </c>
    </row>
    <row r="755">
      <c r="A755" t="inlineStr">
        <is>
          <t>three-way</t>
        </is>
      </c>
      <c r="B755" t="inlineStr">
        <is>
          <t>FICO x ASSET_CLASS / REV_DEBT</t>
        </is>
      </c>
      <c r="C755" t="inlineStr">
        <is>
          <t>746 - 921</t>
        </is>
      </c>
      <c r="D755" t="inlineStr">
        <is>
          <t>4 / REV_DEBT high half</t>
        </is>
      </c>
      <c r="E755" t="inlineStr">
        <is>
          <t>outcome_booked</t>
        </is>
      </c>
      <c r="F755" t="inlineStr">
        <is>
          <t>Outcome, share of booked dollars</t>
        </is>
      </c>
      <c r="G755" t="n">
        <v>186</v>
      </c>
      <c r="H755" t="n">
        <v>5735136.120000001</v>
      </c>
      <c r="I755" t="b">
        <v>1</v>
      </c>
      <c r="J755" t="b">
        <v>0</v>
      </c>
      <c r="K755" t="n">
        <v>0.5335058857361947</v>
      </c>
      <c r="M755" t="n">
        <v>1.108833974624584</v>
      </c>
      <c r="O755" t="n">
        <v>-202295.2011998856</v>
      </c>
      <c r="P755" t="n">
        <v>22707.88011436886</v>
      </c>
      <c r="Q755">
        <f>'_live'!$C$21</f>
        <v/>
      </c>
      <c r="T755" t="n">
        <v>0.07561286290793139</v>
      </c>
      <c r="U755" t="n">
        <v>0.03638047563649302</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0.0403399073987454</v>
      </c>
      <c r="AI755">
        <f>IF($Y755="worse","Yes",IF($Y755="worse, not significant","Not sure",IF(OR($Y755="too few losses to test",$Y755="too few loans to test"),"Too few losses",IF($Y755="","","No"))))</f>
        <v/>
      </c>
      <c r="AJ755">
        <f>IF($AA755="yes","Yes",IF($AA755="","","No"))</f>
        <v/>
      </c>
    </row>
    <row r="756">
      <c r="A756" t="inlineStr">
        <is>
          <t>three-way</t>
        </is>
      </c>
      <c r="B756" t="inlineStr">
        <is>
          <t>FICO x ASSET_CLASS / REV_DEBT</t>
        </is>
      </c>
      <c r="C756" t="inlineStr">
        <is>
          <t>746 - 921</t>
        </is>
      </c>
      <c r="D756" t="inlineStr">
        <is>
          <t>4 / REV_DEBT high half</t>
        </is>
      </c>
      <c r="E756" t="inlineStr">
        <is>
          <t>gco_rate</t>
        </is>
      </c>
      <c r="F756" t="inlineStr">
        <is>
          <t>GCO per booked dollar</t>
        </is>
      </c>
      <c r="G756" t="n">
        <v>186</v>
      </c>
      <c r="H756" t="n">
        <v>5735136.120000001</v>
      </c>
      <c r="I756" t="b">
        <v>1</v>
      </c>
      <c r="J756" t="b">
        <v>0</v>
      </c>
      <c r="K756" t="n">
        <v>0.5605196102364821</v>
      </c>
      <c r="M756" t="n">
        <v>1.247519201278409</v>
      </c>
      <c r="O756" t="n">
        <v>-105899.6838828674</v>
      </c>
      <c r="P756" t="n">
        <v>26798.3237895067</v>
      </c>
      <c r="Q756">
        <f>'_live'!$C$22</f>
        <v/>
      </c>
      <c r="T756" t="n">
        <v>0.04201568347132227</v>
      </c>
      <c r="U756" t="n">
        <v>0.01887795754889481</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0.02355061452316496</v>
      </c>
      <c r="AI756">
        <f>IF($Y756="worse","Yes",IF($Y756="worse, not significant","Not sure",IF(OR($Y756="too few losses to test",$Y756="too few loans to test"),"Too few losses",IF($Y756="","","No"))))</f>
        <v/>
      </c>
      <c r="AJ756">
        <f>IF($AA756="yes","Yes",IF($AA756="","","No"))</f>
        <v/>
      </c>
    </row>
    <row r="757">
      <c r="A757" t="inlineStr">
        <is>
          <t>three-way</t>
        </is>
      </c>
      <c r="B757" t="inlineStr">
        <is>
          <t>FICO x ASSET_CLASS / REV_DEBT</t>
        </is>
      </c>
      <c r="C757" t="inlineStr">
        <is>
          <t>746 - 921</t>
        </is>
      </c>
      <c r="D757" t="inlineStr">
        <is>
          <t>4 / REV_DEBT high half</t>
        </is>
      </c>
      <c r="E757" t="inlineStr">
        <is>
          <t>ranr_rate</t>
        </is>
      </c>
      <c r="F757" t="inlineStr">
        <is>
          <t>Profit after losses: RANR per booked dollar</t>
        </is>
      </c>
      <c r="G757" t="n">
        <v>186</v>
      </c>
      <c r="H757" t="n">
        <v>5735136.120000001</v>
      </c>
      <c r="I757" t="b">
        <v>0</v>
      </c>
      <c r="J757" t="b">
        <v>0</v>
      </c>
      <c r="K757" t="n">
        <v>-0.08534338137292442</v>
      </c>
      <c r="L757" t="n">
        <v>0.00034996500349965</v>
      </c>
      <c r="M757" t="n">
        <v>-0.002481849117477286</v>
      </c>
      <c r="N757" t="n">
        <v>0.8774192348207039</v>
      </c>
      <c r="O757" t="n">
        <v>489455.9091147941</v>
      </c>
      <c r="P757" t="n">
        <v>14233.74251803409</v>
      </c>
      <c r="Q757">
        <f>'_live'!$C$23</f>
        <v/>
      </c>
      <c r="R757" t="inlineStr">
        <is>
          <t>shuffled: 0 of 10,000</t>
        </is>
      </c>
      <c r="S757" t="inlineStr">
        <is>
          <t>shuffled: 7,860 of 10,000</t>
        </is>
      </c>
      <c r="T757" t="n">
        <v>0.1298866624136541</v>
      </c>
      <c r="U757" t="n">
        <v>0.04702513015820696</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0.04454328104072967</v>
      </c>
      <c r="AI757">
        <f>IF($Y757="worse","Yes",IF($Y757="worse, not significant","Not sure",IF(OR($Y757="too few losses to test",$Y757="too few loans to test"),"Too few losses",IF($Y757="","","No"))))</f>
        <v/>
      </c>
      <c r="AJ757">
        <f>IF($AA757="yes","Yes",IF($AA757="","","No"))</f>
        <v/>
      </c>
    </row>
    <row r="758">
      <c r="A758" t="inlineStr">
        <is>
          <t>three-way</t>
        </is>
      </c>
      <c r="B758" t="inlineStr">
        <is>
          <t>FICO x ASSET_CLASS / REV_DEBT</t>
        </is>
      </c>
      <c r="C758" t="inlineStr">
        <is>
          <t>746 - 921</t>
        </is>
      </c>
      <c r="D758" t="inlineStr">
        <is>
          <t>4 / REV_DEBT high half</t>
        </is>
      </c>
      <c r="E758" t="inlineStr">
        <is>
          <t>contribution_rate</t>
        </is>
      </c>
      <c r="F758" t="inlineStr">
        <is>
          <t>Contribution before losses per booked dollar</t>
        </is>
      </c>
      <c r="G758" t="n">
        <v>186</v>
      </c>
      <c r="H758" t="n">
        <v>5735136.120000001</v>
      </c>
      <c r="I758" t="b">
        <v>0</v>
      </c>
      <c r="J758" t="b">
        <v>0</v>
      </c>
      <c r="K758" t="n">
        <v>-0.1038058244052018</v>
      </c>
      <c r="L758" t="n">
        <v>0.0001884426941921192</v>
      </c>
      <c r="M758" t="n">
        <v>0.002190807856792917</v>
      </c>
      <c r="N758" t="n">
        <v>0.7636569676365697</v>
      </c>
      <c r="O758" t="n">
        <v>595340.5330126502</v>
      </c>
      <c r="P758" t="n">
        <v>-12564.58127147285</v>
      </c>
      <c r="Q758">
        <f>'_live'!$C$24</f>
        <v/>
      </c>
      <c r="R758" t="inlineStr">
        <is>
          <t>shuffled: 0 of 10,000</t>
        </is>
      </c>
      <c r="S758" t="inlineStr">
        <is>
          <t>shuffled: 4,129 of 10,000</t>
        </is>
      </c>
      <c r="T758" t="n">
        <v>0.1718997199690964</v>
      </c>
      <c r="U758" t="n">
        <v>0.06590308770710177</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0.06809389556389468</v>
      </c>
      <c r="AI758">
        <f>IF($Y758="worse","Yes",IF($Y758="worse, not significant","Not sure",IF(OR($Y758="too few losses to test",$Y758="too few loans to test"),"Too few losses",IF($Y758="","","No"))))</f>
        <v/>
      </c>
      <c r="AJ758">
        <f>IF($AA758="yes","Yes",IF($AA758="","","No"))</f>
        <v/>
      </c>
    </row>
    <row r="759">
      <c r="A759" t="inlineStr">
        <is>
          <t>three-way</t>
        </is>
      </c>
      <c r="B759" t="inlineStr">
        <is>
          <t>FICO x ASSET_CLASS / REV_DEBT</t>
        </is>
      </c>
      <c r="C759" t="inlineStr">
        <is>
          <t>746 - 921</t>
        </is>
      </c>
      <c r="D759" t="inlineStr">
        <is>
          <t>3 / REV_DEBT low half</t>
        </is>
      </c>
      <c r="E759" t="inlineStr">
        <is>
          <t>outcome_loans</t>
        </is>
      </c>
      <c r="F759" t="inlineStr">
        <is>
          <t>Outcome, share of loans</t>
        </is>
      </c>
      <c r="G759" t="n">
        <v>193</v>
      </c>
      <c r="H759" t="n">
        <v>193</v>
      </c>
      <c r="I759" t="b">
        <v>1</v>
      </c>
      <c r="J759" t="b">
        <v>0</v>
      </c>
      <c r="K759" t="n">
        <v>0.3958785891183257</v>
      </c>
      <c r="M759" t="n">
        <v>0.7649888971132495</v>
      </c>
      <c r="O759" t="n">
        <v>-9.156161926723033</v>
      </c>
      <c r="P759" t="n">
        <v>-1.843251088534108</v>
      </c>
      <c r="Q759">
        <f>'_live'!$C$20</f>
        <v/>
      </c>
      <c r="T759" t="n">
        <v>0.07852933640789136</v>
      </c>
      <c r="U759" t="n">
        <v>0.04063860667634252</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0.0310880829015544</v>
      </c>
      <c r="AI759">
        <f>IF($Y759="worse","Yes",IF($Y759="worse, not significant","Not sure",IF(OR($Y759="too few losses to test",$Y759="too few loans to test"),"Too few losses",IF($Y759="","","No"))))</f>
        <v/>
      </c>
      <c r="AJ759">
        <f>IF($AA759="yes","Yes",IF($AA759="","","No"))</f>
        <v/>
      </c>
    </row>
    <row r="760">
      <c r="A760" t="inlineStr">
        <is>
          <t>three-way</t>
        </is>
      </c>
      <c r="B760" t="inlineStr">
        <is>
          <t>FICO x ASSET_CLASS / REV_DEBT</t>
        </is>
      </c>
      <c r="C760" t="inlineStr">
        <is>
          <t>746 - 921</t>
        </is>
      </c>
      <c r="D760" t="inlineStr">
        <is>
          <t>3 / REV_DEBT low half</t>
        </is>
      </c>
      <c r="E760" t="inlineStr">
        <is>
          <t>outcome_booked</t>
        </is>
      </c>
      <c r="F760" t="inlineStr">
        <is>
          <t>Outcome, share of booked dollars</t>
        </is>
      </c>
      <c r="G760" t="n">
        <v>193</v>
      </c>
      <c r="H760" t="n">
        <v>6451870.670000001</v>
      </c>
      <c r="I760" t="b">
        <v>1</v>
      </c>
      <c r="J760" t="b">
        <v>0</v>
      </c>
      <c r="K760" t="n">
        <v>0.41656769173202</v>
      </c>
      <c r="M760" t="n">
        <v>0.8415046963391609</v>
      </c>
      <c r="O760" t="n">
        <v>-285843.0087169386</v>
      </c>
      <c r="P760" t="n">
        <v>-38439.92551408173</v>
      </c>
      <c r="Q760">
        <f>'_live'!$C$21</f>
        <v/>
      </c>
      <c r="T760" t="n">
        <v>0.07593665213951638</v>
      </c>
      <c r="U760" t="n">
        <v>0.03759070631124131</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0.03163275589961569</v>
      </c>
      <c r="AI760">
        <f>IF($Y760="worse","Yes",IF($Y760="worse, not significant","Not sure",IF(OR($Y760="too few losses to test",$Y760="too few loans to test"),"Too few losses",IF($Y760="","","No"))))</f>
        <v/>
      </c>
      <c r="AJ760">
        <f>IF($AA760="yes","Yes",IF($AA760="","","No"))</f>
        <v/>
      </c>
    </row>
    <row r="761">
      <c r="A761" t="inlineStr">
        <is>
          <t>three-way</t>
        </is>
      </c>
      <c r="B761" t="inlineStr">
        <is>
          <t>FICO x ASSET_CLASS / REV_DEBT</t>
        </is>
      </c>
      <c r="C761" t="inlineStr">
        <is>
          <t>746 - 921</t>
        </is>
      </c>
      <c r="D761" t="inlineStr">
        <is>
          <t>3 / REV_DEBT low half</t>
        </is>
      </c>
      <c r="E761" t="inlineStr">
        <is>
          <t>gco_rate</t>
        </is>
      </c>
      <c r="F761" t="inlineStr">
        <is>
          <t>GCO per booked dollar</t>
        </is>
      </c>
      <c r="G761" t="n">
        <v>193</v>
      </c>
      <c r="H761" t="n">
        <v>6451870.670000001</v>
      </c>
      <c r="I761" t="b">
        <v>1</v>
      </c>
      <c r="J761" t="b">
        <v>0</v>
      </c>
      <c r="K761" t="n">
        <v>0.3608653557982553</v>
      </c>
      <c r="M761" t="n">
        <v>0.762279069717439</v>
      </c>
      <c r="O761" t="n">
        <v>-174350.3890048108</v>
      </c>
      <c r="P761" t="n">
        <v>-30699.34983701468</v>
      </c>
      <c r="Q761">
        <f>'_live'!$C$22</f>
        <v/>
      </c>
      <c r="T761" t="n">
        <v>0.04228096670834396</v>
      </c>
      <c r="U761" t="n">
        <v>0.02001594521066472</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0.01525773609470073</v>
      </c>
      <c r="AI761">
        <f>IF($Y761="worse","Yes",IF($Y761="worse, not significant","Not sure",IF(OR($Y761="too few losses to test",$Y761="too few loans to test"),"Too few losses",IF($Y761="","","No"))))</f>
        <v/>
      </c>
      <c r="AJ761">
        <f>IF($AA761="yes","Yes",IF($AA761="","","No"))</f>
        <v/>
      </c>
    </row>
    <row r="762">
      <c r="A762" t="inlineStr">
        <is>
          <t>three-way</t>
        </is>
      </c>
      <c r="B762" t="inlineStr">
        <is>
          <t>FICO x ASSET_CLASS / REV_DEBT</t>
        </is>
      </c>
      <c r="C762" t="inlineStr">
        <is>
          <t>746 - 921</t>
        </is>
      </c>
      <c r="D762" t="inlineStr">
        <is>
          <t>3 / REV_DEBT low half</t>
        </is>
      </c>
      <c r="E762" t="inlineStr">
        <is>
          <t>ranr_rate</t>
        </is>
      </c>
      <c r="F762" t="inlineStr">
        <is>
          <t>Profit after losses: RANR per booked dollar</t>
        </is>
      </c>
      <c r="G762" t="n">
        <v>193</v>
      </c>
      <c r="H762" t="n">
        <v>6451870.670000001</v>
      </c>
      <c r="I762" t="b">
        <v>0</v>
      </c>
      <c r="J762" t="b">
        <v>0</v>
      </c>
      <c r="K762" t="n">
        <v>-0.08117487354290356</v>
      </c>
      <c r="L762" t="n">
        <v>0.00034996500349965</v>
      </c>
      <c r="M762" t="n">
        <v>0.002408767525536461</v>
      </c>
      <c r="N762" t="n">
        <v>0.8774192348207039</v>
      </c>
      <c r="O762" t="n">
        <v>523729.7857524186</v>
      </c>
      <c r="P762" t="n">
        <v>-15541.05654885719</v>
      </c>
      <c r="Q762">
        <f>'_live'!$C$23</f>
        <v/>
      </c>
      <c r="R762" t="inlineStr">
        <is>
          <t>shuffled: 0 of 10,000</t>
        </is>
      </c>
      <c r="S762" t="inlineStr">
        <is>
          <t>shuffled: 7,830 of 10,000</t>
        </is>
      </c>
      <c r="T762" t="n">
        <v>0.130019471663157</v>
      </c>
      <c r="U762" t="n">
        <v>0.04643583059471694</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0.0488445981202534</v>
      </c>
      <c r="AI762">
        <f>IF($Y762="worse","Yes",IF($Y762="worse, not significant","Not sure",IF(OR($Y762="too few losses to test",$Y762="too few loans to test"),"Too few losses",IF($Y762="","","No"))))</f>
        <v/>
      </c>
      <c r="AJ762">
        <f>IF($AA762="yes","Yes",IF($AA762="","","No"))</f>
        <v/>
      </c>
    </row>
    <row r="763">
      <c r="A763" t="inlineStr">
        <is>
          <t>three-way</t>
        </is>
      </c>
      <c r="B763" t="inlineStr">
        <is>
          <t>FICO x ASSET_CLASS / REV_DEBT</t>
        </is>
      </c>
      <c r="C763" t="inlineStr">
        <is>
          <t>746 - 921</t>
        </is>
      </c>
      <c r="D763" t="inlineStr">
        <is>
          <t>3 / REV_DEBT low half</t>
        </is>
      </c>
      <c r="E763" t="inlineStr">
        <is>
          <t>contribution_rate</t>
        </is>
      </c>
      <c r="F763" t="inlineStr">
        <is>
          <t>Contribution before losses per booked dollar</t>
        </is>
      </c>
      <c r="G763" t="n">
        <v>193</v>
      </c>
      <c r="H763" t="n">
        <v>6451870.670000001</v>
      </c>
      <c r="I763" t="b">
        <v>0</v>
      </c>
      <c r="J763" t="b">
        <v>0</v>
      </c>
      <c r="K763" t="n">
        <v>-0.1081954917092121</v>
      </c>
      <c r="L763" t="n">
        <v>0.0001884426941921192</v>
      </c>
      <c r="M763" t="n">
        <v>-0.00234944159042752</v>
      </c>
      <c r="N763" t="n">
        <v>0.7636569676365697</v>
      </c>
      <c r="O763" t="n">
        <v>698063.3195848935</v>
      </c>
      <c r="P763" t="n">
        <v>15158.29328815744</v>
      </c>
      <c r="Q763">
        <f>'_live'!$C$24</f>
        <v/>
      </c>
      <c r="R763" t="inlineStr">
        <is>
          <t>shuffled: 0 of 10,000</t>
        </is>
      </c>
      <c r="S763" t="inlineStr">
        <is>
          <t>shuffled: 3,730 of 10,000</t>
        </is>
      </c>
      <c r="T763" t="n">
        <v>0.1722978259241662</v>
      </c>
      <c r="U763" t="n">
        <v>0.06645177580538165</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0.06410233421495413</v>
      </c>
      <c r="AI763">
        <f>IF($Y763="worse","Yes",IF($Y763="worse, not significant","Not sure",IF(OR($Y763="too few losses to test",$Y763="too few loans to test"),"Too few losses",IF($Y763="","","No"))))</f>
        <v/>
      </c>
      <c r="AJ763">
        <f>IF($AA763="yes","Yes",IF($AA763="","","No"))</f>
        <v/>
      </c>
    </row>
    <row r="764">
      <c r="A764" t="inlineStr">
        <is>
          <t>three-way</t>
        </is>
      </c>
      <c r="B764" t="inlineStr">
        <is>
          <t>FICO x ASSET_CLASS / REV_DEBT</t>
        </is>
      </c>
      <c r="C764" t="inlineStr">
        <is>
          <t>712 - 745</t>
        </is>
      </c>
      <c r="D764" t="inlineStr">
        <is>
          <t>3 / REV_DEBT high half</t>
        </is>
      </c>
      <c r="E764" t="inlineStr">
        <is>
          <t>outcome_loans</t>
        </is>
      </c>
      <c r="F764" t="inlineStr">
        <is>
          <t>Outcome, share of loans</t>
        </is>
      </c>
      <c r="G764" t="n">
        <v>196</v>
      </c>
      <c r="H764" t="n">
        <v>196</v>
      </c>
      <c r="I764" t="b">
        <v>0</v>
      </c>
      <c r="J764" t="b">
        <v>0</v>
      </c>
      <c r="K764" t="n">
        <v>0.7202688641245972</v>
      </c>
      <c r="L764" t="n">
        <v>0.389017946654237</v>
      </c>
      <c r="M764" t="n">
        <v>1.044911385606874</v>
      </c>
      <c r="N764" t="n">
        <v>0.8906052858038503</v>
      </c>
      <c r="O764" t="n">
        <v>-4.272074843009099</v>
      </c>
      <c r="P764" t="n">
        <v>0.4727915194346295</v>
      </c>
      <c r="Q764">
        <f>'_live'!$C$20</f>
        <v/>
      </c>
      <c r="R764" t="inlineStr">
        <is>
          <t>z test</t>
        </is>
      </c>
      <c r="S764" t="inlineStr">
        <is>
          <t>z test</t>
        </is>
      </c>
      <c r="T764" t="n">
        <v>0.07791874919902601</v>
      </c>
      <c r="U764" t="n">
        <v>0.05371024734982332</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0.05612244897959184</v>
      </c>
      <c r="AI764">
        <f>IF($Y764="worse","Yes",IF($Y764="worse, not significant","Not sure",IF(OR($Y764="too few losses to test",$Y764="too few loans to test"),"Too few losses",IF($Y764="","","No"))))</f>
        <v/>
      </c>
      <c r="AJ764">
        <f>IF($AA764="yes","Yes",IF($AA764="","","No"))</f>
        <v/>
      </c>
    </row>
    <row r="765">
      <c r="A765" t="inlineStr">
        <is>
          <t>three-way</t>
        </is>
      </c>
      <c r="B765" t="inlineStr">
        <is>
          <t>FICO x ASSET_CLASS / REV_DEBT</t>
        </is>
      </c>
      <c r="C765" t="inlineStr">
        <is>
          <t>712 - 745</t>
        </is>
      </c>
      <c r="D765" t="inlineStr">
        <is>
          <t>3 / REV_DEBT high half</t>
        </is>
      </c>
      <c r="E765" t="inlineStr">
        <is>
          <t>outcome_booked</t>
        </is>
      </c>
      <c r="F765" t="inlineStr">
        <is>
          <t>Outcome, share of booked dollars</t>
        </is>
      </c>
      <c r="G765" t="n">
        <v>196</v>
      </c>
      <c r="H765" t="n">
        <v>6189344.540000006</v>
      </c>
      <c r="I765" t="b">
        <v>0</v>
      </c>
      <c r="J765" t="b">
        <v>0</v>
      </c>
      <c r="K765" t="n">
        <v>0.7683183091188754</v>
      </c>
      <c r="L765" t="n">
        <v>0.5634103256341033</v>
      </c>
      <c r="M765" t="n">
        <v>1.069369020247272</v>
      </c>
      <c r="N765" t="n">
        <v>0.8993883220373615</v>
      </c>
      <c r="O765" t="n">
        <v>-107901.0788830313</v>
      </c>
      <c r="P765" t="n">
        <v>23212.03506105562</v>
      </c>
      <c r="Q765">
        <f>'_live'!$C$21</f>
        <v/>
      </c>
      <c r="R765" t="inlineStr">
        <is>
          <t>shuffled: 4,000 of 10,000</t>
        </is>
      </c>
      <c r="S765" t="inlineStr">
        <is>
          <t>shuffled: 8,473 of 10,000</t>
        </is>
      </c>
      <c r="T765" t="n">
        <v>0.07524703882182504</v>
      </c>
      <c r="U765" t="n">
        <v>0.05406335562294357</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0.05781367763378699</v>
      </c>
      <c r="AI765">
        <f>IF($Y765="worse","Yes",IF($Y765="worse, not significant","Not sure",IF(OR($Y765="too few losses to test",$Y765="too few loans to test"),"Too few losses",IF($Y765="","","No"))))</f>
        <v/>
      </c>
      <c r="AJ765">
        <f>IF($AA765="yes","Yes",IF($AA765="","","No"))</f>
        <v/>
      </c>
    </row>
    <row r="766">
      <c r="A766" t="inlineStr">
        <is>
          <t>three-way</t>
        </is>
      </c>
      <c r="B766" t="inlineStr">
        <is>
          <t>FICO x ASSET_CLASS / REV_DEBT</t>
        </is>
      </c>
      <c r="C766" t="inlineStr">
        <is>
          <t>712 - 745</t>
        </is>
      </c>
      <c r="D766" t="inlineStr">
        <is>
          <t>3 / REV_DEBT high half</t>
        </is>
      </c>
      <c r="E766" t="inlineStr">
        <is>
          <t>gco_rate</t>
        </is>
      </c>
      <c r="F766" t="inlineStr">
        <is>
          <t>GCO per booked dollar</t>
        </is>
      </c>
      <c r="G766" t="n">
        <v>196</v>
      </c>
      <c r="H766" t="n">
        <v>6189344.540000006</v>
      </c>
      <c r="I766" t="b">
        <v>0</v>
      </c>
      <c r="J766" t="b">
        <v>0</v>
      </c>
      <c r="K766" t="n">
        <v>0.6841841019829924</v>
      </c>
      <c r="L766" t="n">
        <v>0.4230635759953416</v>
      </c>
      <c r="M766" t="n">
        <v>0.9409801199181701</v>
      </c>
      <c r="N766" t="n">
        <v>0.9349065093490651</v>
      </c>
      <c r="O766" t="n">
        <v>-81946.32096974793</v>
      </c>
      <c r="P766" t="n">
        <v>-11134.90010288457</v>
      </c>
      <c r="Q766">
        <f>'_live'!$C$22</f>
        <v/>
      </c>
      <c r="R766" t="inlineStr">
        <is>
          <t>shuffled: 2,675 of 10,000</t>
        </is>
      </c>
      <c r="S766" t="inlineStr">
        <is>
          <t>shuffled: 8,677 of 10,000</t>
        </is>
      </c>
      <c r="T766" t="n">
        <v>0.04192285132825191</v>
      </c>
      <c r="U766" t="n">
        <v>0.03048199189487751</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0.02868294838858653</v>
      </c>
      <c r="AI766">
        <f>IF($Y766="worse","Yes",IF($Y766="worse, not significant","Not sure",IF(OR($Y766="too few losses to test",$Y766="too few loans to test"),"Too few losses",IF($Y766="","","No"))))</f>
        <v/>
      </c>
      <c r="AJ766">
        <f>IF($AA766="yes","Yes",IF($AA766="","","No"))</f>
        <v/>
      </c>
    </row>
    <row r="767">
      <c r="A767" t="inlineStr">
        <is>
          <t>three-way</t>
        </is>
      </c>
      <c r="B767" t="inlineStr">
        <is>
          <t>FICO x ASSET_CLASS / REV_DEBT</t>
        </is>
      </c>
      <c r="C767" t="inlineStr">
        <is>
          <t>712 - 745</t>
        </is>
      </c>
      <c r="D767" t="inlineStr">
        <is>
          <t>3 / REV_DEBT high half</t>
        </is>
      </c>
      <c r="E767" t="inlineStr">
        <is>
          <t>ranr_rate</t>
        </is>
      </c>
      <c r="F767" t="inlineStr">
        <is>
          <t>Profit after losses: RANR per booked dollar</t>
        </is>
      </c>
      <c r="G767" t="n">
        <v>196</v>
      </c>
      <c r="H767" t="n">
        <v>6189344.540000006</v>
      </c>
      <c r="I767" t="b">
        <v>0</v>
      </c>
      <c r="J767" t="b">
        <v>0</v>
      </c>
      <c r="K767" t="n">
        <v>-0.02972047298247263</v>
      </c>
      <c r="L767" t="n">
        <v>0.08385699891549307</v>
      </c>
      <c r="M767" t="n">
        <v>0.003428267289666539</v>
      </c>
      <c r="N767" t="n">
        <v>0.8774192348207039</v>
      </c>
      <c r="O767" t="n">
        <v>183950.2471802846</v>
      </c>
      <c r="P767" t="n">
        <v>-21218.7274309583</v>
      </c>
      <c r="Q767">
        <f>'_live'!$C$23</f>
        <v/>
      </c>
      <c r="R767" t="inlineStr">
        <is>
          <t>shuffled: 444 of 10,000</t>
        </is>
      </c>
      <c r="S767" t="inlineStr">
        <is>
          <t>shuffled: 7,804 of 10,000</t>
        </is>
      </c>
      <c r="T767" t="n">
        <v>0.1287028460012478</v>
      </c>
      <c r="U767" t="n">
        <v>0.09555410572910859</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0.09898237301877513</v>
      </c>
      <c r="AI767">
        <f>IF($Y767="worse","Yes",IF($Y767="worse, not significant","Not sure",IF(OR($Y767="too few losses to test",$Y767="too few loans to test"),"Too few losses",IF($Y767="","","No"))))</f>
        <v/>
      </c>
      <c r="AJ767">
        <f>IF($AA767="yes","Yes",IF($AA767="","","No"))</f>
        <v/>
      </c>
    </row>
    <row r="768">
      <c r="A768" t="inlineStr">
        <is>
          <t>three-way</t>
        </is>
      </c>
      <c r="B768" t="inlineStr">
        <is>
          <t>FICO x ASSET_CLASS / REV_DEBT</t>
        </is>
      </c>
      <c r="C768" t="inlineStr">
        <is>
          <t>712 - 745</t>
        </is>
      </c>
      <c r="D768" t="inlineStr">
        <is>
          <t>3 / REV_DEBT high half</t>
        </is>
      </c>
      <c r="E768" t="inlineStr">
        <is>
          <t>contribution_rate</t>
        </is>
      </c>
      <c r="F768" t="inlineStr">
        <is>
          <t>Contribution before losses per booked dollar</t>
        </is>
      </c>
      <c r="G768" t="n">
        <v>196</v>
      </c>
      <c r="H768" t="n">
        <v>6189344.540000006</v>
      </c>
      <c r="I768" t="b">
        <v>0</v>
      </c>
      <c r="J768" t="b">
        <v>0</v>
      </c>
      <c r="K768" t="n">
        <v>-0.04295755872646079</v>
      </c>
      <c r="L768" t="n">
        <v>0.0001884426941921192</v>
      </c>
      <c r="M768" t="n">
        <v>0.001674339957748461</v>
      </c>
      <c r="N768" t="n">
        <v>0.869606062649549</v>
      </c>
      <c r="O768" t="n">
        <v>265879.1315553496</v>
      </c>
      <c r="P768" t="n">
        <v>-10363.06687559432</v>
      </c>
      <c r="Q768">
        <f>'_live'!$C$24</f>
        <v/>
      </c>
      <c r="R768" t="inlineStr">
        <is>
          <t>shuffled: 0 of 10,000</t>
        </is>
      </c>
      <c r="S768" t="inlineStr">
        <is>
          <t>shuffled: 7,790 of 10,000</t>
        </is>
      </c>
      <c r="T768" t="n">
        <v>0.1706228801338224</v>
      </c>
      <c r="U768" t="n">
        <v>0.1259909814496132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0.1276653214073616</v>
      </c>
      <c r="AI768">
        <f>IF($Y768="worse","Yes",IF($Y768="worse, not significant","Not sure",IF(OR($Y768="too few losses to test",$Y768="too few loans to test"),"Too few losses",IF($Y768="","","No"))))</f>
        <v/>
      </c>
      <c r="AJ768">
        <f>IF($AA768="yes","Yes",IF($AA768="","","No"))</f>
        <v/>
      </c>
    </row>
    <row r="769">
      <c r="A769" t="inlineStr">
        <is>
          <t>three-way</t>
        </is>
      </c>
      <c r="B769" t="inlineStr">
        <is>
          <t>FICO x ASSET_CLASS / REV_DEBT</t>
        </is>
      </c>
      <c r="C769" t="inlineStr">
        <is>
          <t>654 - 685</t>
        </is>
      </c>
      <c r="D769" t="inlineStr">
        <is>
          <t>2 / REV_DEBT low half</t>
        </is>
      </c>
      <c r="E769" t="inlineStr">
        <is>
          <t>outcome_loans</t>
        </is>
      </c>
      <c r="F769" t="inlineStr">
        <is>
          <t>Outcome, share of loans</t>
        </is>
      </c>
      <c r="G769" t="n">
        <v>178</v>
      </c>
      <c r="H769" t="n">
        <v>178</v>
      </c>
      <c r="I769" t="b">
        <v>1</v>
      </c>
      <c r="J769" t="b">
        <v>0</v>
      </c>
      <c r="K769" t="n">
        <v>0.3578029498956922</v>
      </c>
      <c r="M769" t="n">
        <v>0.3058426966292135</v>
      </c>
      <c r="O769" t="n">
        <v>-8.97417210075438</v>
      </c>
      <c r="P769" t="n">
        <v>-11.34827332843497</v>
      </c>
      <c r="Q769">
        <f>'_live'!$C$20</f>
        <v/>
      </c>
      <c r="T769" t="n">
        <v>0.07850658483569876</v>
      </c>
      <c r="U769" t="n">
        <v>0.09184423218221896</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0.02808988764044944</v>
      </c>
      <c r="AI769">
        <f>IF($Y769="worse","Yes",IF($Y769="worse, not significant","Not sure",IF(OR($Y769="too few losses to test",$Y769="too few loans to test"),"Too few losses",IF($Y769="","","No"))))</f>
        <v/>
      </c>
      <c r="AJ769">
        <f>IF($AA769="yes","Yes",IF($AA769="","","No"))</f>
        <v/>
      </c>
    </row>
    <row r="770">
      <c r="A770" t="inlineStr">
        <is>
          <t>three-way</t>
        </is>
      </c>
      <c r="B770" t="inlineStr">
        <is>
          <t>FICO x ASSET_CLASS / REV_DEBT</t>
        </is>
      </c>
      <c r="C770" t="inlineStr">
        <is>
          <t>654 - 685</t>
        </is>
      </c>
      <c r="D770" t="inlineStr">
        <is>
          <t>2 / REV_DEBT low half</t>
        </is>
      </c>
      <c r="E770" t="inlineStr">
        <is>
          <t>outcome_booked</t>
        </is>
      </c>
      <c r="F770" t="inlineStr">
        <is>
          <t>Outcome, share of booked dollars</t>
        </is>
      </c>
      <c r="G770" t="n">
        <v>178</v>
      </c>
      <c r="H770" t="n">
        <v>5768701.700000001</v>
      </c>
      <c r="I770" t="b">
        <v>1</v>
      </c>
      <c r="J770" t="b">
        <v>0</v>
      </c>
      <c r="K770" t="n">
        <v>0.2342473327365375</v>
      </c>
      <c r="M770" t="n">
        <v>0.2025005253152919</v>
      </c>
      <c r="O770" t="n">
        <v>-336306.3829014199</v>
      </c>
      <c r="P770" t="n">
        <v>-405159.0067681437</v>
      </c>
      <c r="Q770">
        <f>'_live'!$C$21</f>
        <v/>
      </c>
      <c r="T770" t="n">
        <v>0.07613222276711237</v>
      </c>
      <c r="U770" t="n">
        <v>0.08806777212421013</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0.01783377011849997</v>
      </c>
      <c r="AI770">
        <f>IF($Y770="worse","Yes",IF($Y770="worse, not significant","Not sure",IF(OR($Y770="too few losses to test",$Y770="too few loans to test"),"Too few losses",IF($Y770="","","No"))))</f>
        <v/>
      </c>
      <c r="AJ770">
        <f>IF($AA770="yes","Yes",IF($AA770="","","No"))</f>
        <v/>
      </c>
    </row>
    <row r="771">
      <c r="A771" t="inlineStr">
        <is>
          <t>three-way</t>
        </is>
      </c>
      <c r="B771" t="inlineStr">
        <is>
          <t>FICO x ASSET_CLASS / REV_DEBT</t>
        </is>
      </c>
      <c r="C771" t="inlineStr">
        <is>
          <t>654 - 685</t>
        </is>
      </c>
      <c r="D771" t="inlineStr">
        <is>
          <t>2 / REV_DEBT low half</t>
        </is>
      </c>
      <c r="E771" t="inlineStr">
        <is>
          <t>gco_rate</t>
        </is>
      </c>
      <c r="F771" t="inlineStr">
        <is>
          <t>GCO per booked dollar</t>
        </is>
      </c>
      <c r="G771" t="n">
        <v>178</v>
      </c>
      <c r="H771" t="n">
        <v>5768701.700000001</v>
      </c>
      <c r="I771" t="b">
        <v>1</v>
      </c>
      <c r="J771" t="b">
        <v>0</v>
      </c>
      <c r="K771" t="n">
        <v>0.2458613144899924</v>
      </c>
      <c r="M771" t="n">
        <v>0.2088333289381708</v>
      </c>
      <c r="O771" t="n">
        <v>-184103.6053982113</v>
      </c>
      <c r="P771" t="n">
        <v>-227388.9967192935</v>
      </c>
      <c r="Q771">
        <f>'_live'!$C$22</f>
        <v/>
      </c>
      <c r="T771" t="n">
        <v>0.04231876565886761</v>
      </c>
      <c r="U771" t="n">
        <v>0.04982225493117341</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0.01040454735248314</v>
      </c>
      <c r="AI771">
        <f>IF($Y771="worse","Yes",IF($Y771="worse, not significant","Not sure",IF(OR($Y771="too few losses to test",$Y771="too few loans to test"),"Too few losses",IF($Y771="","","No"))))</f>
        <v/>
      </c>
      <c r="AJ771">
        <f>IF($AA771="yes","Yes",IF($AA771="","","No"))</f>
        <v/>
      </c>
    </row>
    <row r="772">
      <c r="A772" t="inlineStr">
        <is>
          <t>three-way</t>
        </is>
      </c>
      <c r="B772" t="inlineStr">
        <is>
          <t>FICO x ASSET_CLASS / REV_DEBT</t>
        </is>
      </c>
      <c r="C772" t="inlineStr">
        <is>
          <t>654 - 685</t>
        </is>
      </c>
      <c r="D772" t="inlineStr">
        <is>
          <t>2 / REV_DEBT low half</t>
        </is>
      </c>
      <c r="E772" t="inlineStr">
        <is>
          <t>ranr_rate</t>
        </is>
      </c>
      <c r="F772" t="inlineStr">
        <is>
          <t>Profit after losses: RANR per booked dollar</t>
        </is>
      </c>
      <c r="G772" t="n">
        <v>178</v>
      </c>
      <c r="H772" t="n">
        <v>5768701.700000001</v>
      </c>
      <c r="I772" t="b">
        <v>0</v>
      </c>
      <c r="J772" t="b">
        <v>0</v>
      </c>
      <c r="K772" t="n">
        <v>0.07152953934541956</v>
      </c>
      <c r="L772" t="n">
        <v>0.00034996500349965</v>
      </c>
      <c r="M772" t="n">
        <v>0.03945760228816067</v>
      </c>
      <c r="N772" t="n">
        <v>0.1623837616238376</v>
      </c>
      <c r="O772" t="n">
        <v>-412632.5752221389</v>
      </c>
      <c r="P772" t="n">
        <v>-227619.1373976364</v>
      </c>
      <c r="Q772">
        <f>'_live'!$C$23</f>
        <v/>
      </c>
      <c r="R772" t="inlineStr">
        <is>
          <t>shuffled: 0 of 10,000</t>
        </is>
      </c>
      <c r="S772" t="inlineStr">
        <is>
          <t>shuffled: 202 of 10,000</t>
        </is>
      </c>
      <c r="T772" t="n">
        <v>0.1263911227682064</v>
      </c>
      <c r="U772" t="n">
        <v>0.1584630598254653</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0.197920662113626</v>
      </c>
      <c r="AI772">
        <f>IF($Y772="worse","Yes",IF($Y772="worse, not significant","Not sure",IF(OR($Y772="too few losses to test",$Y772="too few loans to test"),"Too few losses",IF($Y772="","","No"))))</f>
        <v/>
      </c>
      <c r="AJ772">
        <f>IF($AA772="yes","Yes",IF($AA772="","","No"))</f>
        <v/>
      </c>
    </row>
    <row r="773">
      <c r="A773" t="inlineStr">
        <is>
          <t>three-way</t>
        </is>
      </c>
      <c r="B773" t="inlineStr">
        <is>
          <t>FICO x ASSET_CLASS / REV_DEBT</t>
        </is>
      </c>
      <c r="C773" t="inlineStr">
        <is>
          <t>654 - 685</t>
        </is>
      </c>
      <c r="D773" t="inlineStr">
        <is>
          <t>2 / REV_DEBT low half</t>
        </is>
      </c>
      <c r="E773" t="inlineStr">
        <is>
          <t>contribution_rate</t>
        </is>
      </c>
      <c r="F773" t="inlineStr">
        <is>
          <t>Contribution before losses per booked dollar</t>
        </is>
      </c>
      <c r="G773" t="n">
        <v>178</v>
      </c>
      <c r="H773" t="n">
        <v>5768701.700000001</v>
      </c>
      <c r="I773" t="b">
        <v>0</v>
      </c>
      <c r="J773" t="b">
        <v>0</v>
      </c>
      <c r="K773" t="n">
        <v>0.03961849720705887</v>
      </c>
      <c r="L773" t="n">
        <v>0.0003378972447582828</v>
      </c>
      <c r="M773" t="n">
        <v>3.989470947049489e-05</v>
      </c>
      <c r="N773" t="n">
        <v>0.9967003299670033</v>
      </c>
      <c r="O773" t="n">
        <v>-228547.2921898058</v>
      </c>
      <c r="P773" t="n">
        <v>-230.1406783433631</v>
      </c>
      <c r="Q773">
        <f>'_live'!$C$24</f>
        <v/>
      </c>
      <c r="R773" t="inlineStr">
        <is>
          <t>shuffled: 1 of 10,000</t>
        </is>
      </c>
      <c r="S773" t="inlineStr">
        <is>
          <t>shuffled: 9,967 of 10,000</t>
        </is>
      </c>
      <c r="T773" t="n">
        <v>0.1687067122590503</v>
      </c>
      <c r="U773" t="n">
        <v>0.2082853147566387</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0.2083252094661092</v>
      </c>
      <c r="AI773">
        <f>IF($Y773="worse","Yes",IF($Y773="worse, not significant","Not sure",IF(OR($Y773="too few losses to test",$Y773="too few loans to test"),"Too few losses",IF($Y773="","","No"))))</f>
        <v/>
      </c>
      <c r="AJ773">
        <f>IF($AA773="yes","Yes",IF($AA773="","","No"))</f>
        <v/>
      </c>
    </row>
    <row r="774">
      <c r="A774" t="inlineStr">
        <is>
          <t>three-way</t>
        </is>
      </c>
      <c r="B774" t="inlineStr">
        <is>
          <t>FICO x ASSET_CLASS / REV_DEBT</t>
        </is>
      </c>
      <c r="C774" t="inlineStr">
        <is>
          <t>686 - 711</t>
        </is>
      </c>
      <c r="D774" t="inlineStr">
        <is>
          <t>3 / REV_DEBT high half</t>
        </is>
      </c>
      <c r="E774" t="inlineStr">
        <is>
          <t>outcome_loans</t>
        </is>
      </c>
      <c r="F774" t="inlineStr">
        <is>
          <t>Outcome, share of loans</t>
        </is>
      </c>
      <c r="G774" t="n">
        <v>194</v>
      </c>
      <c r="H774" t="n">
        <v>194</v>
      </c>
      <c r="I774" t="b">
        <v>0</v>
      </c>
      <c r="J774" t="b">
        <v>0</v>
      </c>
      <c r="K774" t="n">
        <v>1.412827983312071</v>
      </c>
      <c r="L774" t="n">
        <v>0.2756962623438662</v>
      </c>
      <c r="M774" t="n">
        <v>1.974432989690722</v>
      </c>
      <c r="N774" t="n">
        <v>0.01281843163417265</v>
      </c>
      <c r="O774" t="n">
        <v>6.136194746957079</v>
      </c>
      <c r="P774" t="n">
        <v>10.3640350877193</v>
      </c>
      <c r="Q774">
        <f>'_live'!$C$20</f>
        <v/>
      </c>
      <c r="R774" t="inlineStr">
        <is>
          <t>z test</t>
        </is>
      </c>
      <c r="S774" t="inlineStr">
        <is>
          <t>z test</t>
        </is>
      </c>
      <c r="T774" t="n">
        <v>0.07661755285073671</v>
      </c>
      <c r="U774" t="n">
        <v>0.05482456140350877</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0.1082474226804124</v>
      </c>
      <c r="AI774">
        <f>IF($Y774="worse","Yes",IF($Y774="worse, not significant","Not sure",IF(OR($Y774="too few losses to test",$Y774="too few loans to test"),"Too few losses",IF($Y774="","","No"))))</f>
        <v/>
      </c>
      <c r="AJ774">
        <f>IF($AA774="yes","Yes",IF($AA774="","","No"))</f>
        <v/>
      </c>
    </row>
    <row r="775">
      <c r="A775" t="inlineStr">
        <is>
          <t>three-way</t>
        </is>
      </c>
      <c r="B775" t="inlineStr">
        <is>
          <t>FICO x ASSET_CLASS / REV_DEBT</t>
        </is>
      </c>
      <c r="C775" t="inlineStr">
        <is>
          <t>686 - 711</t>
        </is>
      </c>
      <c r="D775" t="inlineStr">
        <is>
          <t>3 / REV_DEBT high half</t>
        </is>
      </c>
      <c r="E775" t="inlineStr">
        <is>
          <t>outcome_booked</t>
        </is>
      </c>
      <c r="F775" t="inlineStr">
        <is>
          <t>Outcome, share of booked dollars</t>
        </is>
      </c>
      <c r="G775" t="n">
        <v>194</v>
      </c>
      <c r="H775" t="n">
        <v>6471625.349999994</v>
      </c>
      <c r="I775" t="b">
        <v>0</v>
      </c>
      <c r="J775" t="b">
        <v>0</v>
      </c>
      <c r="K775" t="n">
        <v>1.302079114218897</v>
      </c>
      <c r="L775" t="n">
        <v>0.5005213764337851</v>
      </c>
      <c r="M775" t="n">
        <v>1.893325678640999</v>
      </c>
      <c r="N775" t="n">
        <v>0.0482951704829517</v>
      </c>
      <c r="O775" t="n">
        <v>145186.1770468855</v>
      </c>
      <c r="P775" t="n">
        <v>295274.8354900355</v>
      </c>
      <c r="Q775">
        <f>'_live'!$C$21</f>
        <v/>
      </c>
      <c r="R775" t="inlineStr">
        <is>
          <t>shuffled: 2,919 of 10,000</t>
        </is>
      </c>
      <c r="S775" t="inlineStr">
        <is>
          <t>shuffled: 160 of 10,000</t>
        </is>
      </c>
      <c r="T775" t="n">
        <v>0.07426620005948197</v>
      </c>
      <c r="U775" t="n">
        <v>0.0510743973320342</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0.09670046798985368</v>
      </c>
      <c r="AI775">
        <f>IF($Y775="worse","Yes",IF($Y775="worse, not significant","Not sure",IF(OR($Y775="too few losses to test",$Y775="too few loans to test"),"Too few losses",IF($Y775="","","No"))))</f>
        <v/>
      </c>
      <c r="AJ775">
        <f>IF($AA775="yes","Yes",IF($AA775="","","No"))</f>
        <v/>
      </c>
    </row>
    <row r="776">
      <c r="A776" t="inlineStr">
        <is>
          <t>three-way</t>
        </is>
      </c>
      <c r="B776" t="inlineStr">
        <is>
          <t>FICO x ASSET_CLASS / REV_DEBT</t>
        </is>
      </c>
      <c r="C776" t="inlineStr">
        <is>
          <t>686 - 711</t>
        </is>
      </c>
      <c r="D776" t="inlineStr">
        <is>
          <t>3 / REV_DEBT high half</t>
        </is>
      </c>
      <c r="E776" t="inlineStr">
        <is>
          <t>gco_rate</t>
        </is>
      </c>
      <c r="F776" t="inlineStr">
        <is>
          <t>GCO per booked dollar</t>
        </is>
      </c>
      <c r="G776" t="n">
        <v>194</v>
      </c>
      <c r="H776" t="n">
        <v>6471625.349999994</v>
      </c>
      <c r="I776" t="b">
        <v>0</v>
      </c>
      <c r="J776" t="b">
        <v>0</v>
      </c>
      <c r="K776" t="n">
        <v>1.315287530152415</v>
      </c>
      <c r="L776" t="n">
        <v>0.4230635759953416</v>
      </c>
      <c r="M776" t="n">
        <v>1.924916873615748</v>
      </c>
      <c r="N776" t="n">
        <v>0.05199480051994801</v>
      </c>
      <c r="O776" t="n">
        <v>84226.29175081686</v>
      </c>
      <c r="P776" t="n">
        <v>168831.0461842079</v>
      </c>
      <c r="Q776">
        <f>'_live'!$C$22</f>
        <v/>
      </c>
      <c r="R776" t="inlineStr">
        <is>
          <t>shuffled: 2,856 of 10,000</t>
        </is>
      </c>
      <c r="S776" t="inlineStr">
        <is>
          <t>shuffled: 194 of 10,000</t>
        </is>
      </c>
      <c r="T776" t="n">
        <v>0.04127884322741016</v>
      </c>
      <c r="U776" t="n">
        <v>0.02820565838468883</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0.05429354775612905</v>
      </c>
      <c r="AI776">
        <f>IF($Y776="worse","Yes",IF($Y776="worse, not significant","Not sure",IF(OR($Y776="too few losses to test",$Y776="too few loans to test"),"Too few losses",IF($Y776="","","No"))))</f>
        <v/>
      </c>
      <c r="AJ776">
        <f>IF($AA776="yes","Yes",IF($AA776="","","No"))</f>
        <v/>
      </c>
    </row>
    <row r="777">
      <c r="A777" t="inlineStr">
        <is>
          <t>three-way</t>
        </is>
      </c>
      <c r="B777" t="inlineStr">
        <is>
          <t>FICO x ASSET_CLASS / REV_DEBT</t>
        </is>
      </c>
      <c r="C777" t="inlineStr">
        <is>
          <t>686 - 711</t>
        </is>
      </c>
      <c r="D777" t="inlineStr">
        <is>
          <t>3 / REV_DEBT high half</t>
        </is>
      </c>
      <c r="E777" t="inlineStr">
        <is>
          <t>ranr_rate</t>
        </is>
      </c>
      <c r="F777" t="inlineStr">
        <is>
          <t>Profit after losses: RANR per booked dollar</t>
        </is>
      </c>
      <c r="G777" t="n">
        <v>194</v>
      </c>
      <c r="H777" t="n">
        <v>6471625.349999994</v>
      </c>
      <c r="I777" t="b">
        <v>0</v>
      </c>
      <c r="J777" t="b">
        <v>0</v>
      </c>
      <c r="K777" t="n">
        <v>-0.0149692439840735</v>
      </c>
      <c r="L777" t="n">
        <v>0.3905788908288658</v>
      </c>
      <c r="M777" t="n">
        <v>-0.03266591721924693</v>
      </c>
      <c r="N777" t="n">
        <v>0.1507049295070493</v>
      </c>
      <c r="O777" t="n">
        <v>96875.33883766492</v>
      </c>
      <c r="P777" t="n">
        <v>211401.5779570797</v>
      </c>
      <c r="Q777">
        <f>'_live'!$C$23</f>
        <v/>
      </c>
      <c r="R777" t="inlineStr">
        <is>
          <t>shuffled: 3,108 of 10,000</t>
        </is>
      </c>
      <c r="S777" t="inlineStr">
        <is>
          <t>shuffled: 156 of 10,000</t>
        </is>
      </c>
      <c r="T777" t="n">
        <v>0.1283654358696252</v>
      </c>
      <c r="U777" t="n">
        <v>0.1460621091047986</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0.1133961918855517</v>
      </c>
      <c r="AI777">
        <f>IF($Y777="worse","Yes",IF($Y777="worse, not significant","Not sure",IF(OR($Y777="too few losses to test",$Y777="too few loans to test"),"Too few losses",IF($Y777="","","No"))))</f>
        <v/>
      </c>
      <c r="AJ777">
        <f>IF($AA777="yes","Yes",IF($AA777="","","No"))</f>
        <v/>
      </c>
    </row>
    <row r="778">
      <c r="A778" t="inlineStr">
        <is>
          <t>three-way</t>
        </is>
      </c>
      <c r="B778" t="inlineStr">
        <is>
          <t>FICO x ASSET_CLASS / REV_DEBT</t>
        </is>
      </c>
      <c r="C778" t="inlineStr">
        <is>
          <t>686 - 711</t>
        </is>
      </c>
      <c r="D778" t="inlineStr">
        <is>
          <t>3 / REV_DEBT high half</t>
        </is>
      </c>
      <c r="E778" t="inlineStr">
        <is>
          <t>contribution_rate</t>
        </is>
      </c>
      <c r="F778" t="inlineStr">
        <is>
          <t>Contribution before losses per booked dollar</t>
        </is>
      </c>
      <c r="G778" t="n">
        <v>194</v>
      </c>
      <c r="H778" t="n">
        <v>6471625.349999994</v>
      </c>
      <c r="I778" t="b">
        <v>0</v>
      </c>
      <c r="J778" t="b">
        <v>0</v>
      </c>
      <c r="K778" t="n">
        <v>-0.001951665870225466</v>
      </c>
      <c r="L778" t="n">
        <v>0.9399437833994378</v>
      </c>
      <c r="M778" t="n">
        <v>-0.006578027847806728</v>
      </c>
      <c r="N778" t="n">
        <v>0.7636569676365697</v>
      </c>
      <c r="O778" t="n">
        <v>12630.45032048109</v>
      </c>
      <c r="P778" t="n">
        <v>42570.53177287197</v>
      </c>
      <c r="Q778">
        <f>'_live'!$C$24</f>
        <v/>
      </c>
      <c r="R778" t="inlineStr">
        <is>
          <t>shuffled: 8,373 of 10,000</t>
        </is>
      </c>
      <c r="S778" t="inlineStr">
        <is>
          <t>shuffled: 3,906 of 10,000</t>
        </is>
      </c>
      <c r="T778" t="n">
        <v>0.1696414055119062</v>
      </c>
      <c r="U778" t="n">
        <v>0.1742677674894875</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0.1676897396416807</v>
      </c>
      <c r="AI778">
        <f>IF($Y778="worse","Yes",IF($Y778="worse, not significant","Not sure",IF(OR($Y778="too few losses to test",$Y778="too few loans to test"),"Too few losses",IF($Y778="","","No"))))</f>
        <v/>
      </c>
      <c r="AJ778">
        <f>IF($AA778="yes","Yes",IF($AA778="","","No"))</f>
        <v/>
      </c>
    </row>
    <row r="779">
      <c r="A779" t="inlineStr">
        <is>
          <t>three-way</t>
        </is>
      </c>
      <c r="B779" t="inlineStr">
        <is>
          <t>FICO x ASSET_CLASS / REV_DEBT</t>
        </is>
      </c>
      <c r="C779" t="inlineStr">
        <is>
          <t>496 - 653</t>
        </is>
      </c>
      <c r="D779" t="inlineStr">
        <is>
          <t>2 / REV_DEBT high half</t>
        </is>
      </c>
      <c r="E779" t="inlineStr">
        <is>
          <t>outcome_loans</t>
        </is>
      </c>
      <c r="F779" t="inlineStr">
        <is>
          <t>Outcome, share of loans</t>
        </is>
      </c>
      <c r="G779" t="n">
        <v>197</v>
      </c>
      <c r="H779" t="n">
        <v>197</v>
      </c>
      <c r="I779" t="b">
        <v>0</v>
      </c>
      <c r="J779" t="b">
        <v>0</v>
      </c>
      <c r="K779" t="n">
        <v>1.946640282199088</v>
      </c>
      <c r="L779" t="n">
        <v>0.0009802499753608774</v>
      </c>
      <c r="M779" t="n">
        <v>0.9751640460567043</v>
      </c>
      <c r="N779" t="n">
        <v>0.8906052858038503</v>
      </c>
      <c r="O779" t="n">
        <v>14.10253781081774</v>
      </c>
      <c r="P779" t="n">
        <v>-0.7385861561119285</v>
      </c>
      <c r="Q779">
        <f>'_live'!$C$20</f>
        <v/>
      </c>
      <c r="R779" t="inlineStr">
        <is>
          <t>z test</t>
        </is>
      </c>
      <c r="S779" t="inlineStr">
        <is>
          <t>z test</t>
        </is>
      </c>
      <c r="T779" t="n">
        <v>0.07562163547808254</v>
      </c>
      <c r="U779" t="n">
        <v>0.1509572901325479</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0.1472081218274112</v>
      </c>
      <c r="AI779">
        <f>IF($Y779="worse","Yes",IF($Y779="worse, not significant","Not sure",IF(OR($Y779="too few losses to test",$Y779="too few loans to test"),"Too few losses",IF($Y779="","","No"))))</f>
        <v/>
      </c>
      <c r="AJ779">
        <f>IF($AA779="yes","Yes",IF($AA779="","","No"))</f>
        <v/>
      </c>
    </row>
    <row r="780">
      <c r="A780" t="inlineStr">
        <is>
          <t>three-way</t>
        </is>
      </c>
      <c r="B780" t="inlineStr">
        <is>
          <t>FICO x ASSET_CLASS / REV_DEBT</t>
        </is>
      </c>
      <c r="C780" t="inlineStr">
        <is>
          <t>496 - 653</t>
        </is>
      </c>
      <c r="D780" t="inlineStr">
        <is>
          <t>2 / REV_DEBT high half</t>
        </is>
      </c>
      <c r="E780" t="inlineStr">
        <is>
          <t>outcome_booked</t>
        </is>
      </c>
      <c r="F780" t="inlineStr">
        <is>
          <t>Outcome, share of booked dollars</t>
        </is>
      </c>
      <c r="G780" t="n">
        <v>197</v>
      </c>
      <c r="H780" t="n">
        <v>6499254.050000004</v>
      </c>
      <c r="I780" t="b">
        <v>0</v>
      </c>
      <c r="J780" t="b">
        <v>0</v>
      </c>
      <c r="K780" t="n">
        <v>1.918800337060309</v>
      </c>
      <c r="L780" t="n">
        <v>0.009599040095990401</v>
      </c>
      <c r="M780" t="n">
        <v>0.9326756408402366</v>
      </c>
      <c r="N780" t="n">
        <v>0.8627708657705658</v>
      </c>
      <c r="O780" t="n">
        <v>436734.6742210534</v>
      </c>
      <c r="P780" t="n">
        <v>-65836.67783853179</v>
      </c>
      <c r="Q780">
        <f>'_live'!$C$21</f>
        <v/>
      </c>
      <c r="R780" t="inlineStr">
        <is>
          <t>shuffled: 23 of 10,000</t>
        </is>
      </c>
      <c r="S780" t="inlineStr">
        <is>
          <t>shuffled: 7,373 of 10,000</t>
        </is>
      </c>
      <c r="T780" t="n">
        <v>0.07313630489316635</v>
      </c>
      <c r="U780" t="n">
        <v>0.1504638486686839</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0.1403339664803531</v>
      </c>
      <c r="AI780">
        <f>IF($Y780="worse","Yes",IF($Y780="worse, not significant","Not sure",IF(OR($Y780="too few losses to test",$Y780="too few loans to test"),"Too few losses",IF($Y780="","","No"))))</f>
        <v/>
      </c>
      <c r="AJ780">
        <f>IF($AA780="yes","Yes",IF($AA780="","","No"))</f>
        <v/>
      </c>
    </row>
    <row r="781">
      <c r="A781" t="inlineStr">
        <is>
          <t>three-way</t>
        </is>
      </c>
      <c r="B781" t="inlineStr">
        <is>
          <t>FICO x ASSET_CLASS / REV_DEBT</t>
        </is>
      </c>
      <c r="C781" t="inlineStr">
        <is>
          <t>496 - 653</t>
        </is>
      </c>
      <c r="D781" t="inlineStr">
        <is>
          <t>2 / REV_DEBT high half</t>
        </is>
      </c>
      <c r="E781" t="inlineStr">
        <is>
          <t>gco_rate</t>
        </is>
      </c>
      <c r="F781" t="inlineStr">
        <is>
          <t>GCO per booked dollar</t>
        </is>
      </c>
      <c r="G781" t="n">
        <v>197</v>
      </c>
      <c r="H781" t="n">
        <v>6499254.050000004</v>
      </c>
      <c r="I781" t="b">
        <v>0</v>
      </c>
      <c r="J781" t="b">
        <v>0</v>
      </c>
      <c r="K781" t="n">
        <v>1.956060865893213</v>
      </c>
      <c r="L781" t="n">
        <v>0.0103989601039896</v>
      </c>
      <c r="M781" t="n">
        <v>0.9456316711722665</v>
      </c>
      <c r="N781" t="n">
        <v>0.9349065093490651</v>
      </c>
      <c r="O781" t="n">
        <v>252442.7436567685</v>
      </c>
      <c r="P781" t="n">
        <v>-29695.02457167499</v>
      </c>
      <c r="Q781">
        <f>'_live'!$C$22</f>
        <v/>
      </c>
      <c r="R781" t="inlineStr">
        <is>
          <t>shuffled: 25 of 10,000</t>
        </is>
      </c>
      <c r="S781" t="inlineStr">
        <is>
          <t>shuffled: 7,902 of 10,000</t>
        </is>
      </c>
      <c r="T781" t="n">
        <v>0.04062691415228355</v>
      </c>
      <c r="U781" t="n">
        <v>0.08403770653828718</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0.07946871687528502</v>
      </c>
      <c r="AI781">
        <f>IF($Y781="worse","Yes",IF($Y781="worse, not significant","Not sure",IF(OR($Y781="too few losses to test",$Y781="too few loans to test"),"Too few losses",IF($Y781="","","No"))))</f>
        <v/>
      </c>
      <c r="AJ781">
        <f>IF($AA781="yes","Yes",IF($AA781="","","No"))</f>
        <v/>
      </c>
    </row>
    <row r="782">
      <c r="A782" t="inlineStr">
        <is>
          <t>three-way</t>
        </is>
      </c>
      <c r="B782" t="inlineStr">
        <is>
          <t>FICO x ASSET_CLASS / REV_DEBT</t>
        </is>
      </c>
      <c r="C782" t="inlineStr">
        <is>
          <t>496 - 653</t>
        </is>
      </c>
      <c r="D782" t="inlineStr">
        <is>
          <t>2 / REV_DEBT high half</t>
        </is>
      </c>
      <c r="E782" t="inlineStr">
        <is>
          <t>ranr_rate</t>
        </is>
      </c>
      <c r="F782" t="inlineStr">
        <is>
          <t>Profit after losses: RANR per booked dollar</t>
        </is>
      </c>
      <c r="G782" t="n">
        <v>197</v>
      </c>
      <c r="H782" t="n">
        <v>6499254.050000004</v>
      </c>
      <c r="I782" t="b">
        <v>0</v>
      </c>
      <c r="J782" t="b">
        <v>0</v>
      </c>
      <c r="K782" t="n">
        <v>0.05734405959726577</v>
      </c>
      <c r="L782" t="n">
        <v>0.0006532680065326801</v>
      </c>
      <c r="M782" t="n">
        <v>-0.007204470979512406</v>
      </c>
      <c r="N782" t="n">
        <v>0.8774192348207039</v>
      </c>
      <c r="O782" t="n">
        <v>-372693.6115809713</v>
      </c>
      <c r="P782" t="n">
        <v>46823.68719170336</v>
      </c>
      <c r="Q782">
        <f>'_live'!$C$23</f>
        <v/>
      </c>
      <c r="R782" t="inlineStr">
        <is>
          <t>shuffled: 1 of 10,000</t>
        </is>
      </c>
      <c r="S782" t="inlineStr">
        <is>
          <t>shuffled: 7,289 of 10,000</t>
        </is>
      </c>
      <c r="T782" t="n">
        <v>0.1265458838955568</v>
      </c>
      <c r="U782" t="n">
        <v>0.191094414472335</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0.1838899434928226</v>
      </c>
      <c r="AI782">
        <f>IF($Y782="worse","Yes",IF($Y782="worse, not significant","Not sure",IF(OR($Y782="too few losses to test",$Y782="too few loans to test"),"Too few losses",IF($Y782="","","No"))))</f>
        <v/>
      </c>
      <c r="AJ782">
        <f>IF($AA782="yes","Yes",IF($AA782="","","No"))</f>
        <v/>
      </c>
    </row>
    <row r="783">
      <c r="A783" t="inlineStr">
        <is>
          <t>three-way</t>
        </is>
      </c>
      <c r="B783" t="inlineStr">
        <is>
          <t>FICO x ASSET_CLASS / REV_DEBT</t>
        </is>
      </c>
      <c r="C783" t="inlineStr">
        <is>
          <t>496 - 653</t>
        </is>
      </c>
      <c r="D783" t="inlineStr">
        <is>
          <t>2 / REV_DEBT high half</t>
        </is>
      </c>
      <c r="E783" t="inlineStr">
        <is>
          <t>contribution_rate</t>
        </is>
      </c>
      <c r="F783" t="inlineStr">
        <is>
          <t>Contribution before losses per booked dollar</t>
        </is>
      </c>
      <c r="G783" t="n">
        <v>197</v>
      </c>
      <c r="H783" t="n">
        <v>6499254.050000004</v>
      </c>
      <c r="I783" t="b">
        <v>0</v>
      </c>
      <c r="J783" t="b">
        <v>0</v>
      </c>
      <c r="K783" t="n">
        <v>0.09618902329623605</v>
      </c>
      <c r="L783" t="n">
        <v>0.0001884426941921192</v>
      </c>
      <c r="M783" t="n">
        <v>-0.0117734606425145</v>
      </c>
      <c r="N783" t="n">
        <v>0.7636569676365697</v>
      </c>
      <c r="O783" t="n">
        <v>-625156.899223607</v>
      </c>
      <c r="P783" t="n">
        <v>76518.711763378</v>
      </c>
      <c r="Q783">
        <f>'_live'!$C$24</f>
        <v/>
      </c>
      <c r="R783" t="inlineStr">
        <is>
          <t>shuffled: 0 of 10,000</t>
        </is>
      </c>
      <c r="S783" t="inlineStr">
        <is>
          <t>shuffled: 3,307 of 10,000</t>
        </is>
      </c>
      <c r="T783" t="n">
        <v>0.1671696370718716</v>
      </c>
      <c r="U783" t="n">
        <v>0.2751321210106222</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0.2633586603681077</v>
      </c>
      <c r="AI783">
        <f>IF($Y783="worse","Yes",IF($Y783="worse, not significant","Not sure",IF(OR($Y783="too few losses to test",$Y783="too few loans to test"),"Too few losses",IF($Y783="","","No"))))</f>
        <v/>
      </c>
      <c r="AJ783">
        <f>IF($AA783="yes","Yes",IF($AA783="","","No"))</f>
        <v/>
      </c>
    </row>
    <row r="784">
      <c r="A784" t="inlineStr">
        <is>
          <t>three-way</t>
        </is>
      </c>
      <c r="B784" t="inlineStr">
        <is>
          <t>FICO x ASSET_CLASS / REV_DEBT</t>
        </is>
      </c>
      <c r="C784" t="inlineStr">
        <is>
          <t>686 - 711</t>
        </is>
      </c>
      <c r="D784" t="inlineStr">
        <is>
          <t>2 / REV_DEBT high half</t>
        </is>
      </c>
      <c r="E784" t="inlineStr">
        <is>
          <t>outcome_loans</t>
        </is>
      </c>
      <c r="F784" t="inlineStr">
        <is>
          <t>Outcome, share of loans</t>
        </is>
      </c>
      <c r="G784" t="n">
        <v>197</v>
      </c>
      <c r="H784" t="n">
        <v>197</v>
      </c>
      <c r="I784" t="b">
        <v>1</v>
      </c>
      <c r="J784" t="b">
        <v>0</v>
      </c>
      <c r="K784" t="n">
        <v>0.5185474424053104</v>
      </c>
      <c r="M784" t="n">
        <v>0.6299030918320258</v>
      </c>
      <c r="O784" t="n">
        <v>-7.427710843373495</v>
      </c>
      <c r="P784" t="n">
        <v>-4.700366300366301</v>
      </c>
      <c r="Q784">
        <f>'_live'!$C$20</f>
        <v/>
      </c>
      <c r="T784" t="n">
        <v>0.0783132530120482</v>
      </c>
      <c r="U784" t="n">
        <v>0.06446886446886448</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0.04060913705583756</v>
      </c>
      <c r="AI784">
        <f>IF($Y784="worse","Yes",IF($Y784="worse, not significant","Not sure",IF(OR($Y784="too few losses to test",$Y784="too few loans to test"),"Too few losses",IF($Y784="","","No"))))</f>
        <v/>
      </c>
      <c r="AJ784">
        <f>IF($AA784="yes","Yes",IF($AA784="","","No"))</f>
        <v/>
      </c>
    </row>
    <row r="785">
      <c r="A785" t="inlineStr">
        <is>
          <t>three-way</t>
        </is>
      </c>
      <c r="B785" t="inlineStr">
        <is>
          <t>FICO x ASSET_CLASS / REV_DEBT</t>
        </is>
      </c>
      <c r="C785" t="inlineStr">
        <is>
          <t>686 - 711</t>
        </is>
      </c>
      <c r="D785" t="inlineStr">
        <is>
          <t>2 / REV_DEBT high half</t>
        </is>
      </c>
      <c r="E785" t="inlineStr">
        <is>
          <t>outcome_booked</t>
        </is>
      </c>
      <c r="F785" t="inlineStr">
        <is>
          <t>Outcome, share of booked dollars</t>
        </is>
      </c>
      <c r="G785" t="n">
        <v>197</v>
      </c>
      <c r="H785" t="n">
        <v>6534623.490000002</v>
      </c>
      <c r="I785" t="b">
        <v>1</v>
      </c>
      <c r="J785" t="b">
        <v>0</v>
      </c>
      <c r="K785" t="n">
        <v>0.5104173285904349</v>
      </c>
      <c r="M785" t="n">
        <v>0.6495997982151434</v>
      </c>
      <c r="O785" t="n">
        <v>-242400.8315904323</v>
      </c>
      <c r="P785" t="n">
        <v>-136317.6040227475</v>
      </c>
      <c r="Q785">
        <f>'_live'!$C$21</f>
        <v/>
      </c>
      <c r="T785" t="n">
        <v>0.07576829213620571</v>
      </c>
      <c r="U785" t="n">
        <v>0.05953426920741341</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0.03867344926402178</v>
      </c>
      <c r="AI785">
        <f>IF($Y785="worse","Yes",IF($Y785="worse, not significant","Not sure",IF(OR($Y785="too few losses to test",$Y785="too few loans to test"),"Too few losses",IF($Y785="","","No"))))</f>
        <v/>
      </c>
      <c r="AJ785">
        <f>IF($AA785="yes","Yes",IF($AA785="","","No"))</f>
        <v/>
      </c>
    </row>
    <row r="786">
      <c r="A786" t="inlineStr">
        <is>
          <t>three-way</t>
        </is>
      </c>
      <c r="B786" t="inlineStr">
        <is>
          <t>FICO x ASSET_CLASS / REV_DEBT</t>
        </is>
      </c>
      <c r="C786" t="inlineStr">
        <is>
          <t>686 - 711</t>
        </is>
      </c>
      <c r="D786" t="inlineStr">
        <is>
          <t>2 / REV_DEBT high half</t>
        </is>
      </c>
      <c r="E786" t="inlineStr">
        <is>
          <t>gco_rate</t>
        </is>
      </c>
      <c r="F786" t="inlineStr">
        <is>
          <t>GCO per booked dollar</t>
        </is>
      </c>
      <c r="G786" t="n">
        <v>197</v>
      </c>
      <c r="H786" t="n">
        <v>6534623.490000002</v>
      </c>
      <c r="I786" t="b">
        <v>1</v>
      </c>
      <c r="J786" t="b">
        <v>0</v>
      </c>
      <c r="K786" t="n">
        <v>0.4269807253065112</v>
      </c>
      <c r="M786" t="n">
        <v>0.5381516585828747</v>
      </c>
      <c r="O786" t="n">
        <v>-158083.5476310786</v>
      </c>
      <c r="P786" t="n">
        <v>-101092.8449937433</v>
      </c>
      <c r="Q786">
        <f>'_live'!$C$22</f>
        <v/>
      </c>
      <c r="T786" t="n">
        <v>0.04221792396352411</v>
      </c>
      <c r="U786" t="n">
        <v>0.0334965794630263</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0.01802623979488066</v>
      </c>
      <c r="AI786">
        <f>IF($Y786="worse","Yes",IF($Y786="worse, not significant","Not sure",IF(OR($Y786="too few losses to test",$Y786="too few loans to test"),"Too few losses",IF($Y786="","","No"))))</f>
        <v/>
      </c>
      <c r="AJ786">
        <f>IF($AA786="yes","Yes",IF($AA786="","","No"))</f>
        <v/>
      </c>
    </row>
    <row r="787">
      <c r="A787" t="inlineStr">
        <is>
          <t>three-way</t>
        </is>
      </c>
      <c r="B787" t="inlineStr">
        <is>
          <t>FICO x ASSET_CLASS / REV_DEBT</t>
        </is>
      </c>
      <c r="C787" t="inlineStr">
        <is>
          <t>686 - 711</t>
        </is>
      </c>
      <c r="D787" t="inlineStr">
        <is>
          <t>2 / REV_DEBT high half</t>
        </is>
      </c>
      <c r="E787" t="inlineStr">
        <is>
          <t>ranr_rate</t>
        </is>
      </c>
      <c r="F787" t="inlineStr">
        <is>
          <t>Profit after losses: RANR per booked dollar</t>
        </is>
      </c>
      <c r="G787" t="n">
        <v>197</v>
      </c>
      <c r="H787" t="n">
        <v>6534623.490000002</v>
      </c>
      <c r="I787" t="b">
        <v>0</v>
      </c>
      <c r="J787" t="b">
        <v>0</v>
      </c>
      <c r="K787" t="n">
        <v>0.02752607213178304</v>
      </c>
      <c r="L787" t="n">
        <v>0.1030530280305303</v>
      </c>
      <c r="M787" t="n">
        <v>0.01479601222256596</v>
      </c>
      <c r="N787" t="n">
        <v>0.664973502649735</v>
      </c>
      <c r="O787" t="n">
        <v>-179872.517539784</v>
      </c>
      <c r="P787" t="n">
        <v>-96686.3690279068</v>
      </c>
      <c r="Q787">
        <f>'_live'!$C$23</f>
        <v/>
      </c>
      <c r="R787" t="inlineStr">
        <is>
          <t>shuffled: 630 of 10,000</t>
        </is>
      </c>
      <c r="S787" t="inlineStr">
        <is>
          <t>shuffled: 2,770 of 10,000</t>
        </is>
      </c>
      <c r="T787" t="n">
        <v>0.1272930542567825</v>
      </c>
      <c r="U787" t="n">
        <v>0.1400231141659996</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0.1548191263885656</v>
      </c>
      <c r="AI787">
        <f>IF($Y787="worse","Yes",IF($Y787="worse, not significant","Not sure",IF(OR($Y787="too few losses to test",$Y787="too few loans to test"),"Too few losses",IF($Y787="","","No"))))</f>
        <v/>
      </c>
      <c r="AJ787">
        <f>IF($AA787="yes","Yes",IF($AA787="","","No"))</f>
        <v/>
      </c>
    </row>
    <row r="788">
      <c r="A788" t="inlineStr">
        <is>
          <t>three-way</t>
        </is>
      </c>
      <c r="B788" t="inlineStr">
        <is>
          <t>FICO x ASSET_CLASS / REV_DEBT</t>
        </is>
      </c>
      <c r="C788" t="inlineStr">
        <is>
          <t>686 - 711</t>
        </is>
      </c>
      <c r="D788" t="inlineStr">
        <is>
          <t>2 / REV_DEBT high half</t>
        </is>
      </c>
      <c r="E788" t="inlineStr">
        <is>
          <t>contribution_rate</t>
        </is>
      </c>
      <c r="F788" t="inlineStr">
        <is>
          <t>Contribution before losses per booked dollar</t>
        </is>
      </c>
      <c r="G788" t="n">
        <v>197</v>
      </c>
      <c r="H788" t="n">
        <v>6534623.490000002</v>
      </c>
      <c r="I788" t="b">
        <v>0</v>
      </c>
      <c r="J788" t="b">
        <v>0</v>
      </c>
      <c r="K788" t="n">
        <v>0.003337431484172232</v>
      </c>
      <c r="L788" t="n">
        <v>0.8713957872505431</v>
      </c>
      <c r="M788" t="n">
        <v>-0.0006743274455796033</v>
      </c>
      <c r="N788" t="n">
        <v>0.9899810018998101</v>
      </c>
      <c r="O788" t="n">
        <v>-21808.85817273753</v>
      </c>
      <c r="P788" t="n">
        <v>4406.475965836085</v>
      </c>
      <c r="Q788">
        <f>'_live'!$C$24</f>
        <v/>
      </c>
      <c r="R788" t="inlineStr">
        <is>
          <t>shuffled: 7,291 of 10,000</t>
        </is>
      </c>
      <c r="S788" t="inlineStr">
        <is>
          <t>shuffled: 9,281 of 10,000</t>
        </is>
      </c>
      <c r="T788" t="n">
        <v>0.1695079346992741</v>
      </c>
      <c r="U788" t="n">
        <v>0.1735196936290259</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0.1728453661834463</v>
      </c>
      <c r="AI788">
        <f>IF($Y788="worse","Yes",IF($Y788="worse, not significant","Not sure",IF(OR($Y788="too few losses to test",$Y788="too few loans to test"),"Too few losses",IF($Y788="","","No"))))</f>
        <v/>
      </c>
      <c r="AJ788">
        <f>IF($AA788="yes","Yes",IF($AA788="","","No"))</f>
        <v/>
      </c>
    </row>
    <row r="789">
      <c r="A789" t="inlineStr">
        <is>
          <t>three-way</t>
        </is>
      </c>
      <c r="B789" t="inlineStr">
        <is>
          <t>FICO x ASSET_CLASS / REV_DEBT</t>
        </is>
      </c>
      <c r="C789" t="inlineStr">
        <is>
          <t>496 - 653</t>
        </is>
      </c>
      <c r="D789" t="inlineStr">
        <is>
          <t>1 / REV_DEBT high half</t>
        </is>
      </c>
      <c r="E789" t="inlineStr">
        <is>
          <t>outcome_loans</t>
        </is>
      </c>
      <c r="F789" t="inlineStr">
        <is>
          <t>Outcome, share of loans</t>
        </is>
      </c>
      <c r="G789" t="n">
        <v>210</v>
      </c>
      <c r="H789" t="n">
        <v>210</v>
      </c>
      <c r="I789" t="b">
        <v>0</v>
      </c>
      <c r="J789" t="b">
        <v>0</v>
      </c>
      <c r="K789" t="n">
        <v>2.768907076719577</v>
      </c>
      <c r="L789" t="n">
        <v>3.056531828968084e-11</v>
      </c>
      <c r="M789" t="n">
        <v>1.441909748192471</v>
      </c>
      <c r="N789" t="n">
        <v>0.0540185321148518</v>
      </c>
      <c r="O789" t="n">
        <v>27.4704069842085</v>
      </c>
      <c r="P789" t="n">
        <v>13.17843866171004</v>
      </c>
      <c r="Q789">
        <f>'_live'!$C$20</f>
        <v/>
      </c>
      <c r="R789" t="inlineStr">
        <is>
          <t>z test</t>
        </is>
      </c>
      <c r="S789" t="inlineStr">
        <is>
          <t>z test</t>
        </is>
      </c>
      <c r="T789" t="n">
        <v>0.07395044293234047</v>
      </c>
      <c r="U789" t="n">
        <v>0.1420074349442379</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0.2047619047619048</v>
      </c>
      <c r="AI789">
        <f>IF($Y789="worse","Yes",IF($Y789="worse, not significant","Not sure",IF(OR($Y789="too few losses to test",$Y789="too few loans to test"),"Too few losses",IF($Y789="","","No"))))</f>
        <v/>
      </c>
      <c r="AJ789">
        <f>IF($AA789="yes","Yes",IF($AA789="","","No"))</f>
        <v/>
      </c>
    </row>
    <row r="790">
      <c r="A790" t="inlineStr">
        <is>
          <t>three-way</t>
        </is>
      </c>
      <c r="B790" t="inlineStr">
        <is>
          <t>FICO x ASSET_CLASS / REV_DEBT</t>
        </is>
      </c>
      <c r="C790" t="inlineStr">
        <is>
          <t>496 - 653</t>
        </is>
      </c>
      <c r="D790" t="inlineStr">
        <is>
          <t>1 / REV_DEBT high half</t>
        </is>
      </c>
      <c r="E790" t="inlineStr">
        <is>
          <t>outcome_booked</t>
        </is>
      </c>
      <c r="F790" t="inlineStr">
        <is>
          <t>Outcome, share of booked dollars</t>
        </is>
      </c>
      <c r="G790" t="n">
        <v>210</v>
      </c>
      <c r="H790" t="n">
        <v>6424741.749999999</v>
      </c>
      <c r="I790" t="b">
        <v>0</v>
      </c>
      <c r="J790" t="b">
        <v>0</v>
      </c>
      <c r="K790" t="n">
        <v>2.460463874622027</v>
      </c>
      <c r="L790" t="n">
        <v>0.0007999200079992001</v>
      </c>
      <c r="M790" t="n">
        <v>1.22491997717264</v>
      </c>
      <c r="N790" t="n">
        <v>0.4856085819989429</v>
      </c>
      <c r="O790" t="n">
        <v>677490.6058268172</v>
      </c>
      <c r="P790" t="n">
        <v>209579.9656296845</v>
      </c>
      <c r="Q790">
        <f>'_live'!$C$21</f>
        <v/>
      </c>
      <c r="R790" t="inlineStr">
        <is>
          <t>shuffled: 0 of 10,000</t>
        </is>
      </c>
      <c r="S790" t="inlineStr">
        <is>
          <t>shuffled: 2,659 of 10,000</t>
        </is>
      </c>
      <c r="T790" t="n">
        <v>0.07220325613448708</v>
      </c>
      <c r="U790" t="n">
        <v>0.1450327422686391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0.1776535033489867</v>
      </c>
      <c r="AI790">
        <f>IF($Y790="worse","Yes",IF($Y790="worse, not significant","Not sure",IF(OR($Y790="too few losses to test",$Y790="too few loans to test"),"Too few losses",IF($Y790="","","No"))))</f>
        <v/>
      </c>
      <c r="AJ790">
        <f>IF($AA790="yes","Yes",IF($AA790="","","No"))</f>
        <v/>
      </c>
    </row>
    <row r="791">
      <c r="A791" t="inlineStr">
        <is>
          <t>three-way</t>
        </is>
      </c>
      <c r="B791" t="inlineStr">
        <is>
          <t>FICO x ASSET_CLASS / REV_DEBT</t>
        </is>
      </c>
      <c r="C791" t="inlineStr">
        <is>
          <t>496 - 653</t>
        </is>
      </c>
      <c r="D791" t="inlineStr">
        <is>
          <t>1 / REV_DEBT high half</t>
        </is>
      </c>
      <c r="E791" t="inlineStr">
        <is>
          <t>gco_rate</t>
        </is>
      </c>
      <c r="F791" t="inlineStr">
        <is>
          <t>GCO per booked dollar</t>
        </is>
      </c>
      <c r="G791" t="n">
        <v>210</v>
      </c>
      <c r="H791" t="n">
        <v>6424741.749999999</v>
      </c>
      <c r="I791" t="b">
        <v>0</v>
      </c>
      <c r="J791" t="b">
        <v>0</v>
      </c>
      <c r="K791" t="n">
        <v>2.514927592888139</v>
      </c>
      <c r="L791" t="n">
        <v>0.0007999200079992001</v>
      </c>
      <c r="M791" t="n">
        <v>1.245847131468912</v>
      </c>
      <c r="N791" t="n">
        <v>0.4083020269401631</v>
      </c>
      <c r="O791" t="n">
        <v>390225.2599952694</v>
      </c>
      <c r="P791" t="n">
        <v>127834.8827141903</v>
      </c>
      <c r="Q791">
        <f>'_live'!$C$22</f>
        <v/>
      </c>
      <c r="R791" t="inlineStr">
        <is>
          <t>shuffled: 0 of 10,000</t>
        </is>
      </c>
      <c r="S791" t="inlineStr">
        <is>
          <t>shuffled: 2,381 of 10,000</t>
        </is>
      </c>
      <c r="T791" t="n">
        <v>0.04009293291901277</v>
      </c>
      <c r="U791" t="n">
        <v>0.08093354371571587</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0.1008308232778384</v>
      </c>
      <c r="AI791">
        <f>IF($Y791="worse","Yes",IF($Y791="worse, not significant","Not sure",IF(OR($Y791="too few losses to test",$Y791="too few loans to test"),"Too few losses",IF($Y791="","","No"))))</f>
        <v/>
      </c>
      <c r="AJ791">
        <f>IF($AA791="yes","Yes",IF($AA791="","","No"))</f>
        <v/>
      </c>
    </row>
    <row r="792">
      <c r="A792" t="inlineStr">
        <is>
          <t>three-way</t>
        </is>
      </c>
      <c r="B792" t="inlineStr">
        <is>
          <t>FICO x ASSET_CLASS / REV_DEBT</t>
        </is>
      </c>
      <c r="C792" t="inlineStr">
        <is>
          <t>496 - 653</t>
        </is>
      </c>
      <c r="D792" t="inlineStr">
        <is>
          <t>1 / REV_DEBT high half</t>
        </is>
      </c>
      <c r="E792" t="inlineStr">
        <is>
          <t>ranr_rate</t>
        </is>
      </c>
      <c r="F792" t="inlineStr">
        <is>
          <t>Profit after losses: RANR per booked dollar</t>
        </is>
      </c>
      <c r="G792" t="n">
        <v>210</v>
      </c>
      <c r="H792" t="n">
        <v>6424741.749999999</v>
      </c>
      <c r="I792" t="b">
        <v>0</v>
      </c>
      <c r="J792" t="b">
        <v>0</v>
      </c>
      <c r="K792" t="n">
        <v>0.06224150477648974</v>
      </c>
      <c r="L792" t="n">
        <v>0.00034996500349965</v>
      </c>
      <c r="M792" t="n">
        <v>-0.001705659933021547</v>
      </c>
      <c r="N792" t="n">
        <v>0.9497050294970503</v>
      </c>
      <c r="O792" t="n">
        <v>-399885.5943203381</v>
      </c>
      <c r="P792" t="n">
        <v>10958.4245829857</v>
      </c>
      <c r="Q792">
        <f>'_live'!$C$23</f>
        <v/>
      </c>
      <c r="R792" t="inlineStr">
        <is>
          <t>shuffled: 0 of 10,000</t>
        </is>
      </c>
      <c r="S792" t="inlineStr">
        <is>
          <t>shuffled: 9,338 of 10,000</t>
        </is>
      </c>
      <c r="T792" t="n">
        <v>0.126440516567014</v>
      </c>
      <c r="U792" t="n">
        <v>0.1903876812765253</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0.1886820213435038</v>
      </c>
      <c r="AI792">
        <f>IF($Y792="worse","Yes",IF($Y792="worse, not significant","Not sure",IF(OR($Y792="too few losses to test",$Y792="too few loans to test"),"Too few losses",IF($Y792="","","No"))))</f>
        <v/>
      </c>
      <c r="AJ792">
        <f>IF($AA792="yes","Yes",IF($AA792="","","No"))</f>
        <v/>
      </c>
    </row>
    <row r="793">
      <c r="A793" t="inlineStr">
        <is>
          <t>three-way</t>
        </is>
      </c>
      <c r="B793" t="inlineStr">
        <is>
          <t>FICO x ASSET_CLASS / REV_DEBT</t>
        </is>
      </c>
      <c r="C793" t="inlineStr">
        <is>
          <t>496 - 653</t>
        </is>
      </c>
      <c r="D793" t="inlineStr">
        <is>
          <t>1 / REV_DEBT high half</t>
        </is>
      </c>
      <c r="E793" t="inlineStr">
        <is>
          <t>contribution_rate</t>
        </is>
      </c>
      <c r="F793" t="inlineStr">
        <is>
          <t>Contribution before losses per booked dollar</t>
        </is>
      </c>
      <c r="G793" t="n">
        <v>210</v>
      </c>
      <c r="H793" t="n">
        <v>6424741.749999999</v>
      </c>
      <c r="I793" t="b">
        <v>0</v>
      </c>
      <c r="J793" t="b">
        <v>0</v>
      </c>
      <c r="K793" t="n">
        <v>0.1229825717943038</v>
      </c>
      <c r="L793" t="n">
        <v>0.0001884426941921192</v>
      </c>
      <c r="M793" t="n">
        <v>0.01819161962910104</v>
      </c>
      <c r="N793" t="n">
        <v>0.7097956870979569</v>
      </c>
      <c r="O793" t="n">
        <v>-790131.263529236</v>
      </c>
      <c r="P793" t="n">
        <v>-116876.4581312051</v>
      </c>
      <c r="Q793">
        <f>'_live'!$C$24</f>
        <v/>
      </c>
      <c r="R793" t="inlineStr">
        <is>
          <t>shuffled: 0 of 10,000</t>
        </is>
      </c>
      <c r="S793" t="inlineStr">
        <is>
          <t>shuffled: 1,319 of 10,000</t>
        </is>
      </c>
      <c r="T793" t="n">
        <v>0.1665302728270384</v>
      </c>
      <c r="U793" t="n">
        <v>0.2713212249922412</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0.2895128446213422</v>
      </c>
      <c r="AI793">
        <f>IF($Y793="worse","Yes",IF($Y793="worse, not significant","Not sure",IF(OR($Y793="too few losses to test",$Y793="too few loans to test"),"Too few losses",IF($Y793="","","No"))))</f>
        <v/>
      </c>
      <c r="AJ793">
        <f>IF($AA793="yes","Yes",IF($AA793="","","No"))</f>
        <v/>
      </c>
    </row>
    <row r="794">
      <c r="A794" t="inlineStr">
        <is>
          <t>three-way</t>
        </is>
      </c>
      <c r="B794" t="inlineStr">
        <is>
          <t>FICO x ASSET_CLASS / REV_DEBT</t>
        </is>
      </c>
      <c r="C794" t="inlineStr">
        <is>
          <t>(marked missing)</t>
        </is>
      </c>
      <c r="D794" t="inlineStr">
        <is>
          <t>3 / REV_DEBT high half</t>
        </is>
      </c>
      <c r="E794" t="inlineStr">
        <is>
          <t>outcome_loans</t>
        </is>
      </c>
      <c r="F794" t="inlineStr">
        <is>
          <t>Outcome, share of loans</t>
        </is>
      </c>
      <c r="G794" t="n">
        <v>21</v>
      </c>
      <c r="H794" t="n">
        <v>21</v>
      </c>
      <c r="I794" t="b">
        <v>1</v>
      </c>
      <c r="J794" t="b">
        <v>0</v>
      </c>
      <c r="K794" t="n">
        <v>0.6147326244413623</v>
      </c>
      <c r="M794" t="n">
        <v>0.7354497354497355</v>
      </c>
      <c r="O794" t="n">
        <v>-0.62672348959639</v>
      </c>
      <c r="P794" t="n">
        <v>-0.3597122302158273</v>
      </c>
      <c r="Q794">
        <f>'_live'!$C$20</f>
        <v/>
      </c>
      <c r="T794" t="n">
        <v>0.07746302331411381</v>
      </c>
      <c r="U794" t="n">
        <v>0.06474820143884892</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0.04761904761904762</v>
      </c>
      <c r="AI794">
        <f>IF($Y794="worse","Yes",IF($Y794="worse, not significant","Not sure",IF(OR($Y794="too few losses to test",$Y794="too few loans to test"),"Too few losses",IF($Y794="","","No"))))</f>
        <v/>
      </c>
      <c r="AJ794">
        <f>IF($AA794="yes","Yes",IF($AA794="","","No"))</f>
        <v/>
      </c>
    </row>
    <row r="795">
      <c r="A795" t="inlineStr">
        <is>
          <t>three-way</t>
        </is>
      </c>
      <c r="B795" t="inlineStr">
        <is>
          <t>FICO x ASSET_CLASS / REV_DEBT</t>
        </is>
      </c>
      <c r="C795" t="inlineStr">
        <is>
          <t>(marked missing)</t>
        </is>
      </c>
      <c r="D795" t="inlineStr">
        <is>
          <t>3 / REV_DEBT high half</t>
        </is>
      </c>
      <c r="E795" t="inlineStr">
        <is>
          <t>outcome_booked</t>
        </is>
      </c>
      <c r="F795" t="inlineStr">
        <is>
          <t>Outcome, share of booked dollars</t>
        </is>
      </c>
      <c r="G795" t="n">
        <v>21</v>
      </c>
      <c r="H795" t="n">
        <v>682090.99</v>
      </c>
      <c r="I795" t="b">
        <v>1</v>
      </c>
      <c r="J795" t="b">
        <v>0</v>
      </c>
      <c r="K795" t="n">
        <v>0.1541358704037057</v>
      </c>
      <c r="M795" t="n">
        <v>0.2157908089897934</v>
      </c>
      <c r="O795" t="n">
        <v>-43269.7380546452</v>
      </c>
      <c r="P795" t="n">
        <v>-28654.07292216176</v>
      </c>
      <c r="Q795">
        <f>'_live'!$C$21</f>
        <v/>
      </c>
      <c r="T795" t="n">
        <v>0.07499656028977189</v>
      </c>
      <c r="U795" t="n">
        <v>0.05356882506564374</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0.01155966009754798</v>
      </c>
      <c r="AI795">
        <f>IF($Y795="worse","Yes",IF($Y795="worse, not significant","Not sure",IF(OR($Y795="too few losses to test",$Y795="too few loans to test"),"Too few losses",IF($Y795="","","No"))))</f>
        <v/>
      </c>
      <c r="AJ795">
        <f>IF($AA795="yes","Yes",IF($AA795="","","No"))</f>
        <v/>
      </c>
    </row>
    <row r="796">
      <c r="A796" t="inlineStr">
        <is>
          <t>three-way</t>
        </is>
      </c>
      <c r="B796" t="inlineStr">
        <is>
          <t>FICO x ASSET_CLASS / REV_DEBT</t>
        </is>
      </c>
      <c r="C796" t="inlineStr">
        <is>
          <t>(marked missing)</t>
        </is>
      </c>
      <c r="D796" t="inlineStr">
        <is>
          <t>3 / REV_DEBT high half</t>
        </is>
      </c>
      <c r="E796" t="inlineStr">
        <is>
          <t>gco_rate</t>
        </is>
      </c>
      <c r="F796" t="inlineStr">
        <is>
          <t>GCO per booked dollar</t>
        </is>
      </c>
      <c r="G796" t="n">
        <v>21</v>
      </c>
      <c r="H796" t="n">
        <v>682090.99</v>
      </c>
      <c r="I796" t="b">
        <v>1</v>
      </c>
      <c r="J796" t="b">
        <v>0</v>
      </c>
      <c r="K796" t="n">
        <v>0.1842622267462481</v>
      </c>
      <c r="M796" t="n">
        <v>0.2728916727106155</v>
      </c>
      <c r="O796" t="n">
        <v>-23199.50378568842</v>
      </c>
      <c r="P796" t="n">
        <v>-13962.82429756629</v>
      </c>
      <c r="Q796">
        <f>'_live'!$C$22</f>
        <v/>
      </c>
      <c r="T796" t="n">
        <v>0.04169517586750181</v>
      </c>
      <c r="U796" t="n">
        <v>0.02815346424318886</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0.007682845949922312</v>
      </c>
      <c r="AI796">
        <f>IF($Y796="worse","Yes",IF($Y796="worse, not significant","Not sure",IF(OR($Y796="too few losses to test",$Y796="too few loans to test"),"Too few losses",IF($Y796="","","No"))))</f>
        <v/>
      </c>
      <c r="AJ796">
        <f>IF($AA796="yes","Yes",IF($AA796="","","No"))</f>
        <v/>
      </c>
    </row>
    <row r="797">
      <c r="A797" t="inlineStr">
        <is>
          <t>three-way</t>
        </is>
      </c>
      <c r="B797" t="inlineStr">
        <is>
          <t>FICO x ASSET_CLASS / REV_DEBT</t>
        </is>
      </c>
      <c r="C797" t="inlineStr">
        <is>
          <t>(marked missing)</t>
        </is>
      </c>
      <c r="D797" t="inlineStr">
        <is>
          <t>3 / REV_DEBT high half</t>
        </is>
      </c>
      <c r="E797" t="inlineStr">
        <is>
          <t>ranr_rate</t>
        </is>
      </c>
      <c r="F797" t="inlineStr">
        <is>
          <t>Profit after losses: RANR per booked dollar</t>
        </is>
      </c>
      <c r="G797" t="n">
        <v>21</v>
      </c>
      <c r="H797" t="n">
        <v>682090.99</v>
      </c>
      <c r="I797" t="b">
        <v>0</v>
      </c>
      <c r="J797" t="b">
        <v>0</v>
      </c>
      <c r="K797" t="n">
        <v>0.1005237371982767</v>
      </c>
      <c r="L797" t="n">
        <v>0.05133834442642692</v>
      </c>
      <c r="M797" t="n">
        <v>0.08389601919230052</v>
      </c>
      <c r="N797" t="n">
        <v>0.1987001299870013</v>
      </c>
      <c r="O797" t="n">
        <v>-68566.33542407239</v>
      </c>
      <c r="P797" t="n">
        <v>-57224.71878793526</v>
      </c>
      <c r="Q797">
        <f>'_live'!$C$23</f>
        <v/>
      </c>
      <c r="R797" t="inlineStr">
        <is>
          <t>shuffled: 240 of 10,000</t>
        </is>
      </c>
      <c r="S797" t="inlineStr">
        <is>
          <t>shuffled: 353 of 10,000</t>
        </is>
      </c>
      <c r="T797" t="n">
        <v>0.1277243591444121</v>
      </c>
      <c r="U797" t="n">
        <v>0.1443520771503883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0.2282480963426888</v>
      </c>
      <c r="AI797">
        <f>IF($Y797="worse","Yes",IF($Y797="worse, not significant","Not sure",IF(OR($Y797="too few losses to test",$Y797="too few loans to test"),"Too few losses",IF($Y797="","","No"))))</f>
        <v/>
      </c>
      <c r="AJ797">
        <f>IF($AA797="yes","Yes",IF($AA797="","","No"))</f>
        <v/>
      </c>
    </row>
    <row r="798">
      <c r="A798" t="inlineStr">
        <is>
          <t>three-way</t>
        </is>
      </c>
      <c r="B798" t="inlineStr">
        <is>
          <t>FICO x ASSET_CLASS / REV_DEBT</t>
        </is>
      </c>
      <c r="C798" t="inlineStr">
        <is>
          <t>(marked missing)</t>
        </is>
      </c>
      <c r="D798" t="inlineStr">
        <is>
          <t>3 / REV_DEBT high half</t>
        </is>
      </c>
      <c r="E798" t="inlineStr">
        <is>
          <t>contribution_rate</t>
        </is>
      </c>
      <c r="F798" t="inlineStr">
        <is>
          <t>Contribution before losses per booked dollar</t>
        </is>
      </c>
      <c r="G798" t="n">
        <v>21</v>
      </c>
      <c r="H798" t="n">
        <v>682090.99</v>
      </c>
      <c r="I798" t="b">
        <v>0</v>
      </c>
      <c r="J798" t="b">
        <v>0</v>
      </c>
      <c r="K798" t="n">
        <v>0.06651431507666172</v>
      </c>
      <c r="L798" t="n">
        <v>0.02910012029100121</v>
      </c>
      <c r="M798" t="n">
        <v>0.06342540089903395</v>
      </c>
      <c r="N798" t="n">
        <v>0.7097956870979569</v>
      </c>
      <c r="O798" t="n">
        <v>-45368.81501981211</v>
      </c>
      <c r="P798" t="n">
        <v>-43261.89449036896</v>
      </c>
      <c r="Q798">
        <f>'_live'!$C$24</f>
        <v/>
      </c>
      <c r="R798" t="inlineStr">
        <is>
          <t>shuffled: 195 of 10,000</t>
        </is>
      </c>
      <c r="S798" t="inlineStr">
        <is>
          <t>shuffled: 450 of 10,000</t>
        </is>
      </c>
      <c r="T798" t="n">
        <v>0.1694166272159494</v>
      </c>
      <c r="U798" t="n">
        <v>0.1725055413935772</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0.2359309422926111</v>
      </c>
      <c r="AI798">
        <f>IF($Y798="worse","Yes",IF($Y798="worse, not significant","Not sure",IF(OR($Y798="too few losses to test",$Y798="too few loans to test"),"Too few losses",IF($Y798="","","No"))))</f>
        <v/>
      </c>
      <c r="AJ798">
        <f>IF($AA798="yes","Yes",IF($AA798="","","No"))</f>
        <v/>
      </c>
    </row>
    <row r="799">
      <c r="A799" t="inlineStr">
        <is>
          <t>three-way</t>
        </is>
      </c>
      <c r="B799" t="inlineStr">
        <is>
          <t>FICO x ASSET_CLASS / REV_DEBT</t>
        </is>
      </c>
      <c r="C799" t="inlineStr">
        <is>
          <t>686 - 711</t>
        </is>
      </c>
      <c r="D799" t="inlineStr">
        <is>
          <t>3 / REV_DEBT low half</t>
        </is>
      </c>
      <c r="E799" t="inlineStr">
        <is>
          <t>outcome_loans</t>
        </is>
      </c>
      <c r="F799" t="inlineStr">
        <is>
          <t>Outcome, share of loans</t>
        </is>
      </c>
      <c r="G799" t="n">
        <v>194</v>
      </c>
      <c r="H799" t="n">
        <v>194</v>
      </c>
      <c r="I799" t="b">
        <v>1</v>
      </c>
      <c r="J799" t="b">
        <v>0</v>
      </c>
      <c r="K799" t="n">
        <v>0.3937875245959536</v>
      </c>
      <c r="M799" t="n">
        <v>0.4701030927835052</v>
      </c>
      <c r="O799" t="n">
        <v>-9.236643177450354</v>
      </c>
      <c r="P799" t="n">
        <v>-6.763157894736841</v>
      </c>
      <c r="Q799">
        <f>'_live'!$C$20</f>
        <v/>
      </c>
      <c r="T799" t="n">
        <v>0.07853939782190904</v>
      </c>
      <c r="U799" t="n">
        <v>0.06578947368421052</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0.03092783505154639</v>
      </c>
      <c r="AI799">
        <f>IF($Y799="worse","Yes",IF($Y799="worse, not significant","Not sure",IF(OR($Y799="too few losses to test",$Y799="too few loans to test"),"Too few losses",IF($Y799="","","No"))))</f>
        <v/>
      </c>
      <c r="AJ799">
        <f>IF($AA799="yes","Yes",IF($AA799="","","No"))</f>
        <v/>
      </c>
    </row>
    <row r="800">
      <c r="A800" t="inlineStr">
        <is>
          <t>three-way</t>
        </is>
      </c>
      <c r="B800" t="inlineStr">
        <is>
          <t>FICO x ASSET_CLASS / REV_DEBT</t>
        </is>
      </c>
      <c r="C800" t="inlineStr">
        <is>
          <t>686 - 711</t>
        </is>
      </c>
      <c r="D800" t="inlineStr">
        <is>
          <t>3 / REV_DEBT low half</t>
        </is>
      </c>
      <c r="E800" t="inlineStr">
        <is>
          <t>outcome_booked</t>
        </is>
      </c>
      <c r="F800" t="inlineStr">
        <is>
          <t>Outcome, share of booked dollars</t>
        </is>
      </c>
      <c r="G800" t="n">
        <v>194</v>
      </c>
      <c r="H800" t="n">
        <v>6319422.190000005</v>
      </c>
      <c r="I800" t="b">
        <v>1</v>
      </c>
      <c r="J800" t="b">
        <v>0</v>
      </c>
      <c r="K800" t="n">
        <v>0.4092001999093535</v>
      </c>
      <c r="M800" t="n">
        <v>0.5134705865783872</v>
      </c>
      <c r="O800" t="n">
        <v>-283476.2607818515</v>
      </c>
      <c r="P800" t="n">
        <v>-186039.7397308619</v>
      </c>
      <c r="Q800">
        <f>'_live'!$C$21</f>
        <v/>
      </c>
      <c r="T800" t="n">
        <v>0.07592747981629173</v>
      </c>
      <c r="U800" t="n">
        <v>0.06050889911042034</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0.03106953991943998</v>
      </c>
      <c r="AI800">
        <f>IF($Y800="worse","Yes",IF($Y800="worse, not significant","Not sure",IF(OR($Y800="too few losses to test",$Y800="too few loans to test"),"Too few losses",IF($Y800="","","No"))))</f>
        <v/>
      </c>
      <c r="AJ800">
        <f>IF($AA800="yes","Yes",IF($AA800="","","No"))</f>
        <v/>
      </c>
    </row>
    <row r="801">
      <c r="A801" t="inlineStr">
        <is>
          <t>three-way</t>
        </is>
      </c>
      <c r="B801" t="inlineStr">
        <is>
          <t>FICO x ASSET_CLASS / REV_DEBT</t>
        </is>
      </c>
      <c r="C801" t="inlineStr">
        <is>
          <t>686 - 711</t>
        </is>
      </c>
      <c r="D801" t="inlineStr">
        <is>
          <t>3 / REV_DEBT low half</t>
        </is>
      </c>
      <c r="E801" t="inlineStr">
        <is>
          <t>gco_rate</t>
        </is>
      </c>
      <c r="F801" t="inlineStr">
        <is>
          <t>GCO per booked dollar</t>
        </is>
      </c>
      <c r="G801" t="n">
        <v>194</v>
      </c>
      <c r="H801" t="n">
        <v>6319422.190000005</v>
      </c>
      <c r="I801" t="b">
        <v>1</v>
      </c>
      <c r="J801" t="b">
        <v>0</v>
      </c>
      <c r="K801" t="n">
        <v>0.330669139054189</v>
      </c>
      <c r="M801" t="n">
        <v>0.4114605487492896</v>
      </c>
      <c r="O801" t="n">
        <v>-178914.1817840829</v>
      </c>
      <c r="P801" t="n">
        <v>-126428.4928520992</v>
      </c>
      <c r="Q801">
        <f>'_live'!$C$22</f>
        <v/>
      </c>
      <c r="T801" t="n">
        <v>0.04229865385589671</v>
      </c>
      <c r="U801" t="n">
        <v>0.03399319690841847</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0.01398685945368052</v>
      </c>
      <c r="AI801">
        <f>IF($Y801="worse","Yes",IF($Y801="worse, not significant","Not sure",IF(OR($Y801="too few losses to test",$Y801="too few loans to test"),"Too few losses",IF($Y801="","","No"))))</f>
        <v/>
      </c>
      <c r="AJ801">
        <f>IF($AA801="yes","Yes",IF($AA801="","","No"))</f>
        <v/>
      </c>
    </row>
    <row r="802">
      <c r="A802" t="inlineStr">
        <is>
          <t>three-way</t>
        </is>
      </c>
      <c r="B802" t="inlineStr">
        <is>
          <t>FICO x ASSET_CLASS / REV_DEBT</t>
        </is>
      </c>
      <c r="C802" t="inlineStr">
        <is>
          <t>686 - 711</t>
        </is>
      </c>
      <c r="D802" t="inlineStr">
        <is>
          <t>3 / REV_DEBT low half</t>
        </is>
      </c>
      <c r="E802" t="inlineStr">
        <is>
          <t>ranr_rate</t>
        </is>
      </c>
      <c r="F802" t="inlineStr">
        <is>
          <t>Profit after losses: RANR per booked dollar</t>
        </is>
      </c>
      <c r="G802" t="n">
        <v>194</v>
      </c>
      <c r="H802" t="n">
        <v>6319422.190000005</v>
      </c>
      <c r="I802" t="b">
        <v>0</v>
      </c>
      <c r="J802" t="b">
        <v>0</v>
      </c>
      <c r="K802" t="n">
        <v>0.02433875503362662</v>
      </c>
      <c r="L802" t="n">
        <v>0.1399242428698307</v>
      </c>
      <c r="M802" t="n">
        <v>0.01120210594173374</v>
      </c>
      <c r="N802" t="n">
        <v>0.7796340365963403</v>
      </c>
      <c r="O802" t="n">
        <v>-153806.8686364745</v>
      </c>
      <c r="P802" t="n">
        <v>-70790.83686292311</v>
      </c>
      <c r="Q802">
        <f>'_live'!$C$23</f>
        <v/>
      </c>
      <c r="R802" t="inlineStr">
        <is>
          <t>shuffled: 945 of 10,000</t>
        </is>
      </c>
      <c r="S802" t="inlineStr">
        <is>
          <t>shuffled: 4,060 of 10,000</t>
        </is>
      </c>
      <c r="T802" t="n">
        <v>0.1273940571081744</v>
      </c>
      <c r="U802" t="n">
        <v>0.1405307062000673</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0.151732812141801</v>
      </c>
      <c r="AI802">
        <f>IF($Y802="worse","Yes",IF($Y802="worse, not significant","Not sure",IF(OR($Y802="too few losses to test",$Y802="too few loans to test"),"Too few losses",IF($Y802="","","No"))))</f>
        <v/>
      </c>
      <c r="AJ802">
        <f>IF($AA802="yes","Yes",IF($AA802="","","No"))</f>
        <v/>
      </c>
    </row>
    <row r="803">
      <c r="A803" t="inlineStr">
        <is>
          <t>three-way</t>
        </is>
      </c>
      <c r="B803" t="inlineStr">
        <is>
          <t>FICO x ASSET_CLASS / REV_DEBT</t>
        </is>
      </c>
      <c r="C803" t="inlineStr">
        <is>
          <t>686 - 711</t>
        </is>
      </c>
      <c r="D803" t="inlineStr">
        <is>
          <t>3 / REV_DEBT low half</t>
        </is>
      </c>
      <c r="E803" t="inlineStr">
        <is>
          <t>contribution_rate</t>
        </is>
      </c>
      <c r="F803" t="inlineStr">
        <is>
          <t>Contribution before losses per booked dollar</t>
        </is>
      </c>
      <c r="G803" t="n">
        <v>194</v>
      </c>
      <c r="H803" t="n">
        <v>6319422.190000005</v>
      </c>
      <c r="I803" t="b">
        <v>0</v>
      </c>
      <c r="J803" t="b">
        <v>0</v>
      </c>
      <c r="K803" t="n">
        <v>-0.003970014373727987</v>
      </c>
      <c r="L803" t="n">
        <v>0.8265473452654735</v>
      </c>
      <c r="M803" t="n">
        <v>-0.008804231513004163</v>
      </c>
      <c r="N803" t="n">
        <v>0.7636569676365697</v>
      </c>
      <c r="O803" t="n">
        <v>25088.19692795549</v>
      </c>
      <c r="P803" t="n">
        <v>55637.65598917578</v>
      </c>
      <c r="Q803">
        <f>'_live'!$C$24</f>
        <v/>
      </c>
      <c r="R803" t="inlineStr">
        <is>
          <t>shuffled: 6,747 of 10,000</t>
        </is>
      </c>
      <c r="S803" t="inlineStr">
        <is>
          <t>shuffled: 2,501 of 10,000</t>
        </is>
      </c>
      <c r="T803" t="n">
        <v>0.1696896859692096</v>
      </c>
      <c r="U803" t="n">
        <v>0.1745239031084858</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0.1657196715954816</v>
      </c>
      <c r="AI803">
        <f>IF($Y803="worse","Yes",IF($Y803="worse, not significant","Not sure",IF(OR($Y803="too few losses to test",$Y803="too few loans to test"),"Too few losses",IF($Y803="","","No"))))</f>
        <v/>
      </c>
      <c r="AJ803">
        <f>IF($AA803="yes","Yes",IF($AA803="","","No"))</f>
        <v/>
      </c>
    </row>
    <row r="804">
      <c r="A804" t="inlineStr">
        <is>
          <t>three-way</t>
        </is>
      </c>
      <c r="B804" t="inlineStr">
        <is>
          <t>FICO x ASSET_CLASS / REV_DEBT</t>
        </is>
      </c>
      <c r="C804" t="inlineStr">
        <is>
          <t>654 - 685</t>
        </is>
      </c>
      <c r="D804" t="inlineStr">
        <is>
          <t>4 / REV_DEBT low half</t>
        </is>
      </c>
      <c r="E804" t="inlineStr">
        <is>
          <t>outcome_loans</t>
        </is>
      </c>
      <c r="F804" t="inlineStr">
        <is>
          <t>Outcome, share of loans</t>
        </is>
      </c>
      <c r="G804" t="n">
        <v>205</v>
      </c>
      <c r="H804" t="n">
        <v>205</v>
      </c>
      <c r="I804" t="b">
        <v>0</v>
      </c>
      <c r="J804" t="b">
        <v>0</v>
      </c>
      <c r="K804" t="n">
        <v>1.138687553264884</v>
      </c>
      <c r="L804" t="n">
        <v>0.6235931900768885</v>
      </c>
      <c r="M804" t="n">
        <v>1.04581881533101</v>
      </c>
      <c r="N804" t="n">
        <v>0.8906052858038503</v>
      </c>
      <c r="O804" t="n">
        <v>2.192327431357453</v>
      </c>
      <c r="P804" t="n">
        <v>0.788605697151425</v>
      </c>
      <c r="Q804">
        <f>'_live'!$C$20</f>
        <v/>
      </c>
      <c r="R804" t="inlineStr">
        <is>
          <t>z test</t>
        </is>
      </c>
      <c r="S804" t="inlineStr">
        <is>
          <t>z test</t>
        </is>
      </c>
      <c r="T804" t="n">
        <v>0.0771105978958173</v>
      </c>
      <c r="U804" t="n">
        <v>0.08395802098950525</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0.08780487804878048</v>
      </c>
      <c r="AI804">
        <f>IF($Y804="worse","Yes",IF($Y804="worse, not significant","Not sure",IF(OR($Y804="too few losses to test",$Y804="too few loans to test"),"Too few losses",IF($Y804="","","No"))))</f>
        <v/>
      </c>
      <c r="AJ804">
        <f>IF($AA804="yes","Yes",IF($AA804="","","No"))</f>
        <v/>
      </c>
    </row>
    <row r="805">
      <c r="A805" t="inlineStr">
        <is>
          <t>three-way</t>
        </is>
      </c>
      <c r="B805" t="inlineStr">
        <is>
          <t>FICO x ASSET_CLASS / REV_DEBT</t>
        </is>
      </c>
      <c r="C805" t="inlineStr">
        <is>
          <t>654 - 685</t>
        </is>
      </c>
      <c r="D805" t="inlineStr">
        <is>
          <t>4 / REV_DEBT low half</t>
        </is>
      </c>
      <c r="E805" t="inlineStr">
        <is>
          <t>outcome_booked</t>
        </is>
      </c>
      <c r="F805" t="inlineStr">
        <is>
          <t>Outcome, share of booked dollars</t>
        </is>
      </c>
      <c r="G805" t="n">
        <v>205</v>
      </c>
      <c r="H805" t="n">
        <v>7004526.169999996</v>
      </c>
      <c r="I805" t="b">
        <v>0</v>
      </c>
      <c r="J805" t="b">
        <v>0</v>
      </c>
      <c r="K805" t="n">
        <v>0.9163090910934292</v>
      </c>
      <c r="L805" t="n">
        <v>0.8320622483206225</v>
      </c>
      <c r="M805" t="n">
        <v>0.8411593143563226</v>
      </c>
      <c r="N805" t="n">
        <v>0.7324320199558992</v>
      </c>
      <c r="O805" t="n">
        <v>-43965.70185435325</v>
      </c>
      <c r="P805" t="n">
        <v>-90899.44177366636</v>
      </c>
      <c r="Q805">
        <f>'_live'!$C$21</f>
        <v/>
      </c>
      <c r="R805" t="inlineStr">
        <is>
          <t>shuffled: 7,627 of 10,000</t>
        </is>
      </c>
      <c r="S805" t="inlineStr">
        <is>
          <t>shuffled: 5,612 of 10,000</t>
        </is>
      </c>
      <c r="T805" t="n">
        <v>0.0749992574950082</v>
      </c>
      <c r="U805" t="n">
        <v>0.08169974497699202</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0.06872250146793302</v>
      </c>
      <c r="AI805">
        <f>IF($Y805="worse","Yes",IF($Y805="worse, not significant","Not sure",IF(OR($Y805="too few losses to test",$Y805="too few loans to test"),"Too few losses",IF($Y805="","","No"))))</f>
        <v/>
      </c>
      <c r="AJ805">
        <f>IF($AA805="yes","Yes",IF($AA805="","","No"))</f>
        <v/>
      </c>
    </row>
    <row r="806">
      <c r="A806" t="inlineStr">
        <is>
          <t>three-way</t>
        </is>
      </c>
      <c r="B806" t="inlineStr">
        <is>
          <t>FICO x ASSET_CLASS / REV_DEBT</t>
        </is>
      </c>
      <c r="C806" t="inlineStr">
        <is>
          <t>654 - 685</t>
        </is>
      </c>
      <c r="D806" t="inlineStr">
        <is>
          <t>4 / REV_DEBT low half</t>
        </is>
      </c>
      <c r="E806" t="inlineStr">
        <is>
          <t>gco_rate</t>
        </is>
      </c>
      <c r="F806" t="inlineStr">
        <is>
          <t>GCO per booked dollar</t>
        </is>
      </c>
      <c r="G806" t="n">
        <v>205</v>
      </c>
      <c r="H806" t="n">
        <v>7004526.169999996</v>
      </c>
      <c r="I806" t="b">
        <v>0</v>
      </c>
      <c r="J806" t="b">
        <v>0</v>
      </c>
      <c r="K806" t="n">
        <v>1.066230365071928</v>
      </c>
      <c r="L806" t="n">
        <v>0.8561926416054048</v>
      </c>
      <c r="M806" t="n">
        <v>0.97602445497579</v>
      </c>
      <c r="N806" t="n">
        <v>0.9349065093490651</v>
      </c>
      <c r="O806" t="n">
        <v>19266.55586834956</v>
      </c>
      <c r="P806" t="n">
        <v>-7619.136829814932</v>
      </c>
      <c r="Q806">
        <f>'_live'!$C$22</f>
        <v/>
      </c>
      <c r="R806" t="inlineStr">
        <is>
          <t>shuffled: 8,205 of 10,000</t>
        </is>
      </c>
      <c r="S806" t="inlineStr">
        <is>
          <t>shuffled: 9,349 of 10,000</t>
        </is>
      </c>
      <c r="T806" t="n">
        <v>0.04153059708414947</v>
      </c>
      <c r="U806" t="n">
        <v>0.04536892847811505</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0.04428118369068784</v>
      </c>
      <c r="AI806">
        <f>IF($Y806="worse","Yes",IF($Y806="worse, not significant","Not sure",IF(OR($Y806="too few losses to test",$Y806="too few loans to test"),"Too few losses",IF($Y806="","","No"))))</f>
        <v/>
      </c>
      <c r="AJ806">
        <f>IF($AA806="yes","Yes",IF($AA806="","","No"))</f>
        <v/>
      </c>
    </row>
    <row r="807">
      <c r="A807" t="inlineStr">
        <is>
          <t>three-way</t>
        </is>
      </c>
      <c r="B807" t="inlineStr">
        <is>
          <t>FICO x ASSET_CLASS / REV_DEBT</t>
        </is>
      </c>
      <c r="C807" t="inlineStr">
        <is>
          <t>654 - 685</t>
        </is>
      </c>
      <c r="D807" t="inlineStr">
        <is>
          <t>4 / REV_DEBT low half</t>
        </is>
      </c>
      <c r="E807" t="inlineStr">
        <is>
          <t>ranr_rate</t>
        </is>
      </c>
      <c r="F807" t="inlineStr">
        <is>
          <t>Profit after losses: RANR per booked dollar</t>
        </is>
      </c>
      <c r="G807" t="n">
        <v>205</v>
      </c>
      <c r="H807" t="n">
        <v>7004526.169999996</v>
      </c>
      <c r="I807" t="b">
        <v>0</v>
      </c>
      <c r="J807" t="b">
        <v>0</v>
      </c>
      <c r="K807" t="n">
        <v>0.02931273630971443</v>
      </c>
      <c r="L807" t="n">
        <v>0.08385699891549307</v>
      </c>
      <c r="M807" t="n">
        <v>-0.007654756922816475</v>
      </c>
      <c r="N807" t="n">
        <v>0.8567828931392575</v>
      </c>
      <c r="O807" t="n">
        <v>-205321.8285957039</v>
      </c>
      <c r="P807" t="n">
        <v>53617.94519085647</v>
      </c>
      <c r="Q807">
        <f>'_live'!$C$23</f>
        <v/>
      </c>
      <c r="R807" t="inlineStr">
        <is>
          <t>shuffled: 410 of 10,000</t>
        </is>
      </c>
      <c r="S807" t="inlineStr">
        <is>
          <t>shuffled: 6,247 of 10,000</t>
        </is>
      </c>
      <c r="T807" t="n">
        <v>0.1271944396781798</v>
      </c>
      <c r="U807" t="n">
        <v>0.1641619329107107</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0.1565071759878942</v>
      </c>
      <c r="AI807">
        <f>IF($Y807="worse","Yes",IF($Y807="worse, not significant","Not sure",IF(OR($Y807="too few losses to test",$Y807="too few loans to test"),"Too few losses",IF($Y807="","","No"))))</f>
        <v/>
      </c>
      <c r="AJ807">
        <f>IF($AA807="yes","Yes",IF($AA807="","","No"))</f>
        <v/>
      </c>
    </row>
    <row r="808">
      <c r="A808" t="inlineStr">
        <is>
          <t>three-way</t>
        </is>
      </c>
      <c r="B808" t="inlineStr">
        <is>
          <t>FICO x ASSET_CLASS / REV_DEBT</t>
        </is>
      </c>
      <c r="C808" t="inlineStr">
        <is>
          <t>654 - 685</t>
        </is>
      </c>
      <c r="D808" t="inlineStr">
        <is>
          <t>4 / REV_DEBT low half</t>
        </is>
      </c>
      <c r="E808" t="inlineStr">
        <is>
          <t>contribution_rate</t>
        </is>
      </c>
      <c r="F808" t="inlineStr">
        <is>
          <t>Contribution before losses per booked dollar</t>
        </is>
      </c>
      <c r="G808" t="n">
        <v>205</v>
      </c>
      <c r="H808" t="n">
        <v>7004526.169999996</v>
      </c>
      <c r="I808" t="b">
        <v>0</v>
      </c>
      <c r="J808" t="b">
        <v>0</v>
      </c>
      <c r="K808" t="n">
        <v>0.03206638772456086</v>
      </c>
      <c r="L808" t="n">
        <v>0.001224877512248775</v>
      </c>
      <c r="M808" t="n">
        <v>-0.008742501710243544</v>
      </c>
      <c r="N808" t="n">
        <v>0.7636569676365697</v>
      </c>
      <c r="O808" t="n">
        <v>-224609.851994053</v>
      </c>
      <c r="P808" t="n">
        <v>61237.08202067064</v>
      </c>
      <c r="Q808">
        <f>'_live'!$C$24</f>
        <v/>
      </c>
      <c r="R808" t="inlineStr">
        <is>
          <t>shuffled: 7 of 10,000</t>
        </is>
      </c>
      <c r="S808" t="inlineStr">
        <is>
          <t>shuffled: 3,261 of 10,000</t>
        </is>
      </c>
      <c r="T808" t="n">
        <v>0.1687219719540212</v>
      </c>
      <c r="U808" t="n">
        <v>0.2095308613888257</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0.2007883596785821</v>
      </c>
      <c r="AI808">
        <f>IF($Y808="worse","Yes",IF($Y808="worse, not significant","Not sure",IF(OR($Y808="too few losses to test",$Y808="too few loans to test"),"Too few losses",IF($Y808="","","No"))))</f>
        <v/>
      </c>
      <c r="AJ808">
        <f>IF($AA808="yes","Yes",IF($AA808="","","No"))</f>
        <v/>
      </c>
    </row>
    <row r="809">
      <c r="A809" t="inlineStr">
        <is>
          <t>three-way</t>
        </is>
      </c>
      <c r="B809" t="inlineStr">
        <is>
          <t>FICO x ASSET_CLASS / REV_DEBT</t>
        </is>
      </c>
      <c r="C809" t="inlineStr">
        <is>
          <t>686 - 711</t>
        </is>
      </c>
      <c r="D809" t="inlineStr">
        <is>
          <t>4 / REV_DEBT high half</t>
        </is>
      </c>
      <c r="E809" t="inlineStr">
        <is>
          <t>outcome_loans</t>
        </is>
      </c>
      <c r="F809" t="inlineStr">
        <is>
          <t>Outcome, share of loans</t>
        </is>
      </c>
      <c r="G809" t="n">
        <v>203</v>
      </c>
      <c r="H809" t="n">
        <v>203</v>
      </c>
      <c r="I809" t="b">
        <v>0</v>
      </c>
      <c r="J809" t="b">
        <v>0</v>
      </c>
      <c r="K809" t="n">
        <v>1.482031275829008</v>
      </c>
      <c r="L809" t="n">
        <v>0.1796318211978426</v>
      </c>
      <c r="M809" t="n">
        <v>2.109251636412714</v>
      </c>
      <c r="N809" t="n">
        <v>0.005861794540140059</v>
      </c>
      <c r="O809" t="n">
        <v>7.480759363776295</v>
      </c>
      <c r="P809" t="n">
        <v>12.09565857247977</v>
      </c>
      <c r="Q809">
        <f>'_live'!$C$20</f>
        <v/>
      </c>
      <c r="R809" t="inlineStr">
        <is>
          <t>z test</t>
        </is>
      </c>
      <c r="S809" t="inlineStr">
        <is>
          <t>z test</t>
        </is>
      </c>
      <c r="T809" t="n">
        <v>0.07644946126218574</v>
      </c>
      <c r="U809" t="n">
        <v>0.05371596762325239</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0.1133004926108374</v>
      </c>
      <c r="AI809">
        <f>IF($Y809="worse","Yes",IF($Y809="worse, not significant","Not sure",IF(OR($Y809="too few losses to test",$Y809="too few loans to test"),"Too few losses",IF($Y809="","","No"))))</f>
        <v/>
      </c>
      <c r="AJ809">
        <f>IF($AA809="yes","Yes",IF($AA809="","","No"))</f>
        <v/>
      </c>
    </row>
    <row r="810">
      <c r="A810" t="inlineStr">
        <is>
          <t>three-way</t>
        </is>
      </c>
      <c r="B810" t="inlineStr">
        <is>
          <t>FICO x ASSET_CLASS / REV_DEBT</t>
        </is>
      </c>
      <c r="C810" t="inlineStr">
        <is>
          <t>686 - 711</t>
        </is>
      </c>
      <c r="D810" t="inlineStr">
        <is>
          <t>4 / REV_DEBT high half</t>
        </is>
      </c>
      <c r="E810" t="inlineStr">
        <is>
          <t>outcome_booked</t>
        </is>
      </c>
      <c r="F810" t="inlineStr">
        <is>
          <t>Outcome, share of booked dollars</t>
        </is>
      </c>
      <c r="G810" t="n">
        <v>203</v>
      </c>
      <c r="H810" t="n">
        <v>6546673.569999999</v>
      </c>
      <c r="I810" t="b">
        <v>0</v>
      </c>
      <c r="J810" t="b">
        <v>0</v>
      </c>
      <c r="K810" t="n">
        <v>1.35108330569341</v>
      </c>
      <c r="L810" t="n">
        <v>0.3872843484882281</v>
      </c>
      <c r="M810" t="n">
        <v>1.985047913272732</v>
      </c>
      <c r="N810" t="n">
        <v>0.02845429742740012</v>
      </c>
      <c r="O810" t="n">
        <v>170470.2793129921</v>
      </c>
      <c r="P810" t="n">
        <v>325541.9668969613</v>
      </c>
      <c r="Q810">
        <f>'_live'!$C$21</f>
        <v/>
      </c>
      <c r="R810" t="inlineStr">
        <is>
          <t>shuffled: 2,079 of 10,000</t>
        </is>
      </c>
      <c r="S810" t="inlineStr">
        <is>
          <t>shuffled: 82 of 10,000</t>
        </is>
      </c>
      <c r="T810" t="n">
        <v>0.07416821161086362</v>
      </c>
      <c r="U810" t="n">
        <v>0.0504811152670682</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0.100207432520574</v>
      </c>
      <c r="AI810">
        <f>IF($Y810="worse","Yes",IF($Y810="worse, not significant","Not sure",IF(OR($Y810="too few losses to test",$Y810="too few loans to test"),"Too few losses",IF($Y810="","","No"))))</f>
        <v/>
      </c>
      <c r="AJ810">
        <f>IF($AA810="yes","Yes",IF($AA810="","","No"))</f>
        <v/>
      </c>
    </row>
    <row r="811">
      <c r="A811" t="inlineStr">
        <is>
          <t>three-way</t>
        </is>
      </c>
      <c r="B811" t="inlineStr">
        <is>
          <t>FICO x ASSET_CLASS / REV_DEBT</t>
        </is>
      </c>
      <c r="C811" t="inlineStr">
        <is>
          <t>686 - 711</t>
        </is>
      </c>
      <c r="D811" t="inlineStr">
        <is>
          <t>4 / REV_DEBT high half</t>
        </is>
      </c>
      <c r="E811" t="inlineStr">
        <is>
          <t>gco_rate</t>
        </is>
      </c>
      <c r="F811" t="inlineStr">
        <is>
          <t>GCO per booked dollar</t>
        </is>
      </c>
      <c r="G811" t="n">
        <v>203</v>
      </c>
      <c r="H811" t="n">
        <v>6546673.569999999</v>
      </c>
      <c r="I811" t="b">
        <v>0</v>
      </c>
      <c r="J811" t="b">
        <v>0</v>
      </c>
      <c r="K811" t="n">
        <v>1.458504098884722</v>
      </c>
      <c r="L811" t="n">
        <v>0.2395396823953968</v>
      </c>
      <c r="M811" t="n">
        <v>2.195277104516749</v>
      </c>
      <c r="N811" t="n">
        <v>0.0197980201979802</v>
      </c>
      <c r="O811" t="n">
        <v>123449.4532052794</v>
      </c>
      <c r="P811" t="n">
        <v>213812.383479562</v>
      </c>
      <c r="Q811">
        <f>'_live'!$C$22</f>
        <v/>
      </c>
      <c r="R811" t="inlineStr">
        <is>
          <t>shuffled: 1,097 of 10,000</t>
        </is>
      </c>
      <c r="S811" t="inlineStr">
        <is>
          <t>shuffled: 32 of 10,000</t>
        </is>
      </c>
      <c r="T811" t="n">
        <v>0.04112683241585859</v>
      </c>
      <c r="U811" t="n">
        <v>0.02732395538096733</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0.05998365365267481</v>
      </c>
      <c r="AI811">
        <f>IF($Y811="worse","Yes",IF($Y811="worse, not significant","Not sure",IF(OR($Y811="too few losses to test",$Y811="too few loans to test"),"Too few losses",IF($Y811="","","No"))))</f>
        <v/>
      </c>
      <c r="AJ811">
        <f>IF($AA811="yes","Yes",IF($AA811="","","No"))</f>
        <v/>
      </c>
    </row>
    <row r="812">
      <c r="A812" t="inlineStr">
        <is>
          <t>three-way</t>
        </is>
      </c>
      <c r="B812" t="inlineStr">
        <is>
          <t>FICO x ASSET_CLASS / REV_DEBT</t>
        </is>
      </c>
      <c r="C812" t="inlineStr">
        <is>
          <t>686 - 711</t>
        </is>
      </c>
      <c r="D812" t="inlineStr">
        <is>
          <t>4 / REV_DEBT high half</t>
        </is>
      </c>
      <c r="E812" t="inlineStr">
        <is>
          <t>ranr_rate</t>
        </is>
      </c>
      <c r="F812" t="inlineStr">
        <is>
          <t>Profit after losses: RANR per booked dollar</t>
        </is>
      </c>
      <c r="G812" t="n">
        <v>203</v>
      </c>
      <c r="H812" t="n">
        <v>6546673.569999999</v>
      </c>
      <c r="I812" t="b">
        <v>0</v>
      </c>
      <c r="J812" t="b">
        <v>0</v>
      </c>
      <c r="K812" t="n">
        <v>-0.008428673544236626</v>
      </c>
      <c r="L812" t="n">
        <v>0.6435449478307983</v>
      </c>
      <c r="M812" t="n">
        <v>-0.02540294912012922</v>
      </c>
      <c r="N812" t="n">
        <v>0.1987001299870013</v>
      </c>
      <c r="O812" t="n">
        <v>55179.77432221209</v>
      </c>
      <c r="P812" t="n">
        <v>166304.8156048047</v>
      </c>
      <c r="Q812">
        <f>'_live'!$C$23</f>
        <v/>
      </c>
      <c r="R812" t="inlineStr">
        <is>
          <t>shuffled: 5,647 of 10,000</t>
        </is>
      </c>
      <c r="S812" t="inlineStr">
        <is>
          <t>shuffled: 588 of 10,000</t>
        </is>
      </c>
      <c r="T812" t="n">
        <v>0.1282038680175422</v>
      </c>
      <c r="U812" t="n">
        <v>0.1451781435934348</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0.1197751944733056</v>
      </c>
      <c r="AI812">
        <f>IF($Y812="worse","Yes",IF($Y812="worse, not significant","Not sure",IF(OR($Y812="too few losses to test",$Y812="too few loans to test"),"Too few losses",IF($Y812="","","No"))))</f>
        <v/>
      </c>
      <c r="AJ812">
        <f>IF($AA812="yes","Yes",IF($AA812="","","No"))</f>
        <v/>
      </c>
    </row>
    <row r="813">
      <c r="A813" t="inlineStr">
        <is>
          <t>three-way</t>
        </is>
      </c>
      <c r="B813" t="inlineStr">
        <is>
          <t>FICO x ASSET_CLASS / REV_DEBT</t>
        </is>
      </c>
      <c r="C813" t="inlineStr">
        <is>
          <t>686 - 711</t>
        </is>
      </c>
      <c r="D813" t="inlineStr">
        <is>
          <t>4 / REV_DEBT high half</t>
        </is>
      </c>
      <c r="E813" t="inlineStr">
        <is>
          <t>contribution_rate</t>
        </is>
      </c>
      <c r="F813" t="inlineStr">
        <is>
          <t>Contribution before losses per booked dollar</t>
        </is>
      </c>
      <c r="G813" t="n">
        <v>203</v>
      </c>
      <c r="H813" t="n">
        <v>6546673.569999999</v>
      </c>
      <c r="I813" t="b">
        <v>0</v>
      </c>
      <c r="J813" t="b">
        <v>0</v>
      </c>
      <c r="K813" t="n">
        <v>0.01043104763101926</v>
      </c>
      <c r="L813" t="n">
        <v>0.3544408717023035</v>
      </c>
      <c r="M813" t="n">
        <v>0.007256749151578257</v>
      </c>
      <c r="N813" t="n">
        <v>0.7636569676365697</v>
      </c>
      <c r="O813" t="n">
        <v>-68288.66383340489</v>
      </c>
      <c r="P813" t="n">
        <v>-47507.56787475734</v>
      </c>
      <c r="Q813">
        <f>'_live'!$C$24</f>
        <v/>
      </c>
      <c r="R813" t="inlineStr">
        <is>
          <t>shuffled: 2,748 of 10,000</t>
        </is>
      </c>
      <c r="S813" t="inlineStr">
        <is>
          <t>shuffled: 3,437 of 10,000</t>
        </is>
      </c>
      <c r="T813" t="n">
        <v>0.1693278004949611</v>
      </c>
      <c r="U813" t="n">
        <v>0.1725020989744021</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0.1797588481259804</v>
      </c>
      <c r="AI813">
        <f>IF($Y813="worse","Yes",IF($Y813="worse, not significant","Not sure",IF(OR($Y813="too few losses to test",$Y813="too few loans to test"),"Too few losses",IF($Y813="","","No"))))</f>
        <v/>
      </c>
      <c r="AJ813">
        <f>IF($AA813="yes","Yes",IF($AA813="","","No"))</f>
        <v/>
      </c>
    </row>
    <row r="814">
      <c r="A814" t="inlineStr">
        <is>
          <t>three-way</t>
        </is>
      </c>
      <c r="B814" t="inlineStr">
        <is>
          <t>FICO x ASSET_CLASS / REV_DEBT</t>
        </is>
      </c>
      <c r="C814" t="inlineStr">
        <is>
          <t>(marked missing)</t>
        </is>
      </c>
      <c r="D814" t="inlineStr">
        <is>
          <t>4 / REV_DEBT high half</t>
        </is>
      </c>
      <c r="E814" t="inlineStr">
        <is>
          <t>outcome_loans</t>
        </is>
      </c>
      <c r="F814" t="inlineStr">
        <is>
          <t>Outcome, share of loans</t>
        </is>
      </c>
      <c r="G814" t="n">
        <v>19</v>
      </c>
      <c r="H814" t="n">
        <v>19</v>
      </c>
      <c r="I814" t="b">
        <v>1</v>
      </c>
      <c r="J814" t="b">
        <v>0</v>
      </c>
      <c r="K814" t="n">
        <v>0.6796116504854368</v>
      </c>
      <c r="M814" t="n">
        <v>0.8245614035087719</v>
      </c>
      <c r="O814" t="n">
        <v>-0.4714285714285715</v>
      </c>
      <c r="P814" t="n">
        <v>-0.2127659574468084</v>
      </c>
      <c r="Q814">
        <f>'_live'!$C$20</f>
        <v/>
      </c>
      <c r="T814" t="n">
        <v>0.0774436090225564</v>
      </c>
      <c r="U814" t="n">
        <v>0.06382978723404255</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0.05263157894736842</v>
      </c>
      <c r="AI814">
        <f>IF($Y814="worse","Yes",IF($Y814="worse, not significant","Not sure",IF(OR($Y814="too few losses to test",$Y814="too few loans to test"),"Too few losses",IF($Y814="","","No"))))</f>
        <v/>
      </c>
      <c r="AJ814">
        <f>IF($AA814="yes","Yes",IF($AA814="","","No"))</f>
        <v/>
      </c>
    </row>
    <row r="815">
      <c r="A815" t="inlineStr">
        <is>
          <t>three-way</t>
        </is>
      </c>
      <c r="B815" t="inlineStr">
        <is>
          <t>FICO x ASSET_CLASS / REV_DEBT</t>
        </is>
      </c>
      <c r="C815" t="inlineStr">
        <is>
          <t>(marked missing)</t>
        </is>
      </c>
      <c r="D815" t="inlineStr">
        <is>
          <t>4 / REV_DEBT high half</t>
        </is>
      </c>
      <c r="E815" t="inlineStr">
        <is>
          <t>outcome_booked</t>
        </is>
      </c>
      <c r="F815" t="inlineStr">
        <is>
          <t>Outcome, share of booked dollars</t>
        </is>
      </c>
      <c r="G815" t="n">
        <v>19</v>
      </c>
      <c r="H815" t="n">
        <v>588775.1299999999</v>
      </c>
      <c r="I815" t="b">
        <v>1</v>
      </c>
      <c r="J815" t="b">
        <v>0</v>
      </c>
      <c r="K815" t="n">
        <v>0.6940583082126182</v>
      </c>
      <c r="M815" t="n">
        <v>1.090206374756931</v>
      </c>
      <c r="O815" t="n">
        <v>-13488.40460879989</v>
      </c>
      <c r="P815" t="n">
        <v>2531.899078817816</v>
      </c>
      <c r="Q815">
        <f>'_live'!$C$21</f>
        <v/>
      </c>
      <c r="T815" t="n">
        <v>0.07488114283767371</v>
      </c>
      <c r="U815" t="n">
        <v>0.04767159734002723</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0.05197187931494322</v>
      </c>
      <c r="AI815">
        <f>IF($Y815="worse","Yes",IF($Y815="worse, not significant","Not sure",IF(OR($Y815="too few losses to test",$Y815="too few loans to test"),"Too few losses",IF($Y815="","","No"))))</f>
        <v/>
      </c>
      <c r="AJ815">
        <f>IF($AA815="yes","Yes",IF($AA815="","","No"))</f>
        <v/>
      </c>
    </row>
    <row r="816">
      <c r="A816" t="inlineStr">
        <is>
          <t>three-way</t>
        </is>
      </c>
      <c r="B816" t="inlineStr">
        <is>
          <t>FICO x ASSET_CLASS / REV_DEBT</t>
        </is>
      </c>
      <c r="C816" t="inlineStr">
        <is>
          <t>(marked missing)</t>
        </is>
      </c>
      <c r="D816" t="inlineStr">
        <is>
          <t>4 / REV_DEBT high half</t>
        </is>
      </c>
      <c r="E816" t="inlineStr">
        <is>
          <t>gco_rate</t>
        </is>
      </c>
      <c r="F816" t="inlineStr">
        <is>
          <t>GCO per booked dollar</t>
        </is>
      </c>
      <c r="G816" t="n">
        <v>19</v>
      </c>
      <c r="H816" t="n">
        <v>588775.1299999999</v>
      </c>
      <c r="I816" t="b">
        <v>1</v>
      </c>
      <c r="J816" t="b">
        <v>0</v>
      </c>
      <c r="K816" t="n">
        <v>0.62816385154594</v>
      </c>
      <c r="M816" t="n">
        <v>1.028494711528344</v>
      </c>
      <c r="O816" t="n">
        <v>-9116.287229768586</v>
      </c>
      <c r="P816" t="n">
        <v>426.6792615724735</v>
      </c>
      <c r="Q816">
        <f>'_live'!$C$22</f>
        <v/>
      </c>
      <c r="T816" t="n">
        <v>0.04164059584135048</v>
      </c>
      <c r="U816" t="n">
        <v>0.02543242738263678</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0.02615711706437057</v>
      </c>
      <c r="AI816">
        <f>IF($Y816="worse","Yes",IF($Y816="worse, not significant","Not sure",IF(OR($Y816="too few losses to test",$Y816="too few loans to test"),"Too few losses",IF($Y816="","","No"))))</f>
        <v/>
      </c>
      <c r="AJ816">
        <f>IF($AA816="yes","Yes",IF($AA816="","","No"))</f>
        <v/>
      </c>
    </row>
    <row r="817">
      <c r="A817" t="inlineStr">
        <is>
          <t>three-way</t>
        </is>
      </c>
      <c r="B817" t="inlineStr">
        <is>
          <t>FICO x ASSET_CLASS / REV_DEBT</t>
        </is>
      </c>
      <c r="C817" t="inlineStr">
        <is>
          <t>(marked missing)</t>
        </is>
      </c>
      <c r="D817" t="inlineStr">
        <is>
          <t>4 / REV_DEBT high half</t>
        </is>
      </c>
      <c r="E817" t="inlineStr">
        <is>
          <t>ranr_rate</t>
        </is>
      </c>
      <c r="F817" t="inlineStr">
        <is>
          <t>Profit after losses: RANR per booked dollar</t>
        </is>
      </c>
      <c r="G817" t="n">
        <v>19</v>
      </c>
      <c r="H817" t="n">
        <v>588775.1299999999</v>
      </c>
      <c r="I817" t="b">
        <v>0</v>
      </c>
      <c r="J817" t="b">
        <v>0</v>
      </c>
      <c r="K817" t="n">
        <v>0.05198972692926698</v>
      </c>
      <c r="L817" t="n">
        <v>0.3387108657555297</v>
      </c>
      <c r="M817" t="n">
        <v>0.02778100866502925</v>
      </c>
      <c r="N817" t="n">
        <v>0.8296313225820275</v>
      </c>
      <c r="O817" t="n">
        <v>-30610.25823144366</v>
      </c>
      <c r="P817" t="n">
        <v>-16356.76698828372</v>
      </c>
      <c r="Q817">
        <f>'_live'!$C$23</f>
        <v/>
      </c>
      <c r="R817" t="inlineStr">
        <is>
          <t>shuffled: 2,626 of 10,000</t>
        </is>
      </c>
      <c r="S817" t="inlineStr">
        <is>
          <t>shuffled: 4,839 of 10,000</t>
        </is>
      </c>
      <c r="T817" t="n">
        <v>0.1278714367037826</v>
      </c>
      <c r="U817" t="n">
        <v>0.1520801549680203</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0.1798611636330496</v>
      </c>
      <c r="AI817">
        <f>IF($Y817="worse","Yes",IF($Y817="worse, not significant","Not sure",IF(OR($Y817="too few losses to test",$Y817="too few loans to test"),"Too few losses",IF($Y817="","","No"))))</f>
        <v/>
      </c>
      <c r="AJ817">
        <f>IF($AA817="yes","Yes",IF($AA817="","","No"))</f>
        <v/>
      </c>
    </row>
    <row r="818">
      <c r="A818" t="inlineStr">
        <is>
          <t>three-way</t>
        </is>
      </c>
      <c r="B818" t="inlineStr">
        <is>
          <t>FICO x ASSET_CLASS / REV_DEBT</t>
        </is>
      </c>
      <c r="C818" t="inlineStr">
        <is>
          <t>(marked missing)</t>
        </is>
      </c>
      <c r="D818" t="inlineStr">
        <is>
          <t>4 / REV_DEBT high half</t>
        </is>
      </c>
      <c r="E818" t="inlineStr">
        <is>
          <t>contribution_rate</t>
        </is>
      </c>
      <c r="F818" t="inlineStr">
        <is>
          <t>Contribution before losses per booked dollar</t>
        </is>
      </c>
      <c r="G818" t="n">
        <v>19</v>
      </c>
      <c r="H818" t="n">
        <v>588775.1299999999</v>
      </c>
      <c r="I818" t="b">
        <v>0</v>
      </c>
      <c r="J818" t="b">
        <v>0</v>
      </c>
      <c r="K818" t="n">
        <v>0.036509132222207</v>
      </c>
      <c r="L818" t="n">
        <v>0.3031075270851293</v>
      </c>
      <c r="M818" t="n">
        <v>0.028505698346763</v>
      </c>
      <c r="N818" t="n">
        <v>0.7636569676365697</v>
      </c>
      <c r="O818" t="n">
        <v>-21495.66907031712</v>
      </c>
      <c r="P818" t="n">
        <v>-16783.44624985618</v>
      </c>
      <c r="Q818">
        <f>'_live'!$C$24</f>
        <v/>
      </c>
      <c r="R818" t="inlineStr">
        <is>
          <t>shuffled: 2,288 of 10,000</t>
        </is>
      </c>
      <c r="S818" t="inlineStr">
        <is>
          <t>shuffled: 4,087 of 10,000</t>
        </is>
      </c>
      <c r="T818" t="n">
        <v>0.1695091484752131</v>
      </c>
      <c r="U818" t="n">
        <v>0.1775125823506571</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0.2060182806974201</v>
      </c>
      <c r="AI818">
        <f>IF($Y818="worse","Yes",IF($Y818="worse, not significant","Not sure",IF(OR($Y818="too few losses to test",$Y818="too few loans to test"),"Too few losses",IF($Y818="","","No"))))</f>
        <v/>
      </c>
      <c r="AJ818">
        <f>IF($AA818="yes","Yes",IF($AA818="","","No"))</f>
        <v/>
      </c>
    </row>
    <row r="819">
      <c r="A819" t="inlineStr">
        <is>
          <t>three-way</t>
        </is>
      </c>
      <c r="B819" t="inlineStr">
        <is>
          <t>FICO x ASSET_CLASS / REV_DEBT</t>
        </is>
      </c>
      <c r="C819" t="inlineStr">
        <is>
          <t>(marked missing)</t>
        </is>
      </c>
      <c r="D819" t="inlineStr">
        <is>
          <t>1 / REV_DEBT low half</t>
        </is>
      </c>
      <c r="E819" t="inlineStr">
        <is>
          <t>outcome_loans</t>
        </is>
      </c>
      <c r="F819" t="inlineStr">
        <is>
          <t>Outcome, share of loans</t>
        </is>
      </c>
      <c r="G819" t="n">
        <v>21</v>
      </c>
      <c r="H819" t="n">
        <v>21</v>
      </c>
      <c r="I819" t="b">
        <v>1</v>
      </c>
      <c r="J819" t="b">
        <v>0</v>
      </c>
      <c r="K819" t="n">
        <v>0</v>
      </c>
      <c r="M819" t="n">
        <v>0</v>
      </c>
      <c r="O819" t="n">
        <v>-1.629355728252695</v>
      </c>
      <c r="P819" t="n">
        <v>-1.510791366906475</v>
      </c>
      <c r="Q819">
        <f>'_live'!$C$20</f>
        <v/>
      </c>
      <c r="T819" t="n">
        <v>0.07758836801203309</v>
      </c>
      <c r="U819" t="n">
        <v>0.07194244604316546</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v>
      </c>
      <c r="AI819">
        <f>IF($Y819="worse","Yes",IF($Y819="worse, not significant","Not sure",IF(OR($Y819="too few losses to test",$Y819="too few loans to test"),"Too few losses",IF($Y819="","","No"))))</f>
        <v/>
      </c>
      <c r="AJ819">
        <f>IF($AA819="yes","Yes",IF($AA819="","","No"))</f>
        <v/>
      </c>
    </row>
    <row r="820">
      <c r="A820" t="inlineStr">
        <is>
          <t>three-way</t>
        </is>
      </c>
      <c r="B820" t="inlineStr">
        <is>
          <t>FICO x ASSET_CLASS / REV_DEBT</t>
        </is>
      </c>
      <c r="C820" t="inlineStr">
        <is>
          <t>(marked missing)</t>
        </is>
      </c>
      <c r="D820" t="inlineStr">
        <is>
          <t>1 / REV_DEBT low half</t>
        </is>
      </c>
      <c r="E820" t="inlineStr">
        <is>
          <t>outcome_booked</t>
        </is>
      </c>
      <c r="F820" t="inlineStr">
        <is>
          <t>Outcome, share of booked dollars</t>
        </is>
      </c>
      <c r="G820" t="n">
        <v>21</v>
      </c>
      <c r="H820" t="n">
        <v>800315.97</v>
      </c>
      <c r="I820" t="b">
        <v>1</v>
      </c>
      <c r="J820" t="b">
        <v>0</v>
      </c>
      <c r="K820" t="n">
        <v>0</v>
      </c>
      <c r="M820" t="n">
        <v>0</v>
      </c>
      <c r="O820" t="n">
        <v>-60073.06245058487</v>
      </c>
      <c r="P820" t="n">
        <v>-45407.41591663333</v>
      </c>
      <c r="Q820">
        <f>'_live'!$C$21</f>
        <v/>
      </c>
      <c r="T820" t="n">
        <v>0.07506168151384618</v>
      </c>
      <c r="U820" t="n">
        <v>0.05673686096334343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v>
      </c>
      <c r="AI820">
        <f>IF($Y820="worse","Yes",IF($Y820="worse, not significant","Not sure",IF(OR($Y820="too few losses to test",$Y820="too few loans to test"),"Too few losses",IF($Y820="","","No"))))</f>
        <v/>
      </c>
      <c r="AJ820">
        <f>IF($AA820="yes","Yes",IF($AA820="","","No"))</f>
        <v/>
      </c>
    </row>
    <row r="821">
      <c r="A821" t="inlineStr">
        <is>
          <t>three-way</t>
        </is>
      </c>
      <c r="B821" t="inlineStr">
        <is>
          <t>FICO x ASSET_CLASS / REV_DEBT</t>
        </is>
      </c>
      <c r="C821" t="inlineStr">
        <is>
          <t>(marked missing)</t>
        </is>
      </c>
      <c r="D821" t="inlineStr">
        <is>
          <t>1 / REV_DEBT low half</t>
        </is>
      </c>
      <c r="E821" t="inlineStr">
        <is>
          <t>gco_rate</t>
        </is>
      </c>
      <c r="F821" t="inlineStr">
        <is>
          <t>GCO per booked dollar</t>
        </is>
      </c>
      <c r="G821" t="n">
        <v>21</v>
      </c>
      <c r="H821" t="n">
        <v>800315.97</v>
      </c>
      <c r="I821" t="b">
        <v>1</v>
      </c>
      <c r="J821" t="b">
        <v>0</v>
      </c>
      <c r="K821" t="n">
        <v>0</v>
      </c>
      <c r="M821" t="n">
        <v>0</v>
      </c>
      <c r="O821" t="n">
        <v>-33400.95649649164</v>
      </c>
      <c r="P821" t="n">
        <v>-24059.7181849534</v>
      </c>
      <c r="Q821">
        <f>'_live'!$C$22</f>
        <v/>
      </c>
      <c r="T821" t="n">
        <v>0.04173471197443634</v>
      </c>
      <c r="U821" t="n">
        <v>0.03006277406279098</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v>
      </c>
      <c r="AI821">
        <f>IF($Y821="worse","Yes",IF($Y821="worse, not significant","Not sure",IF(OR($Y821="too few losses to test",$Y821="too few loans to test"),"Too few losses",IF($Y821="","","No"))))</f>
        <v/>
      </c>
      <c r="AJ821">
        <f>IF($AA821="yes","Yes",IF($AA821="","","No"))</f>
        <v/>
      </c>
    </row>
    <row r="822">
      <c r="A822" t="inlineStr">
        <is>
          <t>three-way</t>
        </is>
      </c>
      <c r="B822" t="inlineStr">
        <is>
          <t>FICO x ASSET_CLASS / REV_DEBT</t>
        </is>
      </c>
      <c r="C822" t="inlineStr">
        <is>
          <t>(marked missing)</t>
        </is>
      </c>
      <c r="D822" t="inlineStr">
        <is>
          <t>1 / REV_DEBT low half</t>
        </is>
      </c>
      <c r="E822" t="inlineStr">
        <is>
          <t>ranr_rate</t>
        </is>
      </c>
      <c r="F822" t="inlineStr">
        <is>
          <t>Profit after losses: RANR per booked dollar</t>
        </is>
      </c>
      <c r="G822" t="n">
        <v>21</v>
      </c>
      <c r="H822" t="n">
        <v>800315.97</v>
      </c>
      <c r="I822" t="b">
        <v>0</v>
      </c>
      <c r="J822" t="b">
        <v>0</v>
      </c>
      <c r="K822" t="n">
        <v>0.03316154445743075</v>
      </c>
      <c r="L822" t="n">
        <v>0.5257640902576409</v>
      </c>
      <c r="M822" t="n">
        <v>0.006923322262867765</v>
      </c>
      <c r="N822" t="n">
        <v>0.9267436892674369</v>
      </c>
      <c r="O822" t="n">
        <v>-26539.71361914682</v>
      </c>
      <c r="P822" t="n">
        <v>-5540.845372429612</v>
      </c>
      <c r="Q822">
        <f>'_live'!$C$23</f>
        <v/>
      </c>
      <c r="R822" t="inlineStr">
        <is>
          <t>shuffled: 4,506 of 10,000</t>
        </is>
      </c>
      <c r="S822" t="inlineStr">
        <is>
          <t>shuffled: 8,495 of 10,000</t>
        </is>
      </c>
      <c r="T822" t="n">
        <v>0.1278872098239564</v>
      </c>
      <c r="U822" t="n">
        <v>0.1541254320185194</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0.1610487542813872</v>
      </c>
      <c r="AI822">
        <f>IF($Y822="worse","Yes",IF($Y822="worse, not significant","Not sure",IF(OR($Y822="too few losses to test",$Y822="too few loans to test"),"Too few losses",IF($Y822="","","No"))))</f>
        <v/>
      </c>
      <c r="AJ822">
        <f>IF($AA822="yes","Yes",IF($AA822="","","No"))</f>
        <v/>
      </c>
    </row>
    <row r="823">
      <c r="A823" t="inlineStr">
        <is>
          <t>three-way</t>
        </is>
      </c>
      <c r="B823" t="inlineStr">
        <is>
          <t>FICO x ASSET_CLASS / REV_DEBT</t>
        </is>
      </c>
      <c r="C823" t="inlineStr">
        <is>
          <t>(marked missing)</t>
        </is>
      </c>
      <c r="D823" t="inlineStr">
        <is>
          <t>1 / REV_DEBT low half</t>
        </is>
      </c>
      <c r="E823" t="inlineStr">
        <is>
          <t>contribution_rate</t>
        </is>
      </c>
      <c r="F823" t="inlineStr">
        <is>
          <t>Contribution before losses per booked dollar</t>
        </is>
      </c>
      <c r="G823" t="n">
        <v>21</v>
      </c>
      <c r="H823" t="n">
        <v>800315.97</v>
      </c>
      <c r="I823" t="b">
        <v>0</v>
      </c>
      <c r="J823" t="b">
        <v>0</v>
      </c>
      <c r="K823" t="n">
        <v>-0.008570283508699011</v>
      </c>
      <c r="L823" t="n">
        <v>0.9083924940839249</v>
      </c>
      <c r="M823" t="n">
        <v>-0.02313945179992324</v>
      </c>
      <c r="N823" t="n">
        <v>0.789107296166935</v>
      </c>
      <c r="O823" t="n">
        <v>6858.934759439435</v>
      </c>
      <c r="P823" t="n">
        <v>18518.8728125238</v>
      </c>
      <c r="Q823">
        <f>'_live'!$C$24</f>
        <v/>
      </c>
      <c r="R823" t="inlineStr">
        <is>
          <t>shuffled: 7,786 of 10,000</t>
        </is>
      </c>
      <c r="S823" t="inlineStr">
        <is>
          <t>shuffled: 4,767 of 10,000</t>
        </is>
      </c>
      <c r="T823" t="n">
        <v>0.1696190377900862</v>
      </c>
      <c r="U823" t="n">
        <v>0.1841882060813104</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0.1610487542813872</v>
      </c>
      <c r="AI823">
        <f>IF($Y823="worse","Yes",IF($Y823="worse, not significant","Not sure",IF(OR($Y823="too few losses to test",$Y823="too few loans to test"),"Too few losses",IF($Y823="","","No"))))</f>
        <v/>
      </c>
      <c r="AJ823">
        <f>IF($AA823="yes","Yes",IF($AA823="","","No"))</f>
        <v/>
      </c>
    </row>
    <row r="824">
      <c r="A824" t="inlineStr">
        <is>
          <t>three-way</t>
        </is>
      </c>
      <c r="B824" t="inlineStr">
        <is>
          <t>FICO x ASSET_CLASS / REV_DEBT</t>
        </is>
      </c>
      <c r="C824" t="inlineStr">
        <is>
          <t>(marked missing)</t>
        </is>
      </c>
      <c r="D824" t="inlineStr">
        <is>
          <t>2 / REV_DEBT low half</t>
        </is>
      </c>
      <c r="E824" t="inlineStr">
        <is>
          <t>outcome_loans</t>
        </is>
      </c>
      <c r="F824" t="inlineStr">
        <is>
          <t>Outcome, share of loans</t>
        </is>
      </c>
      <c r="G824" t="n">
        <v>18</v>
      </c>
      <c r="H824" t="n">
        <v>18</v>
      </c>
      <c r="I824" t="b">
        <v>1</v>
      </c>
      <c r="J824" t="b">
        <v>0</v>
      </c>
      <c r="K824" t="n">
        <v>0.717457749011147</v>
      </c>
      <c r="M824" t="n">
        <v>0.8765432098765432</v>
      </c>
      <c r="O824" t="n">
        <v>-0.3938102994612205</v>
      </c>
      <c r="P824" t="n">
        <v>-0.1408450704225352</v>
      </c>
      <c r="Q824">
        <f>'_live'!$C$20</f>
        <v/>
      </c>
      <c r="T824" t="n">
        <v>0.07743390552562336</v>
      </c>
      <c r="U824" t="n">
        <v>0.06338028169014084</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0.05555555555555555</v>
      </c>
      <c r="AI824">
        <f>IF($Y824="worse","Yes",IF($Y824="worse, not significant","Not sure",IF(OR($Y824="too few losses to test",$Y824="too few loans to test"),"Too few losses",IF($Y824="","","No"))))</f>
        <v/>
      </c>
      <c r="AJ824">
        <f>IF($AA824="yes","Yes",IF($AA824="","","No"))</f>
        <v/>
      </c>
    </row>
    <row r="825">
      <c r="A825" t="inlineStr">
        <is>
          <t>three-way</t>
        </is>
      </c>
      <c r="B825" t="inlineStr">
        <is>
          <t>FICO x ASSET_CLASS / REV_DEBT</t>
        </is>
      </c>
      <c r="C825" t="inlineStr">
        <is>
          <t>(marked missing)</t>
        </is>
      </c>
      <c r="D825" t="inlineStr">
        <is>
          <t>2 / REV_DEBT low half</t>
        </is>
      </c>
      <c r="E825" t="inlineStr">
        <is>
          <t>outcome_booked</t>
        </is>
      </c>
      <c r="F825" t="inlineStr">
        <is>
          <t>Outcome, share of booked dollars</t>
        </is>
      </c>
      <c r="G825" t="n">
        <v>18</v>
      </c>
      <c r="H825" t="n">
        <v>601839.76</v>
      </c>
      <c r="I825" t="b">
        <v>1</v>
      </c>
      <c r="J825" t="b">
        <v>0</v>
      </c>
      <c r="K825" t="n">
        <v>1.103384975873175</v>
      </c>
      <c r="M825" t="n">
        <v>1.887466078736808</v>
      </c>
      <c r="O825" t="n">
        <v>4654.818725522498</v>
      </c>
      <c r="P825" t="n">
        <v>23358.5034713674</v>
      </c>
      <c r="Q825">
        <f>'_live'!$C$21</f>
        <v/>
      </c>
      <c r="T825" t="n">
        <v>0.07481082884001798</v>
      </c>
      <c r="U825" t="n">
        <v>0.04373331288154275</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0.08254514457469543</v>
      </c>
      <c r="AI825">
        <f>IF($Y825="worse","Yes",IF($Y825="worse, not significant","Not sure",IF(OR($Y825="too few losses to test",$Y825="too few loans to test"),"Too few losses",IF($Y825="","","No"))))</f>
        <v/>
      </c>
      <c r="AJ825">
        <f>IF($AA825="yes","Yes",IF($AA825="","","No"))</f>
        <v/>
      </c>
    </row>
    <row r="826">
      <c r="A826" t="inlineStr">
        <is>
          <t>three-way</t>
        </is>
      </c>
      <c r="B826" t="inlineStr">
        <is>
          <t>FICO x ASSET_CLASS / REV_DEBT</t>
        </is>
      </c>
      <c r="C826" t="inlineStr">
        <is>
          <t>(marked missing)</t>
        </is>
      </c>
      <c r="D826" t="inlineStr">
        <is>
          <t>2 / REV_DEBT low half</t>
        </is>
      </c>
      <c r="E826" t="inlineStr">
        <is>
          <t>gco_rate</t>
        </is>
      </c>
      <c r="F826" t="inlineStr">
        <is>
          <t>GCO per booked dollar</t>
        </is>
      </c>
      <c r="G826" t="n">
        <v>18</v>
      </c>
      <c r="H826" t="n">
        <v>601839.76</v>
      </c>
      <c r="I826" t="b">
        <v>1</v>
      </c>
      <c r="J826" t="b">
        <v>0</v>
      </c>
      <c r="K826" t="n">
        <v>0.8486156744917472</v>
      </c>
      <c r="M826" t="n">
        <v>1.456241723579653</v>
      </c>
      <c r="O826" t="n">
        <v>-3791.957462584865</v>
      </c>
      <c r="P826" t="n">
        <v>6659.70704038515</v>
      </c>
      <c r="Q826">
        <f>'_live'!$C$22</f>
        <v/>
      </c>
      <c r="T826" t="n">
        <v>0.04161996120459849</v>
      </c>
      <c r="U826" t="n">
        <v>0.02425376974032897</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0.0353193514499607</v>
      </c>
      <c r="AI826">
        <f>IF($Y826="worse","Yes",IF($Y826="worse, not significant","Not sure",IF(OR($Y826="too few losses to test",$Y826="too few loans to test"),"Too few losses",IF($Y826="","","No"))))</f>
        <v/>
      </c>
      <c r="AJ826">
        <f>IF($AA826="yes","Yes",IF($AA826="","","No"))</f>
        <v/>
      </c>
    </row>
    <row r="827">
      <c r="A827" t="inlineStr">
        <is>
          <t>three-way</t>
        </is>
      </c>
      <c r="B827" t="inlineStr">
        <is>
          <t>FICO x ASSET_CLASS / REV_DEBT</t>
        </is>
      </c>
      <c r="C827" t="inlineStr">
        <is>
          <t>(marked missing)</t>
        </is>
      </c>
      <c r="D827" t="inlineStr">
        <is>
          <t>2 / REV_DEBT low half</t>
        </is>
      </c>
      <c r="E827" t="inlineStr">
        <is>
          <t>ranr_rate</t>
        </is>
      </c>
      <c r="F827" t="inlineStr">
        <is>
          <t>Profit after losses: RANR per booked dollar</t>
        </is>
      </c>
      <c r="G827" t="n">
        <v>18</v>
      </c>
      <c r="H827" t="n">
        <v>601839.76</v>
      </c>
      <c r="I827" t="b">
        <v>0</v>
      </c>
      <c r="J827" t="b">
        <v>0</v>
      </c>
      <c r="K827" t="n">
        <v>0.008535976217308006</v>
      </c>
      <c r="L827" t="n">
        <v>0.8971315634394008</v>
      </c>
      <c r="M827" t="n">
        <v>-0.02106435338034643</v>
      </c>
      <c r="N827" t="n">
        <v>0.8567828931392575</v>
      </c>
      <c r="O827" t="n">
        <v>-5137.289877990363</v>
      </c>
      <c r="P827" t="n">
        <v>12677.36538298287</v>
      </c>
      <c r="Q827">
        <f>'_live'!$C$23</f>
        <v/>
      </c>
      <c r="R827" t="inlineStr">
        <is>
          <t>shuffled: 8,605 of 10,000</t>
        </is>
      </c>
      <c r="S827" t="inlineStr">
        <is>
          <t>shuffled: 6,031 of 10,000</t>
        </is>
      </c>
      <c r="T827" t="n">
        <v>0.1279701429530173</v>
      </c>
      <c r="U827" t="n">
        <v>0.1575704725506717</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0.1365061191703253</v>
      </c>
      <c r="AI827">
        <f>IF($Y827="worse","Yes",IF($Y827="worse, not significant","Not sure",IF(OR($Y827="too few losses to test",$Y827="too few loans to test"),"Too few losses",IF($Y827="","","No"))))</f>
        <v/>
      </c>
      <c r="AJ827">
        <f>IF($AA827="yes","Yes",IF($AA827="","","No"))</f>
        <v/>
      </c>
    </row>
    <row r="828">
      <c r="A828" t="inlineStr">
        <is>
          <t>three-way</t>
        </is>
      </c>
      <c r="B828" t="inlineStr">
        <is>
          <t>FICO x ASSET_CLASS / REV_DEBT</t>
        </is>
      </c>
      <c r="C828" t="inlineStr">
        <is>
          <t>(marked missing)</t>
        </is>
      </c>
      <c r="D828" t="inlineStr">
        <is>
          <t>2 / REV_DEBT low half</t>
        </is>
      </c>
      <c r="E828" t="inlineStr">
        <is>
          <t>contribution_rate</t>
        </is>
      </c>
      <c r="F828" t="inlineStr">
        <is>
          <t>Contribution before losses per booked dollar</t>
        </is>
      </c>
      <c r="G828" t="n">
        <v>18</v>
      </c>
      <c r="H828" t="n">
        <v>601839.76</v>
      </c>
      <c r="I828" t="b">
        <v>0</v>
      </c>
      <c r="J828" t="b">
        <v>0</v>
      </c>
      <c r="K828" t="n">
        <v>0.002238235462597077</v>
      </c>
      <c r="L828" t="n">
        <v>0.9612226277372263</v>
      </c>
      <c r="M828" t="n">
        <v>-0.009998771670714723</v>
      </c>
      <c r="N828" t="n">
        <v>0.869606062649549</v>
      </c>
      <c r="O828" t="n">
        <v>-1347.05909363291</v>
      </c>
      <c r="P828" t="n">
        <v>6017.658342597744</v>
      </c>
      <c r="Q828">
        <f>'_live'!$C$24</f>
        <v/>
      </c>
      <c r="R828" t="inlineStr">
        <is>
          <t>shuffled: 9,416 of 10,000</t>
        </is>
      </c>
      <c r="S828" t="inlineStr">
        <is>
          <t>shuffled: 7,636 of 10,000</t>
        </is>
      </c>
      <c r="T828" t="n">
        <v>0.1695872351576889</v>
      </c>
      <c r="U828" t="n">
        <v>0.1818242422910007</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0.171825470620286</v>
      </c>
      <c r="AI828">
        <f>IF($Y828="worse","Yes",IF($Y828="worse, not significant","Not sure",IF(OR($Y828="too few losses to test",$Y828="too few loans to test"),"Too few losses",IF($Y828="","","No"))))</f>
        <v/>
      </c>
      <c r="AJ828">
        <f>IF($AA828="yes","Yes",IF($AA828="","","No"))</f>
        <v/>
      </c>
    </row>
    <row r="829">
      <c r="A829" t="inlineStr">
        <is>
          <t>three-way</t>
        </is>
      </c>
      <c r="B829" t="inlineStr">
        <is>
          <t>FICO x ASSET_CLASS / REV_DEBT</t>
        </is>
      </c>
      <c r="C829" t="inlineStr">
        <is>
          <t>(marked missing)</t>
        </is>
      </c>
      <c r="D829" t="inlineStr">
        <is>
          <t>4 / REV_DEBT low half</t>
        </is>
      </c>
      <c r="E829" t="inlineStr">
        <is>
          <t>outcome_loans</t>
        </is>
      </c>
      <c r="F829" t="inlineStr">
        <is>
          <t>Outcome, share of loans</t>
        </is>
      </c>
      <c r="G829" t="n">
        <v>20</v>
      </c>
      <c r="H829" t="n">
        <v>20</v>
      </c>
      <c r="I829" t="b">
        <v>1</v>
      </c>
      <c r="J829" t="b">
        <v>0</v>
      </c>
      <c r="K829" t="n">
        <v>0.6455501618122977</v>
      </c>
      <c r="M829" t="n">
        <v>0.7777777777777779</v>
      </c>
      <c r="O829" t="n">
        <v>-0.5490662990349668</v>
      </c>
      <c r="P829" t="n">
        <v>-0.2857142857142856</v>
      </c>
      <c r="Q829">
        <f>'_live'!$C$20</f>
        <v/>
      </c>
      <c r="T829" t="n">
        <v>0.07745331495174834</v>
      </c>
      <c r="U829" t="n">
        <v>0.06428571428571428</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0.05</v>
      </c>
      <c r="AI829">
        <f>IF($Y829="worse","Yes",IF($Y829="worse, not significant","Not sure",IF(OR($Y829="too few losses to test",$Y829="too few loans to test"),"Too few losses",IF($Y829="","","No"))))</f>
        <v/>
      </c>
      <c r="AJ829">
        <f>IF($AA829="yes","Yes",IF($AA829="","","No"))</f>
        <v/>
      </c>
    </row>
    <row r="830">
      <c r="A830" t="inlineStr">
        <is>
          <t>three-way</t>
        </is>
      </c>
      <c r="B830" t="inlineStr">
        <is>
          <t>FICO x ASSET_CLASS / REV_DEBT</t>
        </is>
      </c>
      <c r="C830" t="inlineStr">
        <is>
          <t>(marked missing)</t>
        </is>
      </c>
      <c r="D830" t="inlineStr">
        <is>
          <t>4 / REV_DEBT low half</t>
        </is>
      </c>
      <c r="E830" t="inlineStr">
        <is>
          <t>outcome_booked</t>
        </is>
      </c>
      <c r="F830" t="inlineStr">
        <is>
          <t>Outcome, share of booked dollars</t>
        </is>
      </c>
      <c r="G830" t="n">
        <v>20</v>
      </c>
      <c r="H830" t="n">
        <v>624252.8200000001</v>
      </c>
      <c r="I830" t="b">
        <v>1</v>
      </c>
      <c r="J830" t="b">
        <v>0</v>
      </c>
      <c r="K830" t="n">
        <v>0.6238725570899323</v>
      </c>
      <c r="M830" t="n">
        <v>0.9665956553232302</v>
      </c>
      <c r="O830" t="n">
        <v>-17585.71716685484</v>
      </c>
      <c r="P830" t="n">
        <v>-1008.043009853052</v>
      </c>
      <c r="Q830">
        <f>'_live'!$C$21</f>
        <v/>
      </c>
      <c r="T830" t="n">
        <v>0.07489702195795421</v>
      </c>
      <c r="U830" t="n">
        <v>0.04834099589626691</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0.0467261966073297</v>
      </c>
      <c r="AI830">
        <f>IF($Y830="worse","Yes",IF($Y830="worse, not significant","Not sure",IF(OR($Y830="too few losses to test",$Y830="too few loans to test"),"Too few losses",IF($Y830="","","No"))))</f>
        <v/>
      </c>
      <c r="AJ830">
        <f>IF($AA830="yes","Yes",IF($AA830="","","No"))</f>
        <v/>
      </c>
    </row>
    <row r="831">
      <c r="A831" t="inlineStr">
        <is>
          <t>three-way</t>
        </is>
      </c>
      <c r="B831" t="inlineStr">
        <is>
          <t>FICO x ASSET_CLASS / REV_DEBT</t>
        </is>
      </c>
      <c r="C831" t="inlineStr">
        <is>
          <t>(marked missing)</t>
        </is>
      </c>
      <c r="D831" t="inlineStr">
        <is>
          <t>4 / REV_DEBT low half</t>
        </is>
      </c>
      <c r="E831" t="inlineStr">
        <is>
          <t>gco_rate</t>
        </is>
      </c>
      <c r="F831" t="inlineStr">
        <is>
          <t>GCO per booked dollar</t>
        </is>
      </c>
      <c r="G831" t="n">
        <v>20</v>
      </c>
      <c r="H831" t="n">
        <v>624252.8200000001</v>
      </c>
      <c r="I831" t="b">
        <v>1</v>
      </c>
      <c r="J831" t="b">
        <v>0</v>
      </c>
      <c r="K831" t="n">
        <v>0.4080123928920659</v>
      </c>
      <c r="M831" t="n">
        <v>0.6378299297910552</v>
      </c>
      <c r="O831" t="n">
        <v>-15397.27506772219</v>
      </c>
      <c r="P831" t="n">
        <v>-6025.766111240675</v>
      </c>
      <c r="Q831">
        <f>'_live'!$C$22</f>
        <v/>
      </c>
      <c r="T831" t="n">
        <v>0.04166493804180522</v>
      </c>
      <c r="U831" t="n">
        <v>0.02665257661349559</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0.01699981107013662</v>
      </c>
      <c r="AI831">
        <f>IF($Y831="worse","Yes",IF($Y831="worse, not significant","Not sure",IF(OR($Y831="too few losses to test",$Y831="too few loans to test"),"Too few losses",IF($Y831="","","No"))))</f>
        <v/>
      </c>
      <c r="AJ831">
        <f>IF($AA831="yes","Yes",IF($AA831="","","No"))</f>
        <v/>
      </c>
    </row>
    <row r="832">
      <c r="A832" t="inlineStr">
        <is>
          <t>three-way</t>
        </is>
      </c>
      <c r="B832" t="inlineStr">
        <is>
          <t>FICO x ASSET_CLASS / REV_DEBT</t>
        </is>
      </c>
      <c r="C832" t="inlineStr">
        <is>
          <t>(marked missing)</t>
        </is>
      </c>
      <c r="D832" t="inlineStr">
        <is>
          <t>4 / REV_DEBT low half</t>
        </is>
      </c>
      <c r="E832" t="inlineStr">
        <is>
          <t>ranr_rate</t>
        </is>
      </c>
      <c r="F832" t="inlineStr">
        <is>
          <t>Profit after losses: RANR per booked dollar</t>
        </is>
      </c>
      <c r="G832" t="n">
        <v>20</v>
      </c>
      <c r="H832" t="n">
        <v>624252.8200000001</v>
      </c>
      <c r="I832" t="b">
        <v>0</v>
      </c>
      <c r="J832" t="b">
        <v>0</v>
      </c>
      <c r="K832" t="n">
        <v>0.02230805533270511</v>
      </c>
      <c r="L832" t="n">
        <v>0.6838157093381571</v>
      </c>
      <c r="M832" t="n">
        <v>-0.005588786390498868</v>
      </c>
      <c r="N832" t="n">
        <v>0.938514844167757</v>
      </c>
      <c r="O832" t="n">
        <v>-13925.86645015721</v>
      </c>
      <c r="P832" t="n">
        <v>3488.815664646536</v>
      </c>
      <c r="Q832">
        <f>'_live'!$C$23</f>
        <v/>
      </c>
      <c r="R832" t="inlineStr">
        <is>
          <t>shuffled: 6,140 of 10,000</t>
        </is>
      </c>
      <c r="S832" t="inlineStr">
        <is>
          <t>shuffled: 8,826 of 10,000</t>
        </is>
      </c>
      <c r="T832" t="n">
        <v>0.1279360877374055</v>
      </c>
      <c r="U832" t="n">
        <v>0.1558329294606094</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0.1502441430701106</v>
      </c>
      <c r="AI832">
        <f>IF($Y832="worse","Yes",IF($Y832="worse, not significant","Not sure",IF(OR($Y832="too few losses to test",$Y832="too few loans to test"),"Too few losses",IF($Y832="","","No"))))</f>
        <v/>
      </c>
      <c r="AJ832">
        <f>IF($AA832="yes","Yes",IF($AA832="","","No"))</f>
        <v/>
      </c>
    </row>
    <row r="833">
      <c r="A833" t="inlineStr">
        <is>
          <t>three-way</t>
        </is>
      </c>
      <c r="B833" t="inlineStr">
        <is>
          <t>FICO x ASSET_CLASS / REV_DEBT</t>
        </is>
      </c>
      <c r="C833" t="inlineStr">
        <is>
          <t>(marked missing)</t>
        </is>
      </c>
      <c r="D833" t="inlineStr">
        <is>
          <t>4 / REV_DEBT low half</t>
        </is>
      </c>
      <c r="E833" t="inlineStr">
        <is>
          <t>contribution_rate</t>
        </is>
      </c>
      <c r="F833" t="inlineStr">
        <is>
          <t>Contribution before losses per booked dollar</t>
        </is>
      </c>
      <c r="G833" t="n">
        <v>20</v>
      </c>
      <c r="H833" t="n">
        <v>624252.8200000001</v>
      </c>
      <c r="I833" t="b">
        <v>0</v>
      </c>
      <c r="J833" t="b">
        <v>0</v>
      </c>
      <c r="K833" t="n">
        <v>-0.002354197138880881</v>
      </c>
      <c r="L833" t="n">
        <v>0.9612226277372263</v>
      </c>
      <c r="M833" t="n">
        <v>-0.01524155193385787</v>
      </c>
      <c r="N833" t="n">
        <v>0.8189950235745658</v>
      </c>
      <c r="O833" t="n">
        <v>1469.614202782337</v>
      </c>
      <c r="P833" t="n">
        <v>9514.581775887244</v>
      </c>
      <c r="Q833">
        <f>'_live'!$C$24</f>
        <v/>
      </c>
      <c r="R833" t="inlineStr">
        <is>
          <t>shuffled: 9,406 of 10,000</t>
        </is>
      </c>
      <c r="S833" t="inlineStr">
        <is>
          <t>shuffled: 6,399 of 10,000</t>
        </is>
      </c>
      <c r="T833" t="n">
        <v>0.1695981512791281</v>
      </c>
      <c r="U833" t="n">
        <v>0.1824855060741051</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0.1672439541402472</v>
      </c>
      <c r="AI833">
        <f>IF($Y833="worse","Yes",IF($Y833="worse, not significant","Not sure",IF(OR($Y833="too few losses to test",$Y833="too few loans to test"),"Too few losses",IF($Y833="","","No"))))</f>
        <v/>
      </c>
      <c r="AJ833">
        <f>IF($AA833="yes","Yes",IF($AA833="","","No"))</f>
        <v/>
      </c>
    </row>
    <row r="834">
      <c r="A834" t="inlineStr">
        <is>
          <t>three-way</t>
        </is>
      </c>
      <c r="B834" t="inlineStr">
        <is>
          <t>FICO x ASSET_CLASS / REV_DEBT</t>
        </is>
      </c>
      <c r="C834" t="inlineStr">
        <is>
          <t>(marked missing)</t>
        </is>
      </c>
      <c r="D834" t="inlineStr">
        <is>
          <t>2 / REV_DEBT high half</t>
        </is>
      </c>
      <c r="E834" t="inlineStr">
        <is>
          <t>outcome_loans</t>
        </is>
      </c>
      <c r="F834" t="inlineStr">
        <is>
          <t>Outcome, share of loans</t>
        </is>
      </c>
      <c r="G834" t="n">
        <v>18</v>
      </c>
      <c r="H834" t="n">
        <v>18</v>
      </c>
      <c r="I834" t="b">
        <v>1</v>
      </c>
      <c r="J834" t="b">
        <v>0</v>
      </c>
      <c r="K834" t="n">
        <v>2.88383017163505</v>
      </c>
      <c r="M834" t="n">
        <v>5.259259259259259</v>
      </c>
      <c r="O834" t="n">
        <v>2.61295576995364</v>
      </c>
      <c r="P834" t="n">
        <v>3.23943661971831</v>
      </c>
      <c r="Q834">
        <f>'_live'!$C$20</f>
        <v/>
      </c>
      <c r="T834" t="n">
        <v>0.07705801278035333</v>
      </c>
      <c r="U834" t="n">
        <v>0.04225352112676056</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0.2222222222222222</v>
      </c>
      <c r="AI834">
        <f>IF($Y834="worse","Yes",IF($Y834="worse, not significant","Not sure",IF(OR($Y834="too few losses to test",$Y834="too few loans to test"),"Too few losses",IF($Y834="","","No"))))</f>
        <v/>
      </c>
      <c r="AJ834">
        <f>IF($AA834="yes","Yes",IF($AA834="","","No"))</f>
        <v/>
      </c>
    </row>
    <row r="835">
      <c r="A835" t="inlineStr">
        <is>
          <t>three-way</t>
        </is>
      </c>
      <c r="B835" t="inlineStr">
        <is>
          <t>FICO x ASSET_CLASS / REV_DEBT</t>
        </is>
      </c>
      <c r="C835" t="inlineStr">
        <is>
          <t>(marked missing)</t>
        </is>
      </c>
      <c r="D835" t="inlineStr">
        <is>
          <t>2 / REV_DEBT high half</t>
        </is>
      </c>
      <c r="E835" t="inlineStr">
        <is>
          <t>outcome_booked</t>
        </is>
      </c>
      <c r="F835" t="inlineStr">
        <is>
          <t>Outcome, share of booked dollars</t>
        </is>
      </c>
      <c r="G835" t="n">
        <v>18</v>
      </c>
      <c r="H835" t="n">
        <v>484760.08</v>
      </c>
      <c r="I835" t="b">
        <v>1</v>
      </c>
      <c r="J835" t="b">
        <v>0</v>
      </c>
      <c r="K835" t="n">
        <v>2.105933626146098</v>
      </c>
      <c r="M835" t="n">
        <v>4.234259004339401</v>
      </c>
      <c r="O835" t="n">
        <v>40033.51208149126</v>
      </c>
      <c r="P835" t="n">
        <v>58228.64500182329</v>
      </c>
      <c r="Q835">
        <f>'_live'!$C$21</f>
        <v/>
      </c>
      <c r="T835" t="n">
        <v>0.07467371883944887</v>
      </c>
      <c r="U835" t="n">
        <v>0.03713941337367695</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0.1572578954933748</v>
      </c>
      <c r="AI835">
        <f>IF($Y835="worse","Yes",IF($Y835="worse, not significant","Not sure",IF(OR($Y835="too few losses to test",$Y835="too few loans to test"),"Too few losses",IF($Y835="","","No"))))</f>
        <v/>
      </c>
      <c r="AJ835">
        <f>IF($AA835="yes","Yes",IF($AA835="","","No"))</f>
        <v/>
      </c>
    </row>
    <row r="836">
      <c r="A836" t="inlineStr">
        <is>
          <t>three-way</t>
        </is>
      </c>
      <c r="B836" t="inlineStr">
        <is>
          <t>FICO x ASSET_CLASS / REV_DEBT</t>
        </is>
      </c>
      <c r="C836" t="inlineStr">
        <is>
          <t>(marked missing)</t>
        </is>
      </c>
      <c r="D836" t="inlineStr">
        <is>
          <t>2 / REV_DEBT high half</t>
        </is>
      </c>
      <c r="E836" t="inlineStr">
        <is>
          <t>gco_rate</t>
        </is>
      </c>
      <c r="F836" t="inlineStr">
        <is>
          <t>GCO per booked dollar</t>
        </is>
      </c>
      <c r="G836" t="n">
        <v>18</v>
      </c>
      <c r="H836" t="n">
        <v>484760.08</v>
      </c>
      <c r="I836" t="b">
        <v>1</v>
      </c>
      <c r="J836" t="b">
        <v>0</v>
      </c>
      <c r="K836" t="n">
        <v>2.244890453877892</v>
      </c>
      <c r="M836" t="n">
        <v>4.98718890278139</v>
      </c>
      <c r="O836" t="n">
        <v>25049.07809193743</v>
      </c>
      <c r="P836" t="n">
        <v>36113.26514615136</v>
      </c>
      <c r="Q836">
        <f>'_live'!$C$22</f>
        <v/>
      </c>
      <c r="T836" t="n">
        <v>0.04150818670560202</v>
      </c>
      <c r="U836" t="n">
        <v>0.01868413928359909</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0.0931813320931872</v>
      </c>
      <c r="AI836">
        <f>IF($Y836="worse","Yes",IF($Y836="worse, not significant","Not sure",IF(OR($Y836="too few losses to test",$Y836="too few loans to test"),"Too few losses",IF($Y836="","","No"))))</f>
        <v/>
      </c>
      <c r="AJ836">
        <f>IF($AA836="yes","Yes",IF($AA836="","","No"))</f>
        <v/>
      </c>
    </row>
    <row r="837">
      <c r="A837" t="inlineStr">
        <is>
          <t>three-way</t>
        </is>
      </c>
      <c r="B837" t="inlineStr">
        <is>
          <t>FICO x ASSET_CLASS / REV_DEBT</t>
        </is>
      </c>
      <c r="C837" t="inlineStr">
        <is>
          <t>(marked missing)</t>
        </is>
      </c>
      <c r="D837" t="inlineStr">
        <is>
          <t>2 / REV_DEBT high half</t>
        </is>
      </c>
      <c r="E837" t="inlineStr">
        <is>
          <t>ranr_rate</t>
        </is>
      </c>
      <c r="F837" t="inlineStr">
        <is>
          <t>Profit after losses: RANR per booked dollar</t>
        </is>
      </c>
      <c r="G837" t="n">
        <v>18</v>
      </c>
      <c r="H837" t="n">
        <v>484760.08</v>
      </c>
      <c r="I837" t="b">
        <v>0</v>
      </c>
      <c r="J837" t="b">
        <v>0</v>
      </c>
      <c r="K837" t="n">
        <v>-0.04641514928321848</v>
      </c>
      <c r="L837" t="n">
        <v>0.3933081691830816</v>
      </c>
      <c r="M837" t="n">
        <v>-0.08092973968872484</v>
      </c>
      <c r="N837" t="n">
        <v>0.1987001299870013</v>
      </c>
      <c r="O837" t="n">
        <v>22500.21147974494</v>
      </c>
      <c r="P837" t="n">
        <v>39231.50708588544</v>
      </c>
      <c r="Q837">
        <f>'_live'!$C$23</f>
        <v/>
      </c>
      <c r="R837" t="inlineStr">
        <is>
          <t>shuffled: 3,210 of 10,000</t>
        </is>
      </c>
      <c r="S837" t="inlineStr">
        <is>
          <t>shuffled: 577 of 10,000</t>
        </is>
      </c>
      <c r="T837" t="n">
        <v>0.1280772366399167</v>
      </c>
      <c r="U837" t="n">
        <v>0.162591827045423</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0.08166208735669818</v>
      </c>
      <c r="AI837">
        <f>IF($Y837="worse","Yes",IF($Y837="worse, not significant","Not sure",IF(OR($Y837="too few losses to test",$Y837="too few loans to test"),"Too few losses",IF($Y837="","","No"))))</f>
        <v/>
      </c>
      <c r="AJ837">
        <f>IF($AA837="yes","Yes",IF($AA837="","","No"))</f>
        <v/>
      </c>
    </row>
    <row r="838">
      <c r="A838" t="inlineStr">
        <is>
          <t>three-way</t>
        </is>
      </c>
      <c r="B838" t="inlineStr">
        <is>
          <t>FICO x ASSET_CLASS / REV_DEBT</t>
        </is>
      </c>
      <c r="C838" t="inlineStr">
        <is>
          <t>(marked missing)</t>
        </is>
      </c>
      <c r="D838" t="inlineStr">
        <is>
          <t>2 / REV_DEBT high half</t>
        </is>
      </c>
      <c r="E838" t="inlineStr">
        <is>
          <t>contribution_rate</t>
        </is>
      </c>
      <c r="F838" t="inlineStr">
        <is>
          <t>Contribution before losses per booked dollar</t>
        </is>
      </c>
      <c r="G838" t="n">
        <v>18</v>
      </c>
      <c r="H838" t="n">
        <v>484760.08</v>
      </c>
      <c r="I838" t="b">
        <v>0</v>
      </c>
      <c r="J838" t="b">
        <v>0</v>
      </c>
      <c r="K838" t="n">
        <v>0.005260847298196397</v>
      </c>
      <c r="L838" t="n">
        <v>0.9399437833994378</v>
      </c>
      <c r="M838" t="n">
        <v>-0.006432546879136775</v>
      </c>
      <c r="N838" t="n">
        <v>0.930997809309978</v>
      </c>
      <c r="O838" t="n">
        <v>-2550.248757141468</v>
      </c>
      <c r="P838" t="n">
        <v>3118.241939734085</v>
      </c>
      <c r="Q838">
        <f>'_live'!$C$24</f>
        <v/>
      </c>
      <c r="R838" t="inlineStr">
        <is>
          <t>shuffled: 8,632 of 10,000</t>
        </is>
      </c>
      <c r="S838" t="inlineStr">
        <is>
          <t>shuffled: 8,534 of 10,000</t>
        </is>
      </c>
      <c r="T838" t="n">
        <v>0.169582572151689</v>
      </c>
      <c r="U838" t="n">
        <v>0.1812759663290222</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0.1748434194498854</v>
      </c>
      <c r="AI838">
        <f>IF($Y838="worse","Yes",IF($Y838="worse, not significant","Not sure",IF(OR($Y838="too few losses to test",$Y838="too few loans to test"),"Too few losses",IF($Y838="","","No"))))</f>
        <v/>
      </c>
      <c r="AJ838">
        <f>IF($AA838="yes","Yes",IF($AA838="","","No"))</f>
        <v/>
      </c>
    </row>
    <row r="839">
      <c r="A839" t="inlineStr">
        <is>
          <t>three-way</t>
        </is>
      </c>
      <c r="B839" t="inlineStr">
        <is>
          <t>ORIG_BAL x CHANNEL / REV_DEBT</t>
        </is>
      </c>
      <c r="C839" t="inlineStr">
        <is>
          <t>5,005 - 15,448</t>
        </is>
      </c>
      <c r="D839" t="inlineStr">
        <is>
          <t>Online / REV_DEBT high half</t>
        </is>
      </c>
      <c r="E839" t="inlineStr">
        <is>
          <t>outcome_loans</t>
        </is>
      </c>
      <c r="F839" t="inlineStr">
        <is>
          <t>Outcome, share of loans</t>
        </is>
      </c>
      <c r="G839" t="n">
        <v>272</v>
      </c>
      <c r="H839" t="n">
        <v>272</v>
      </c>
      <c r="I839" t="b">
        <v>0</v>
      </c>
      <c r="J839" t="b">
        <v>0</v>
      </c>
      <c r="K839" t="n">
        <v>1.446931489064216</v>
      </c>
      <c r="L839" t="n">
        <v>0.08595868254706537</v>
      </c>
      <c r="M839" t="n">
        <v>1.574952561669829</v>
      </c>
      <c r="N839" t="n">
        <v>0.06267709946091593</v>
      </c>
      <c r="O839" t="n">
        <v>9.26646822829041</v>
      </c>
      <c r="P839" t="n">
        <v>10.95180722891566</v>
      </c>
      <c r="Q839">
        <f>'_live'!$C$20</f>
        <v/>
      </c>
      <c r="R839" t="inlineStr">
        <is>
          <t>z test</t>
        </is>
      </c>
      <c r="S839" t="inlineStr">
        <is>
          <t>z test</t>
        </is>
      </c>
      <c r="T839" t="n">
        <v>0.07622621974893232</v>
      </c>
      <c r="U839" t="n">
        <v>0.07003012048192771</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0.1102941176470588</v>
      </c>
      <c r="AI839">
        <f>IF($Y839="worse","Yes",IF($Y839="worse, not significant","Not sure",IF(OR($Y839="too few losses to test",$Y839="too few loans to test"),"Too few losses",IF($Y839="","","No"))))</f>
        <v/>
      </c>
      <c r="AJ839">
        <f>IF($AA839="yes","Yes",IF($AA839="","","No"))</f>
        <v/>
      </c>
    </row>
    <row r="840">
      <c r="A840" t="inlineStr">
        <is>
          <t>three-way</t>
        </is>
      </c>
      <c r="B840" t="inlineStr">
        <is>
          <t>ORIG_BAL x CHANNEL / REV_DEBT</t>
        </is>
      </c>
      <c r="C840" t="inlineStr">
        <is>
          <t>5,005 - 15,448</t>
        </is>
      </c>
      <c r="D840" t="inlineStr">
        <is>
          <t>Online / REV_DEBT high half</t>
        </is>
      </c>
      <c r="E840" t="inlineStr">
        <is>
          <t>outcome_booked</t>
        </is>
      </c>
      <c r="F840" t="inlineStr">
        <is>
          <t>Outcome, share of booked dollars</t>
        </is>
      </c>
      <c r="G840" t="n">
        <v>272</v>
      </c>
      <c r="H840" t="n">
        <v>2787906.930000001</v>
      </c>
      <c r="I840" t="b">
        <v>0</v>
      </c>
      <c r="J840" t="b">
        <v>0</v>
      </c>
      <c r="K840" t="n">
        <v>1.332777895062931</v>
      </c>
      <c r="L840" t="n">
        <v>0.2694730526947305</v>
      </c>
      <c r="M840" t="n">
        <v>1.406755268301908</v>
      </c>
      <c r="N840" t="n">
        <v>0.1619282516192825</v>
      </c>
      <c r="O840" t="n">
        <v>69174.05139800161</v>
      </c>
      <c r="P840" t="n">
        <v>80105.28305678855</v>
      </c>
      <c r="Q840">
        <f>'_live'!$C$21</f>
        <v/>
      </c>
      <c r="R840" t="inlineStr">
        <is>
          <t>shuffled: 1,616 of 10,000</t>
        </is>
      </c>
      <c r="S840" t="inlineStr">
        <is>
          <t>shuffled: 1,165 of 10,000</t>
        </is>
      </c>
      <c r="T840" t="n">
        <v>0.07456078478272525</v>
      </c>
      <c r="U840" t="n">
        <v>0.07063983909362832</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0.09937296579696075</v>
      </c>
      <c r="AI840">
        <f>IF($Y840="worse","Yes",IF($Y840="worse, not significant","Not sure",IF(OR($Y840="too few losses to test",$Y840="too few loans to test"),"Too few losses",IF($Y840="","","No"))))</f>
        <v/>
      </c>
      <c r="AJ840">
        <f>IF($AA840="yes","Yes",IF($AA840="","","No"))</f>
        <v/>
      </c>
    </row>
    <row r="841">
      <c r="A841" t="inlineStr">
        <is>
          <t>three-way</t>
        </is>
      </c>
      <c r="B841" t="inlineStr">
        <is>
          <t>ORIG_BAL x CHANNEL / REV_DEBT</t>
        </is>
      </c>
      <c r="C841" t="inlineStr">
        <is>
          <t>5,005 - 15,448</t>
        </is>
      </c>
      <c r="D841" t="inlineStr">
        <is>
          <t>Online / REV_DEBT high half</t>
        </is>
      </c>
      <c r="E841" t="inlineStr">
        <is>
          <t>gco_rate</t>
        </is>
      </c>
      <c r="F841" t="inlineStr">
        <is>
          <t>GCO per booked dollar</t>
        </is>
      </c>
      <c r="G841" t="n">
        <v>272</v>
      </c>
      <c r="H841" t="n">
        <v>2787906.930000001</v>
      </c>
      <c r="I841" t="b">
        <v>0</v>
      </c>
      <c r="J841" t="b">
        <v>0</v>
      </c>
      <c r="K841" t="n">
        <v>1.250306476257811</v>
      </c>
      <c r="L841" t="n">
        <v>0.4606892251951276</v>
      </c>
      <c r="M841" t="n">
        <v>1.322632862126263</v>
      </c>
      <c r="N841" t="n">
        <v>0.2758474152584741</v>
      </c>
      <c r="O841" t="n">
        <v>28955.1422342306</v>
      </c>
      <c r="P841" t="n">
        <v>35280.87835536405</v>
      </c>
      <c r="Q841">
        <f>'_live'!$C$22</f>
        <v/>
      </c>
      <c r="R841" t="inlineStr">
        <is>
          <t>shuffled: 3,112 of 10,000</t>
        </is>
      </c>
      <c r="S841" t="inlineStr">
        <is>
          <t>shuffled: 2,206 of 10,000</t>
        </is>
      </c>
      <c r="T841" t="n">
        <v>0.0414930486096856</v>
      </c>
      <c r="U841" t="n">
        <v>0.03922405747046796</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0.05187902739637006</v>
      </c>
      <c r="AI841">
        <f>IF($Y841="worse","Yes",IF($Y841="worse, not significant","Not sure",IF(OR($Y841="too few losses to test",$Y841="too few loans to test"),"Too few losses",IF($Y841="","","No"))))</f>
        <v/>
      </c>
      <c r="AJ841">
        <f>IF($AA841="yes","Yes",IF($AA841="","","No"))</f>
        <v/>
      </c>
    </row>
    <row r="842">
      <c r="A842" t="inlineStr">
        <is>
          <t>three-way</t>
        </is>
      </c>
      <c r="B842" t="inlineStr">
        <is>
          <t>ORIG_BAL x CHANNEL / REV_DEBT</t>
        </is>
      </c>
      <c r="C842" t="inlineStr">
        <is>
          <t>5,005 - 15,448</t>
        </is>
      </c>
      <c r="D842" t="inlineStr">
        <is>
          <t>Online / REV_DEBT high half</t>
        </is>
      </c>
      <c r="E842" t="inlineStr">
        <is>
          <t>ranr_rate</t>
        </is>
      </c>
      <c r="F842" t="inlineStr">
        <is>
          <t>Profit after losses: RANR per booked dollar</t>
        </is>
      </c>
      <c r="G842" t="n">
        <v>272</v>
      </c>
      <c r="H842" t="n">
        <v>2787906.930000001</v>
      </c>
      <c r="I842" t="b">
        <v>0</v>
      </c>
      <c r="J842" t="b">
        <v>0</v>
      </c>
      <c r="K842" t="n">
        <v>0.04154243619774692</v>
      </c>
      <c r="L842" t="n">
        <v>0.0317968203179682</v>
      </c>
      <c r="M842" t="n">
        <v>0.02704932131550083</v>
      </c>
      <c r="N842" t="n">
        <v>0.08535510085355101</v>
      </c>
      <c r="O842" t="n">
        <v>-115816.4457647815</v>
      </c>
      <c r="P842" t="n">
        <v>-75410.99034728151</v>
      </c>
      <c r="Q842">
        <f>'_live'!$C$23</f>
        <v/>
      </c>
      <c r="R842" t="inlineStr">
        <is>
          <t>shuffled: 12 of 10,000</t>
        </is>
      </c>
      <c r="S842" t="inlineStr">
        <is>
          <t>shuffled: 312 of 10,000</t>
        </is>
      </c>
      <c r="T842" t="n">
        <v>0.1275412677550246</v>
      </c>
      <c r="U842" t="n">
        <v>0.1420343826372707</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0.1690837039527715</v>
      </c>
      <c r="AI842">
        <f>IF($Y842="worse","Yes",IF($Y842="worse, not significant","Not sure",IF(OR($Y842="too few losses to test",$Y842="too few loans to test"),"Too few losses",IF($Y842="","","No"))))</f>
        <v/>
      </c>
      <c r="AJ842">
        <f>IF($AA842="yes","Yes",IF($AA842="","","No"))</f>
        <v/>
      </c>
    </row>
    <row r="843">
      <c r="A843" t="inlineStr">
        <is>
          <t>three-way</t>
        </is>
      </c>
      <c r="B843" t="inlineStr">
        <is>
          <t>ORIG_BAL x CHANNEL / REV_DEBT</t>
        </is>
      </c>
      <c r="C843" t="inlineStr">
        <is>
          <t>5,005 - 15,448</t>
        </is>
      </c>
      <c r="D843" t="inlineStr">
        <is>
          <t>Online / REV_DEBT high half</t>
        </is>
      </c>
      <c r="E843" t="inlineStr">
        <is>
          <t>contribution_rate</t>
        </is>
      </c>
      <c r="F843" t="inlineStr">
        <is>
          <t>Contribution before losses per booked dollar</t>
        </is>
      </c>
      <c r="G843" t="n">
        <v>272</v>
      </c>
      <c r="H843" t="n">
        <v>2787906.930000001</v>
      </c>
      <c r="I843" t="b">
        <v>0</v>
      </c>
      <c r="J843" t="b">
        <v>0</v>
      </c>
      <c r="K843" t="n">
        <v>0.05193137523736049</v>
      </c>
      <c r="L843" t="n">
        <v>0.000176452942941</v>
      </c>
      <c r="M843" t="n">
        <v>0.03970429124140276</v>
      </c>
      <c r="N843" t="n">
        <v>0.0001578789489472106</v>
      </c>
      <c r="O843" t="n">
        <v>-144779.8409086678</v>
      </c>
      <c r="P843" t="n">
        <v>-110691.8687026451</v>
      </c>
      <c r="Q843">
        <f>'_live'!$C$24</f>
        <v/>
      </c>
      <c r="R843" t="inlineStr">
        <is>
          <t>shuffled: 0 of 10,000</t>
        </is>
      </c>
      <c r="S843" t="inlineStr">
        <is>
          <t>shuffled: 0 of 10,000</t>
        </is>
      </c>
      <c r="T843" t="n">
        <v>0.1690313561117809</v>
      </c>
      <c r="U843" t="n">
        <v>0.1812584401077387</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0.2209627313491414</v>
      </c>
      <c r="AI843">
        <f>IF($Y843="worse","Yes",IF($Y843="worse, not significant","Not sure",IF(OR($Y843="too few losses to test",$Y843="too few loans to test"),"Too few losses",IF($Y843="","","No"))))</f>
        <v/>
      </c>
      <c r="AJ843">
        <f>IF($AA843="yes","Yes",IF($AA843="","","No"))</f>
        <v/>
      </c>
    </row>
    <row r="844">
      <c r="A844" t="inlineStr">
        <is>
          <t>three-way</t>
        </is>
      </c>
      <c r="B844" t="inlineStr">
        <is>
          <t>ORIG_BAL x CHANNEL / REV_DEBT</t>
        </is>
      </c>
      <c r="C844" t="inlineStr">
        <is>
          <t>26,324 - 37,950</t>
        </is>
      </c>
      <c r="D844" t="inlineStr">
        <is>
          <t>Broker / REV_DEBT high half</t>
        </is>
      </c>
      <c r="E844" t="inlineStr">
        <is>
          <t>outcome_loans</t>
        </is>
      </c>
      <c r="F844" t="inlineStr">
        <is>
          <t>Outcome, share of loans</t>
        </is>
      </c>
      <c r="G844" t="n">
        <v>276</v>
      </c>
      <c r="H844" t="n">
        <v>276</v>
      </c>
      <c r="I844" t="b">
        <v>0</v>
      </c>
      <c r="J844" t="b">
        <v>0</v>
      </c>
      <c r="K844" t="n">
        <v>1.67699647607703</v>
      </c>
      <c r="L844" t="n">
        <v>0.008813305989324619</v>
      </c>
      <c r="M844" t="n">
        <v>2.235265700483092</v>
      </c>
      <c r="N844" t="n">
        <v>0.0002401139378653343</v>
      </c>
      <c r="O844" t="n">
        <v>14.12935387802667</v>
      </c>
      <c r="P844" t="n">
        <v>19.34190620272314</v>
      </c>
      <c r="Q844">
        <f>'_live'!$C$20</f>
        <v/>
      </c>
      <c r="R844" t="inlineStr">
        <is>
          <t>z test</t>
        </is>
      </c>
      <c r="S844" t="inlineStr">
        <is>
          <t>z test</t>
        </is>
      </c>
      <c r="T844" t="n">
        <v>0.075618283050628</v>
      </c>
      <c r="U844" t="n">
        <v>0.056732223903177</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0.1268115942028986</v>
      </c>
      <c r="AI844">
        <f>IF($Y844="worse","Yes",IF($Y844="worse, not significant","Not sure",IF(OR($Y844="too few losses to test",$Y844="too few loans to test"),"Too few losses",IF($Y844="","","No"))))</f>
        <v/>
      </c>
      <c r="AJ844">
        <f>IF($AA844="yes","Yes",IF($AA844="","","No"))</f>
        <v/>
      </c>
    </row>
    <row r="845">
      <c r="A845" t="inlineStr">
        <is>
          <t>three-way</t>
        </is>
      </c>
      <c r="B845" t="inlineStr">
        <is>
          <t>ORIG_BAL x CHANNEL / REV_DEBT</t>
        </is>
      </c>
      <c r="C845" t="inlineStr">
        <is>
          <t>26,324 - 37,950</t>
        </is>
      </c>
      <c r="D845" t="inlineStr">
        <is>
          <t>Broker / REV_DEBT high half</t>
        </is>
      </c>
      <c r="E845" t="inlineStr">
        <is>
          <t>outcome_booked</t>
        </is>
      </c>
      <c r="F845" t="inlineStr">
        <is>
          <t>Outcome, share of booked dollars</t>
        </is>
      </c>
      <c r="G845" t="n">
        <v>276</v>
      </c>
      <c r="H845" t="n">
        <v>8912663.560000001</v>
      </c>
      <c r="I845" t="b">
        <v>0</v>
      </c>
      <c r="J845" t="b">
        <v>0</v>
      </c>
      <c r="K845" t="n">
        <v>1.734194981981523</v>
      </c>
      <c r="L845" t="n">
        <v>0.01437356264373563</v>
      </c>
      <c r="M845" t="n">
        <v>2.261545675085072</v>
      </c>
      <c r="N845" t="n">
        <v>0.001666500016665</v>
      </c>
      <c r="O845" t="n">
        <v>477542.2549484033</v>
      </c>
      <c r="P845" t="n">
        <v>629210.461629757</v>
      </c>
      <c r="Q845">
        <f>'_live'!$C$21</f>
        <v/>
      </c>
      <c r="R845" t="inlineStr">
        <is>
          <t>shuffled: 22 of 10,000</t>
        </is>
      </c>
      <c r="S845" t="inlineStr">
        <is>
          <t>shuffled: 1 of 10,000</t>
        </is>
      </c>
      <c r="T845" t="n">
        <v>0.07297815525885243</v>
      </c>
      <c r="U845" t="n">
        <v>0.05596099695815767</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0.1265583506441704</v>
      </c>
      <c r="AI845">
        <f>IF($Y845="worse","Yes",IF($Y845="worse, not significant","Not sure",IF(OR($Y845="too few losses to test",$Y845="too few loans to test"),"Too few losses",IF($Y845="","","No"))))</f>
        <v/>
      </c>
      <c r="AJ845">
        <f>IF($AA845="yes","Yes",IF($AA845="","","No"))</f>
        <v/>
      </c>
    </row>
    <row r="846">
      <c r="A846" t="inlineStr">
        <is>
          <t>three-way</t>
        </is>
      </c>
      <c r="B846" t="inlineStr">
        <is>
          <t>ORIG_BAL x CHANNEL / REV_DEBT</t>
        </is>
      </c>
      <c r="C846" t="inlineStr">
        <is>
          <t>26,324 - 37,950</t>
        </is>
      </c>
      <c r="D846" t="inlineStr">
        <is>
          <t>Broker / REV_DEBT high half</t>
        </is>
      </c>
      <c r="E846" t="inlineStr">
        <is>
          <t>gco_rate</t>
        </is>
      </c>
      <c r="F846" t="inlineStr">
        <is>
          <t>GCO per booked dollar</t>
        </is>
      </c>
      <c r="G846" t="n">
        <v>276</v>
      </c>
      <c r="H846" t="n">
        <v>8912663.560000001</v>
      </c>
      <c r="I846" t="b">
        <v>0</v>
      </c>
      <c r="J846" t="b">
        <v>0</v>
      </c>
      <c r="K846" t="n">
        <v>1.747719896469389</v>
      </c>
      <c r="L846" t="n">
        <v>0.013998600139986</v>
      </c>
      <c r="M846" t="n">
        <v>2.329307148104373</v>
      </c>
      <c r="N846" t="n">
        <v>0.001666500016665</v>
      </c>
      <c r="O846" t="n">
        <v>270284.1076002949</v>
      </c>
      <c r="P846" t="n">
        <v>360538.7795599052</v>
      </c>
      <c r="Q846">
        <f>'_live'!$C$22</f>
        <v/>
      </c>
      <c r="R846" t="inlineStr">
        <is>
          <t>shuffled: 27 of 10,000</t>
        </is>
      </c>
      <c r="S846" t="inlineStr">
        <is>
          <t>shuffled: 1 of 10,000</t>
        </is>
      </c>
      <c r="T846" t="n">
        <v>0.04055776928706429</v>
      </c>
      <c r="U846" t="n">
        <v>0.03043120371527799</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0.07088362033941736</v>
      </c>
      <c r="AI846">
        <f>IF($Y846="worse","Yes",IF($Y846="worse, not significant","Not sure",IF(OR($Y846="too few losses to test",$Y846="too few loans to test"),"Too few losses",IF($Y846="","","No"))))</f>
        <v/>
      </c>
      <c r="AJ846">
        <f>IF($AA846="yes","Yes",IF($AA846="","","No"))</f>
        <v/>
      </c>
    </row>
    <row r="847">
      <c r="A847" t="inlineStr">
        <is>
          <t>three-way</t>
        </is>
      </c>
      <c r="B847" t="inlineStr">
        <is>
          <t>ORIG_BAL x CHANNEL / REV_DEBT</t>
        </is>
      </c>
      <c r="C847" t="inlineStr">
        <is>
          <t>26,324 - 37,950</t>
        </is>
      </c>
      <c r="D847" t="inlineStr">
        <is>
          <t>Broker / REV_DEBT high half</t>
        </is>
      </c>
      <c r="E847" t="inlineStr">
        <is>
          <t>ranr_rate</t>
        </is>
      </c>
      <c r="F847" t="inlineStr">
        <is>
          <t>Profit after losses: RANR per booked dollar</t>
        </is>
      </c>
      <c r="G847" t="n">
        <v>276</v>
      </c>
      <c r="H847" t="n">
        <v>8912663.560000001</v>
      </c>
      <c r="I847" t="b">
        <v>0</v>
      </c>
      <c r="J847" t="b">
        <v>0</v>
      </c>
      <c r="K847" t="n">
        <v>-0.01550850017002062</v>
      </c>
      <c r="L847" t="n">
        <v>0.3173682631736826</v>
      </c>
      <c r="M847" t="n">
        <v>-0.02212081860088269</v>
      </c>
      <c r="N847" t="n">
        <v>0.108695012851656</v>
      </c>
      <c r="O847" t="n">
        <v>138222.0443355965</v>
      </c>
      <c r="P847" t="n">
        <v>197155.4138614573</v>
      </c>
      <c r="Q847">
        <f>'_live'!$C$23</f>
        <v/>
      </c>
      <c r="R847" t="inlineStr">
        <is>
          <t>shuffled: 2,115 of 10,000</t>
        </is>
      </c>
      <c r="S847" t="inlineStr">
        <is>
          <t>shuffled: 615 of 10,000</t>
        </is>
      </c>
      <c r="T847" t="n">
        <v>0.128525651913601</v>
      </c>
      <c r="U847" t="n">
        <v>0.1351379703444631</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0.1130171517435804</v>
      </c>
      <c r="AI847">
        <f>IF($Y847="worse","Yes",IF($Y847="worse, not significant","Not sure",IF(OR($Y847="too few losses to test",$Y847="too few loans to test"),"Too few losses",IF($Y847="","","No"))))</f>
        <v/>
      </c>
      <c r="AJ847">
        <f>IF($AA847="yes","Yes",IF($AA847="","","No"))</f>
        <v/>
      </c>
    </row>
    <row r="848">
      <c r="A848" t="inlineStr">
        <is>
          <t>three-way</t>
        </is>
      </c>
      <c r="B848" t="inlineStr">
        <is>
          <t>ORIG_BAL x CHANNEL / REV_DEBT</t>
        </is>
      </c>
      <c r="C848" t="inlineStr">
        <is>
          <t>26,324 - 37,950</t>
        </is>
      </c>
      <c r="D848" t="inlineStr">
        <is>
          <t>Broker / REV_DEBT high half</t>
        </is>
      </c>
      <c r="E848" t="inlineStr">
        <is>
          <t>contribution_rate</t>
        </is>
      </c>
      <c r="F848" t="inlineStr">
        <is>
          <t>Contribution before losses per booked dollar</t>
        </is>
      </c>
      <c r="G848" t="n">
        <v>276</v>
      </c>
      <c r="H848" t="n">
        <v>8912663.560000001</v>
      </c>
      <c r="I848" t="b">
        <v>0</v>
      </c>
      <c r="J848" t="b">
        <v>0</v>
      </c>
      <c r="K848" t="n">
        <v>0.01482022710257305</v>
      </c>
      <c r="L848" t="n">
        <v>0.07243720072437201</v>
      </c>
      <c r="M848" t="n">
        <v>0.01833159802325651</v>
      </c>
      <c r="N848" t="n">
        <v>0.02272849638113112</v>
      </c>
      <c r="O848" t="n">
        <v>-132087.6980480272</v>
      </c>
      <c r="P848" t="n">
        <v>-163383.3656984463</v>
      </c>
      <c r="Q848">
        <f>'_live'!$C$24</f>
        <v/>
      </c>
      <c r="R848" t="inlineStr">
        <is>
          <t>shuffled: 651 of 10,000</t>
        </is>
      </c>
      <c r="S848" t="inlineStr">
        <is>
          <t>shuffled: 196 of 10,000</t>
        </is>
      </c>
      <c r="T848" t="n">
        <v>0.1690805449804246</v>
      </c>
      <c r="U848" t="n">
        <v>0.1655691740597412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0.1839007720829977</v>
      </c>
      <c r="AI848">
        <f>IF($Y848="worse","Yes",IF($Y848="worse, not significant","Not sure",IF(OR($Y848="too few losses to test",$Y848="too few loans to test"),"Too few losses",IF($Y848="","","No"))))</f>
        <v/>
      </c>
      <c r="AJ848">
        <f>IF($AA848="yes","Yes",IF($AA848="","","No"))</f>
        <v/>
      </c>
    </row>
    <row r="849">
      <c r="A849" t="inlineStr">
        <is>
          <t>three-way</t>
        </is>
      </c>
      <c r="B849" t="inlineStr">
        <is>
          <t>ORIG_BAL x CHANNEL / REV_DEBT</t>
        </is>
      </c>
      <c r="C849" t="inlineStr">
        <is>
          <t>37,951 - 49,151</t>
        </is>
      </c>
      <c r="D849" t="inlineStr">
        <is>
          <t>Branch / REV_DEBT low half</t>
        </is>
      </c>
      <c r="E849" t="inlineStr">
        <is>
          <t>outcome_loans</t>
        </is>
      </c>
      <c r="F849" t="inlineStr">
        <is>
          <t>Outcome, share of loans</t>
        </is>
      </c>
      <c r="G849" t="n">
        <v>263</v>
      </c>
      <c r="H849" t="n">
        <v>263</v>
      </c>
      <c r="I849" t="b">
        <v>1</v>
      </c>
      <c r="J849" t="b">
        <v>0</v>
      </c>
      <c r="K849" t="n">
        <v>0.4339836688898586</v>
      </c>
      <c r="M849" t="n">
        <v>0.3660228136882129</v>
      </c>
      <c r="O849" t="n">
        <v>-11.73810754912099</v>
      </c>
      <c r="P849" t="n">
        <v>-15.58863126402393</v>
      </c>
      <c r="Q849">
        <f>'_live'!$C$20</f>
        <v/>
      </c>
      <c r="T849" t="n">
        <v>0.07885211995863495</v>
      </c>
      <c r="U849" t="n">
        <v>0.09349289454001496</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0.03422053231939164</v>
      </c>
      <c r="AI849">
        <f>IF($Y849="worse","Yes",IF($Y849="worse, not significant","Not sure",IF(OR($Y849="too few losses to test",$Y849="too few loans to test"),"Too few losses",IF($Y849="","","No"))))</f>
        <v/>
      </c>
      <c r="AJ849">
        <f>IF($AA849="yes","Yes",IF($AA849="","","No"))</f>
        <v/>
      </c>
    </row>
    <row r="850">
      <c r="A850" t="inlineStr">
        <is>
          <t>three-way</t>
        </is>
      </c>
      <c r="B850" t="inlineStr">
        <is>
          <t>ORIG_BAL x CHANNEL / REV_DEBT</t>
        </is>
      </c>
      <c r="C850" t="inlineStr">
        <is>
          <t>37,951 - 49,151</t>
        </is>
      </c>
      <c r="D850" t="inlineStr">
        <is>
          <t>Branch / REV_DEBT low half</t>
        </is>
      </c>
      <c r="E850" t="inlineStr">
        <is>
          <t>outcome_booked</t>
        </is>
      </c>
      <c r="F850" t="inlineStr">
        <is>
          <t>Outcome, share of booked dollars</t>
        </is>
      </c>
      <c r="G850" t="n">
        <v>263</v>
      </c>
      <c r="H850" t="n">
        <v>11534635.45</v>
      </c>
      <c r="I850" t="b">
        <v>1</v>
      </c>
      <c r="J850" t="b">
        <v>0</v>
      </c>
      <c r="K850" t="n">
        <v>0.426203222289767</v>
      </c>
      <c r="M850" t="n">
        <v>0.3516686653372483</v>
      </c>
      <c r="O850" t="n">
        <v>-508295.446185482</v>
      </c>
      <c r="P850" t="n">
        <v>-696046.3839825151</v>
      </c>
      <c r="Q850">
        <f>'_live'!$C$21</f>
        <v/>
      </c>
      <c r="T850" t="n">
        <v>0.07679876577161197</v>
      </c>
      <c r="U850" t="n">
        <v>0.09307591112318295</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0.03273188143973809</v>
      </c>
      <c r="AI850">
        <f>IF($Y850="worse","Yes",IF($Y850="worse, not significant","Not sure",IF(OR($Y850="too few losses to test",$Y850="too few loans to test"),"Too few losses",IF($Y850="","","No"))))</f>
        <v/>
      </c>
      <c r="AJ850">
        <f>IF($AA850="yes","Yes",IF($AA850="","","No"))</f>
        <v/>
      </c>
    </row>
    <row r="851">
      <c r="A851" t="inlineStr">
        <is>
          <t>three-way</t>
        </is>
      </c>
      <c r="B851" t="inlineStr">
        <is>
          <t>ORIG_BAL x CHANNEL / REV_DEBT</t>
        </is>
      </c>
      <c r="C851" t="inlineStr">
        <is>
          <t>37,951 - 49,151</t>
        </is>
      </c>
      <c r="D851" t="inlineStr">
        <is>
          <t>Branch / REV_DEBT low half</t>
        </is>
      </c>
      <c r="E851" t="inlineStr">
        <is>
          <t>gco_rate</t>
        </is>
      </c>
      <c r="F851" t="inlineStr">
        <is>
          <t>GCO per booked dollar</t>
        </is>
      </c>
      <c r="G851" t="n">
        <v>262</v>
      </c>
      <c r="H851" t="n">
        <v>11494951.02</v>
      </c>
      <c r="I851" t="b">
        <v>1</v>
      </c>
      <c r="J851" t="b">
        <v>0</v>
      </c>
      <c r="K851" t="n">
        <v>0.4117206321320791</v>
      </c>
      <c r="M851" t="n">
        <v>0.3348588623073604</v>
      </c>
      <c r="O851" t="n">
        <v>-288916.6249430858</v>
      </c>
      <c r="P851" t="n">
        <v>-401646.1036683213</v>
      </c>
      <c r="Q851">
        <f>'_live'!$C$22</f>
        <v/>
      </c>
      <c r="T851" t="n">
        <v>0.04272497238905903</v>
      </c>
      <c r="U851" t="n">
        <v>0.05253184138128858</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0.01759075263984901</v>
      </c>
      <c r="AI851">
        <f>IF($Y851="worse","Yes",IF($Y851="worse, not significant","Not sure",IF(OR($Y851="too few losses to test",$Y851="too few loans to test"),"Too few losses",IF($Y851="","","No"))))</f>
        <v/>
      </c>
      <c r="AJ851">
        <f>IF($AA851="yes","Yes",IF($AA851="","","No"))</f>
        <v/>
      </c>
    </row>
    <row r="852">
      <c r="A852" t="inlineStr">
        <is>
          <t>three-way</t>
        </is>
      </c>
      <c r="B852" t="inlineStr">
        <is>
          <t>ORIG_BAL x CHANNEL / REV_DEBT</t>
        </is>
      </c>
      <c r="C852" t="inlineStr">
        <is>
          <t>37,951 - 49,151</t>
        </is>
      </c>
      <c r="D852" t="inlineStr">
        <is>
          <t>Branch / REV_DEBT low half</t>
        </is>
      </c>
      <c r="E852" t="inlineStr">
        <is>
          <t>ranr_rate</t>
        </is>
      </c>
      <c r="F852" t="inlineStr">
        <is>
          <t>Profit after losses: RANR per booked dollar</t>
        </is>
      </c>
      <c r="G852" t="n">
        <v>263</v>
      </c>
      <c r="H852" t="n">
        <v>11534635.45</v>
      </c>
      <c r="I852" t="b">
        <v>0</v>
      </c>
      <c r="J852" t="b">
        <v>0</v>
      </c>
      <c r="K852" t="n">
        <v>-0.0286775953499588</v>
      </c>
      <c r="L852" t="n">
        <v>0.06160922369301532</v>
      </c>
      <c r="M852" t="n">
        <v>-0.02616430142495228</v>
      </c>
      <c r="N852" t="n">
        <v>0.1003899610038996</v>
      </c>
      <c r="O852" t="n">
        <v>330785.6079443898</v>
      </c>
      <c r="P852" t="n">
        <v>301795.6787407401</v>
      </c>
      <c r="Q852">
        <f>'_live'!$C$23</f>
        <v/>
      </c>
      <c r="R852" t="inlineStr">
        <is>
          <t>shuffled: 249 of 10,000</t>
        </is>
      </c>
      <c r="S852" t="inlineStr">
        <is>
          <t>shuffled: 482 of 10,000</t>
        </is>
      </c>
      <c r="T852" t="n">
        <v>0.1292718243595978</v>
      </c>
      <c r="U852" t="n">
        <v>0.1267585304345913</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0.100594229009639</v>
      </c>
      <c r="AI852">
        <f>IF($Y852="worse","Yes",IF($Y852="worse, not significant","Not sure",IF(OR($Y852="too few losses to test",$Y852="too few loans to test"),"Too few losses",IF($Y852="","","No"))))</f>
        <v/>
      </c>
      <c r="AJ852">
        <f>IF($AA852="yes","Yes",IF($AA852="","","No"))</f>
        <v/>
      </c>
    </row>
    <row r="853">
      <c r="A853" t="inlineStr">
        <is>
          <t>three-way</t>
        </is>
      </c>
      <c r="B853" t="inlineStr">
        <is>
          <t>ORIG_BAL x CHANNEL / REV_DEBT</t>
        </is>
      </c>
      <c r="C853" t="inlineStr">
        <is>
          <t>37,951 - 49,151</t>
        </is>
      </c>
      <c r="D853" t="inlineStr">
        <is>
          <t>Branch / REV_DEBT low half</t>
        </is>
      </c>
      <c r="E853" t="inlineStr">
        <is>
          <t>contribution_rate</t>
        </is>
      </c>
      <c r="F853" t="inlineStr">
        <is>
          <t>Contribution before losses per booked dollar</t>
        </is>
      </c>
      <c r="G853" t="n">
        <v>262</v>
      </c>
      <c r="H853" t="n">
        <v>11494951.02</v>
      </c>
      <c r="I853" t="b">
        <v>0</v>
      </c>
      <c r="J853" t="b">
        <v>0</v>
      </c>
      <c r="K853" t="n">
        <v>-0.05397057657255709</v>
      </c>
      <c r="L853" t="n">
        <v>0.000176452942941</v>
      </c>
      <c r="M853" t="n">
        <v>-0.06126415163978026</v>
      </c>
      <c r="N853" t="n">
        <v>0.0001578789489472106</v>
      </c>
      <c r="O853" t="n">
        <v>620389.1342227031</v>
      </c>
      <c r="P853" t="n">
        <v>704228.4223811266</v>
      </c>
      <c r="Q853">
        <f>'_live'!$C$24</f>
        <v/>
      </c>
      <c r="R853" t="inlineStr">
        <is>
          <t>shuffled: 0 of 10,000</t>
        </is>
      </c>
      <c r="S853" t="inlineStr">
        <is>
          <t>shuffled: 0 of 10,000</t>
        </is>
      </c>
      <c r="T853" t="n">
        <v>0.1719967967486567</v>
      </c>
      <c r="U853" t="n">
        <v>0.1792903718158799</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0.1180262201760996</v>
      </c>
      <c r="AI853">
        <f>IF($Y853="worse","Yes",IF($Y853="worse, not significant","Not sure",IF(OR($Y853="too few losses to test",$Y853="too few loans to test"),"Too few losses",IF($Y853="","","No"))))</f>
        <v/>
      </c>
      <c r="AJ853">
        <f>IF($AA853="yes","Yes",IF($AA853="","","No"))</f>
        <v/>
      </c>
    </row>
    <row r="854">
      <c r="A854" t="inlineStr">
        <is>
          <t>three-way</t>
        </is>
      </c>
      <c r="B854" t="inlineStr">
        <is>
          <t>ORIG_BAL x CHANNEL / REV_DEBT</t>
        </is>
      </c>
      <c r="C854" t="inlineStr">
        <is>
          <t>(blank)</t>
        </is>
      </c>
      <c r="D854" t="inlineStr">
        <is>
          <t>Branch / REV_DEBT low half</t>
        </is>
      </c>
      <c r="E854" t="inlineStr">
        <is>
          <t>outcome_loans</t>
        </is>
      </c>
      <c r="F854" t="inlineStr">
        <is>
          <t>Outcome, share of loans</t>
        </is>
      </c>
      <c r="G854" t="n">
        <v>1</v>
      </c>
      <c r="H854" t="n">
        <v>1</v>
      </c>
      <c r="I854" t="b">
        <v>1</v>
      </c>
      <c r="J854" t="b">
        <v>1</v>
      </c>
      <c r="K854" t="n">
        <v>0</v>
      </c>
      <c r="O854" t="n">
        <v>-0.07739434858714679</v>
      </c>
      <c r="Q854">
        <f>'_live'!$C$20</f>
        <v/>
      </c>
      <c r="T854" t="n">
        <v>0.07739434858714679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v>
      </c>
      <c r="AI854">
        <f>IF($Y854="worse","Yes",IF($Y854="worse, not significant","Not sure",IF(OR($Y854="too few losses to test",$Y854="too few loans to test"),"Too few losses",IF($Y854="","","No"))))</f>
        <v/>
      </c>
      <c r="AJ854">
        <f>IF($AA854="yes","Yes",IF($AA854="","","No"))</f>
        <v/>
      </c>
    </row>
    <row r="855">
      <c r="A855" t="inlineStr">
        <is>
          <t>three-way</t>
        </is>
      </c>
      <c r="B855" t="inlineStr">
        <is>
          <t>ORIG_BAL x CHANNEL / REV_DEBT</t>
        </is>
      </c>
      <c r="C855" t="inlineStr">
        <is>
          <t>(blank)</t>
        </is>
      </c>
      <c r="D855" t="inlineStr">
        <is>
          <t>Branch / REV_DEBT low half</t>
        </is>
      </c>
      <c r="E855" t="inlineStr">
        <is>
          <t>outcome_booked</t>
        </is>
      </c>
      <c r="F855" t="inlineStr">
        <is>
          <t>Outcome, share of booked dollars</t>
        </is>
      </c>
      <c r="G855" t="n">
        <v>0</v>
      </c>
      <c r="H855" t="n">
        <v>0</v>
      </c>
      <c r="I855" t="b">
        <v>1</v>
      </c>
      <c r="J855" t="b">
        <v>1</v>
      </c>
      <c r="O855" t="n">
        <v>0</v>
      </c>
      <c r="Q855">
        <f>'_live'!$C$21</f>
        <v/>
      </c>
      <c r="R855" t="inlineStr"/>
      <c r="S855" t="inlineStr"/>
      <c r="T855" t="n">
        <v>0.07482886857347235</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I855">
        <f>IF($Y855="worse","Yes",IF($Y855="worse, not significant","Not sure",IF(OR($Y855="too few losses to test",$Y855="too few loans to test"),"Too few losses",IF($Y855="","","No"))))</f>
        <v/>
      </c>
      <c r="AJ855">
        <f>IF($AA855="yes","Yes",IF($AA855="","","No"))</f>
        <v/>
      </c>
    </row>
    <row r="856">
      <c r="A856" t="inlineStr">
        <is>
          <t>three-way</t>
        </is>
      </c>
      <c r="B856" t="inlineStr">
        <is>
          <t>ORIG_BAL x CHANNEL / REV_DEBT</t>
        </is>
      </c>
      <c r="C856" t="inlineStr">
        <is>
          <t>(blank)</t>
        </is>
      </c>
      <c r="D856" t="inlineStr">
        <is>
          <t>Branch / REV_DEBT low half</t>
        </is>
      </c>
      <c r="E856" t="inlineStr">
        <is>
          <t>gco_rate</t>
        </is>
      </c>
      <c r="F856" t="inlineStr">
        <is>
          <t>GCO per booked dollar</t>
        </is>
      </c>
      <c r="G856" t="n">
        <v>0</v>
      </c>
      <c r="H856" t="n">
        <v>0</v>
      </c>
      <c r="I856" t="b">
        <v>1</v>
      </c>
      <c r="J856" t="b">
        <v>1</v>
      </c>
      <c r="O856" t="n">
        <v>0</v>
      </c>
      <c r="Q856">
        <f>'_live'!$C$22</f>
        <v/>
      </c>
      <c r="R856" t="inlineStr"/>
      <c r="S856" t="inlineStr"/>
      <c r="T856" t="n">
        <v>0.04160526533333565</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I856">
        <f>IF($Y856="worse","Yes",IF($Y856="worse, not significant","Not sure",IF(OR($Y856="too few losses to test",$Y856="too few loans to test"),"Too few losses",IF($Y856="","","No"))))</f>
        <v/>
      </c>
      <c r="AJ856">
        <f>IF($AA856="yes","Yes",IF($AA856="","","No"))</f>
        <v/>
      </c>
    </row>
    <row r="857">
      <c r="A857" t="inlineStr">
        <is>
          <t>three-way</t>
        </is>
      </c>
      <c r="B857" t="inlineStr">
        <is>
          <t>ORIG_BAL x CHANNEL / REV_DEBT</t>
        </is>
      </c>
      <c r="C857" t="inlineStr">
        <is>
          <t>(blank)</t>
        </is>
      </c>
      <c r="D857" t="inlineStr">
        <is>
          <t>Branch / REV_DEBT low half</t>
        </is>
      </c>
      <c r="E857" t="inlineStr">
        <is>
          <t>ranr_rate</t>
        </is>
      </c>
      <c r="F857" t="inlineStr">
        <is>
          <t>Profit after losses: RANR per booked dollar</t>
        </is>
      </c>
      <c r="G857" t="n">
        <v>0</v>
      </c>
      <c r="H857" t="n">
        <v>0</v>
      </c>
      <c r="I857" t="b">
        <v>0</v>
      </c>
      <c r="J857" t="b">
        <v>1</v>
      </c>
      <c r="O857" t="n">
        <v>0</v>
      </c>
      <c r="Q857">
        <f>'_live'!$C$23</f>
        <v/>
      </c>
      <c r="R857" t="inlineStr"/>
      <c r="S857" t="inlineStr"/>
      <c r="T857" t="n">
        <v>0.1279900496481481</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I857">
        <f>IF($Y857="worse","Yes",IF($Y857="worse, not significant","Not sure",IF(OR($Y857="too few losses to test",$Y857="too few loans to test"),"Too few losses",IF($Y857="","","No"))))</f>
        <v/>
      </c>
      <c r="AJ857">
        <f>IF($AA857="yes","Yes",IF($AA857="","","No"))</f>
        <v/>
      </c>
    </row>
    <row r="858">
      <c r="A858" t="inlineStr">
        <is>
          <t>three-way</t>
        </is>
      </c>
      <c r="B858" t="inlineStr">
        <is>
          <t>ORIG_BAL x CHANNEL / REV_DEBT</t>
        </is>
      </c>
      <c r="C858" t="inlineStr">
        <is>
          <t>(blank)</t>
        </is>
      </c>
      <c r="D858" t="inlineStr">
        <is>
          <t>Branch / REV_DEBT low half</t>
        </is>
      </c>
      <c r="E858" t="inlineStr">
        <is>
          <t>contribution_rate</t>
        </is>
      </c>
      <c r="F858" t="inlineStr">
        <is>
          <t>Contribution before losses per booked dollar</t>
        </is>
      </c>
      <c r="G858" t="n">
        <v>0</v>
      </c>
      <c r="H858" t="n">
        <v>0</v>
      </c>
      <c r="I858" t="b">
        <v>0</v>
      </c>
      <c r="J858" t="b">
        <v>1</v>
      </c>
      <c r="O858" t="n">
        <v>0</v>
      </c>
      <c r="Q858">
        <f>'_live'!$C$24</f>
        <v/>
      </c>
      <c r="R858" t="inlineStr"/>
      <c r="S858" t="inlineStr"/>
      <c r="T858" t="n">
        <v>0.1695924557349815</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I858">
        <f>IF($Y858="worse","Yes",IF($Y858="worse, not significant","Not sure",IF(OR($Y858="too few losses to test",$Y858="too few loans to test"),"Too few losses",IF($Y858="","","No"))))</f>
        <v/>
      </c>
      <c r="AJ858">
        <f>IF($AA858="yes","Yes",IF($AA858="","","No"))</f>
        <v/>
      </c>
    </row>
    <row r="859">
      <c r="A859" t="inlineStr">
        <is>
          <t>three-way</t>
        </is>
      </c>
      <c r="B859" t="inlineStr">
        <is>
          <t>ORIG_BAL x CHANNEL / REV_DEBT</t>
        </is>
      </c>
      <c r="C859" t="inlineStr">
        <is>
          <t>26,324 - 37,950</t>
        </is>
      </c>
      <c r="D859" t="inlineStr">
        <is>
          <t>Branch / REV_DEBT high half</t>
        </is>
      </c>
      <c r="E859" t="inlineStr">
        <is>
          <t>outcome_loans</t>
        </is>
      </c>
      <c r="F859" t="inlineStr">
        <is>
          <t>Outcome, share of loans</t>
        </is>
      </c>
      <c r="G859" t="n">
        <v>258</v>
      </c>
      <c r="H859" t="n">
        <v>258</v>
      </c>
      <c r="I859" t="b">
        <v>0</v>
      </c>
      <c r="J859" t="b">
        <v>0</v>
      </c>
      <c r="K859" t="n">
        <v>1.053647818309092</v>
      </c>
      <c r="L859" t="n">
        <v>0.806394034129254</v>
      </c>
      <c r="M859" t="n">
        <v>1.225503004964724</v>
      </c>
      <c r="N859" t="n">
        <v>0.4366165262779647</v>
      </c>
      <c r="O859" t="n">
        <v>1.069241700038756</v>
      </c>
      <c r="P859" t="n">
        <v>3.864179104477611</v>
      </c>
      <c r="Q859">
        <f>'_live'!$C$20</f>
        <v/>
      </c>
      <c r="R859" t="inlineStr">
        <is>
          <t>z test</t>
        </is>
      </c>
      <c r="S859" t="inlineStr">
        <is>
          <t>z test</t>
        </is>
      </c>
      <c r="T859" t="n">
        <v>0.07725100116264048</v>
      </c>
      <c r="U859" t="n">
        <v>0.0664179104477612</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0.08139534883720931</v>
      </c>
      <c r="AI859">
        <f>IF($Y859="worse","Yes",IF($Y859="worse, not significant","Not sure",IF(OR($Y859="too few losses to test",$Y859="too few loans to test"),"Too few losses",IF($Y859="","","No"))))</f>
        <v/>
      </c>
      <c r="AJ859">
        <f>IF($AA859="yes","Yes",IF($AA859="","","No"))</f>
        <v/>
      </c>
    </row>
    <row r="860">
      <c r="A860" t="inlineStr">
        <is>
          <t>three-way</t>
        </is>
      </c>
      <c r="B860" t="inlineStr">
        <is>
          <t>ORIG_BAL x CHANNEL / REV_DEBT</t>
        </is>
      </c>
      <c r="C860" t="inlineStr">
        <is>
          <t>26,324 - 37,950</t>
        </is>
      </c>
      <c r="D860" t="inlineStr">
        <is>
          <t>Branch / REV_DEBT high half</t>
        </is>
      </c>
      <c r="E860" t="inlineStr">
        <is>
          <t>outcome_booked</t>
        </is>
      </c>
      <c r="F860" t="inlineStr">
        <is>
          <t>Outcome, share of booked dollars</t>
        </is>
      </c>
      <c r="G860" t="n">
        <v>258</v>
      </c>
      <c r="H860" t="n">
        <v>8276622.070000002</v>
      </c>
      <c r="I860" t="b">
        <v>0</v>
      </c>
      <c r="J860" t="b">
        <v>0</v>
      </c>
      <c r="K860" t="n">
        <v>1.087968670494939</v>
      </c>
      <c r="L860" t="n">
        <v>0.7546120387961204</v>
      </c>
      <c r="M860" t="n">
        <v>1.235123810388806</v>
      </c>
      <c r="N860" t="n">
        <v>0.4058289823191594</v>
      </c>
      <c r="O860" t="n">
        <v>54328.36250487017</v>
      </c>
      <c r="P860" t="n">
        <v>127908.9970585499</v>
      </c>
      <c r="Q860">
        <f>'_live'!$C$21</f>
        <v/>
      </c>
      <c r="R860" t="inlineStr">
        <is>
          <t>shuffled: 7,244 of 10,000</t>
        </is>
      </c>
      <c r="S860" t="inlineStr">
        <is>
          <t>shuffled: 3,662 of 10,000</t>
        </is>
      </c>
      <c r="T860" t="n">
        <v>0.07461831919735458</v>
      </c>
      <c r="U860" t="n">
        <v>0.06572814227114394</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0.08118239353171283</v>
      </c>
      <c r="AI860">
        <f>IF($Y860="worse","Yes",IF($Y860="worse, not significant","Not sure",IF(OR($Y860="too few losses to test",$Y860="too few loans to test"),"Too few losses",IF($Y860="","","No"))))</f>
        <v/>
      </c>
      <c r="AJ860">
        <f>IF($AA860="yes","Yes",IF($AA860="","","No"))</f>
        <v/>
      </c>
    </row>
    <row r="861">
      <c r="A861" t="inlineStr">
        <is>
          <t>three-way</t>
        </is>
      </c>
      <c r="B861" t="inlineStr">
        <is>
          <t>ORIG_BAL x CHANNEL / REV_DEBT</t>
        </is>
      </c>
      <c r="C861" t="inlineStr">
        <is>
          <t>26,324 - 37,950</t>
        </is>
      </c>
      <c r="D861" t="inlineStr">
        <is>
          <t>Branch / REV_DEBT high half</t>
        </is>
      </c>
      <c r="E861" t="inlineStr">
        <is>
          <t>gco_rate</t>
        </is>
      </c>
      <c r="F861" t="inlineStr">
        <is>
          <t>GCO per booked dollar</t>
        </is>
      </c>
      <c r="G861" t="n">
        <v>259</v>
      </c>
      <c r="H861" t="n">
        <v>8313610.080000003</v>
      </c>
      <c r="I861" t="b">
        <v>0</v>
      </c>
      <c r="J861" t="b">
        <v>0</v>
      </c>
      <c r="K861" t="n">
        <v>1.071632397362008</v>
      </c>
      <c r="L861" t="n">
        <v>0.7847215278472153</v>
      </c>
      <c r="M861" t="n">
        <v>1.232463079171416</v>
      </c>
      <c r="N861" t="n">
        <v>0.456772504567725</v>
      </c>
      <c r="O861" t="n">
        <v>24719.8737351633</v>
      </c>
      <c r="P861" t="n">
        <v>69752.96366859396</v>
      </c>
      <c r="Q861">
        <f>'_live'!$C$22</f>
        <v/>
      </c>
      <c r="R861" t="inlineStr">
        <is>
          <t>shuffled: 7,800 of 10,000</t>
        </is>
      </c>
      <c r="S861" t="inlineStr">
        <is>
          <t>shuffled: 3,909 of 10,000</t>
        </is>
      </c>
      <c r="T861" t="n">
        <v>0.04150946254925112</v>
      </c>
      <c r="U861" t="n">
        <v>0.0360926713478251</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0.04448288486486245</v>
      </c>
      <c r="AI861">
        <f>IF($Y861="worse","Yes",IF($Y861="worse, not significant","Not sure",IF(OR($Y861="too few losses to test",$Y861="too few loans to test"),"Too few losses",IF($Y861="","","No"))))</f>
        <v/>
      </c>
      <c r="AJ861">
        <f>IF($AA861="yes","Yes",IF($AA861="","","No"))</f>
        <v/>
      </c>
    </row>
    <row r="862">
      <c r="A862" t="inlineStr">
        <is>
          <t>three-way</t>
        </is>
      </c>
      <c r="B862" t="inlineStr">
        <is>
          <t>ORIG_BAL x CHANNEL / REV_DEBT</t>
        </is>
      </c>
      <c r="C862" t="inlineStr">
        <is>
          <t>26,324 - 37,950</t>
        </is>
      </c>
      <c r="D862" t="inlineStr">
        <is>
          <t>Branch / REV_DEBT high half</t>
        </is>
      </c>
      <c r="E862" t="inlineStr">
        <is>
          <t>ranr_rate</t>
        </is>
      </c>
      <c r="F862" t="inlineStr">
        <is>
          <t>Profit after losses: RANR per booked dollar</t>
        </is>
      </c>
      <c r="G862" t="n">
        <v>259</v>
      </c>
      <c r="H862" t="n">
        <v>8313610.080000003</v>
      </c>
      <c r="I862" t="b">
        <v>0</v>
      </c>
      <c r="J862" t="b">
        <v>0</v>
      </c>
      <c r="K862" t="n">
        <v>0.02304672021380089</v>
      </c>
      <c r="L862" t="n">
        <v>0.1334866513348665</v>
      </c>
      <c r="M862" t="n">
        <v>0.02266319654067225</v>
      </c>
      <c r="N862" t="n">
        <v>0.108695012851656</v>
      </c>
      <c r="O862" t="n">
        <v>-191601.4454803949</v>
      </c>
      <c r="P862" t="n">
        <v>-188412.9792055541</v>
      </c>
      <c r="Q862">
        <f>'_live'!$C$23</f>
        <v/>
      </c>
      <c r="R862" t="inlineStr">
        <is>
          <t>shuffled: 711 of 10,000</t>
        </is>
      </c>
      <c r="S862" t="inlineStr">
        <is>
          <t>shuffled: 595 of 10,000</t>
        </is>
      </c>
      <c r="T862" t="n">
        <v>0.1272476053531252</v>
      </c>
      <c r="U862" t="n">
        <v>0.1276311290262538</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0.1502943255669261</v>
      </c>
      <c r="AI862">
        <f>IF($Y862="worse","Yes",IF($Y862="worse, not significant","Not sure",IF(OR($Y862="too few losses to test",$Y862="too few loans to test"),"Too few losses",IF($Y862="","","No"))))</f>
        <v/>
      </c>
      <c r="AJ862">
        <f>IF($AA862="yes","Yes",IF($AA862="","","No"))</f>
        <v/>
      </c>
    </row>
    <row r="863">
      <c r="A863" t="inlineStr">
        <is>
          <t>three-way</t>
        </is>
      </c>
      <c r="B863" t="inlineStr">
        <is>
          <t>ORIG_BAL x CHANNEL / REV_DEBT</t>
        </is>
      </c>
      <c r="C863" t="inlineStr">
        <is>
          <t>26,324 - 37,950</t>
        </is>
      </c>
      <c r="D863" t="inlineStr">
        <is>
          <t>Branch / REV_DEBT high half</t>
        </is>
      </c>
      <c r="E863" t="inlineStr">
        <is>
          <t>contribution_rate</t>
        </is>
      </c>
      <c r="F863" t="inlineStr">
        <is>
          <t>Contribution before losses per booked dollar</t>
        </is>
      </c>
      <c r="G863" t="n">
        <v>259</v>
      </c>
      <c r="H863" t="n">
        <v>8313610.080000003</v>
      </c>
      <c r="I863" t="b">
        <v>0</v>
      </c>
      <c r="J863" t="b">
        <v>0</v>
      </c>
      <c r="K863" t="n">
        <v>0.02602321495536675</v>
      </c>
      <c r="L863" t="n">
        <v>0.0026997300269973</v>
      </c>
      <c r="M863" t="n">
        <v>0.0310534100577097</v>
      </c>
      <c r="N863" t="n">
        <v>0.0002856857171425715</v>
      </c>
      <c r="O863" t="n">
        <v>-216346.862166944</v>
      </c>
      <c r="P863" t="n">
        <v>-258165.942874149</v>
      </c>
      <c r="Q863">
        <f>'_live'!$C$24</f>
        <v/>
      </c>
      <c r="R863" t="inlineStr">
        <is>
          <t>shuffled: 17 of 10,000</t>
        </is>
      </c>
      <c r="S863" t="inlineStr">
        <is>
          <t>shuffled: 1 of 10,000</t>
        </is>
      </c>
      <c r="T863" t="n">
        <v>0.1687539954764219</v>
      </c>
      <c r="U863" t="n">
        <v>0.163723800374079</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0.1947772104317887</v>
      </c>
      <c r="AI863">
        <f>IF($Y863="worse","Yes",IF($Y863="worse, not significant","Not sure",IF(OR($Y863="too few losses to test",$Y863="too few loans to test"),"Too few losses",IF($Y863="","","No"))))</f>
        <v/>
      </c>
      <c r="AJ863">
        <f>IF($AA863="yes","Yes",IF($AA863="","","No"))</f>
        <v/>
      </c>
    </row>
    <row r="864">
      <c r="A864" t="inlineStr">
        <is>
          <t>three-way</t>
        </is>
      </c>
      <c r="B864" t="inlineStr">
        <is>
          <t>ORIG_BAL x CHANNEL / REV_DEBT</t>
        </is>
      </c>
      <c r="C864" t="inlineStr">
        <is>
          <t>26,324 - 37,950</t>
        </is>
      </c>
      <c r="D864" t="inlineStr">
        <is>
          <t>Branch / REV_DEBT low half</t>
        </is>
      </c>
      <c r="E864" t="inlineStr">
        <is>
          <t>outcome_loans</t>
        </is>
      </c>
      <c r="F864" t="inlineStr">
        <is>
          <t>Outcome, share of loans</t>
        </is>
      </c>
      <c r="G864" t="n">
        <v>259</v>
      </c>
      <c r="H864" t="n">
        <v>259</v>
      </c>
      <c r="I864" t="b">
        <v>0</v>
      </c>
      <c r="J864" t="b">
        <v>0</v>
      </c>
      <c r="K864" t="n">
        <v>0.5907908379078066</v>
      </c>
      <c r="L864" t="n">
        <v>0.1022475701067632</v>
      </c>
      <c r="M864" t="n">
        <v>0.6330470412103064</v>
      </c>
      <c r="N864" t="n">
        <v>0.1640469928523689</v>
      </c>
      <c r="O864" t="n">
        <v>-8.311757105943151</v>
      </c>
      <c r="P864" t="n">
        <v>-6.955937266616878</v>
      </c>
      <c r="Q864">
        <f>'_live'!$C$20</f>
        <v/>
      </c>
      <c r="R864" t="inlineStr">
        <is>
          <t>z test</t>
        </is>
      </c>
      <c r="S864" t="inlineStr">
        <is>
          <t>z test</t>
        </is>
      </c>
      <c r="T864" t="n">
        <v>0.07842377260981911</v>
      </c>
      <c r="U864" t="n">
        <v>0.07318894697535475</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0.04633204633204633</v>
      </c>
      <c r="AI864">
        <f>IF($Y864="worse","Yes",IF($Y864="worse, not significant","Not sure",IF(OR($Y864="too few losses to test",$Y864="too few loans to test"),"Too few losses",IF($Y864="","","No"))))</f>
        <v/>
      </c>
      <c r="AJ864">
        <f>IF($AA864="yes","Yes",IF($AA864="","","No"))</f>
        <v/>
      </c>
    </row>
    <row r="865">
      <c r="A865" t="inlineStr">
        <is>
          <t>three-way</t>
        </is>
      </c>
      <c r="B865" t="inlineStr">
        <is>
          <t>ORIG_BAL x CHANNEL / REV_DEBT</t>
        </is>
      </c>
      <c r="C865" t="inlineStr">
        <is>
          <t>26,324 - 37,950</t>
        </is>
      </c>
      <c r="D865" t="inlineStr">
        <is>
          <t>Branch / REV_DEBT low half</t>
        </is>
      </c>
      <c r="E865" t="inlineStr">
        <is>
          <t>outcome_booked</t>
        </is>
      </c>
      <c r="F865" t="inlineStr">
        <is>
          <t>Outcome, share of booked dollars</t>
        </is>
      </c>
      <c r="G865" t="n">
        <v>259</v>
      </c>
      <c r="H865" t="n">
        <v>8273759.95</v>
      </c>
      <c r="I865" t="b">
        <v>0</v>
      </c>
      <c r="J865" t="b">
        <v>0</v>
      </c>
      <c r="K865" t="n">
        <v>0.5748583119024657</v>
      </c>
      <c r="L865" t="n">
        <v>0.1645668766456688</v>
      </c>
      <c r="M865" t="n">
        <v>0.5978149041423204</v>
      </c>
      <c r="N865" t="n">
        <v>0.1367050794920508</v>
      </c>
      <c r="O865" t="n">
        <v>-266849.7951977769</v>
      </c>
      <c r="P865" t="n">
        <v>-242746.6418849779</v>
      </c>
      <c r="Q865">
        <f>'_live'!$C$21</f>
        <v/>
      </c>
      <c r="R865" t="inlineStr">
        <is>
          <t>shuffled: 748 of 10,000</t>
        </is>
      </c>
      <c r="S865" t="inlineStr">
        <is>
          <t>shuffled: 823 of 10,000</t>
        </is>
      </c>
      <c r="T865" t="n">
        <v>0.07586304400791527</v>
      </c>
      <c r="U865" t="n">
        <v>0.07294983967778493</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0.04361050141417264</v>
      </c>
      <c r="AI865">
        <f>IF($Y865="worse","Yes",IF($Y865="worse, not significant","Not sure",IF(OR($Y865="too few losses to test",$Y865="too few loans to test"),"Too few losses",IF($Y865="","","No"))))</f>
        <v/>
      </c>
      <c r="AJ865">
        <f>IF($AA865="yes","Yes",IF($AA865="","","No"))</f>
        <v/>
      </c>
    </row>
    <row r="866">
      <c r="A866" t="inlineStr">
        <is>
          <t>three-way</t>
        </is>
      </c>
      <c r="B866" t="inlineStr">
        <is>
          <t>ORIG_BAL x CHANNEL / REV_DEBT</t>
        </is>
      </c>
      <c r="C866" t="inlineStr">
        <is>
          <t>26,324 - 37,950</t>
        </is>
      </c>
      <c r="D866" t="inlineStr">
        <is>
          <t>Branch / REV_DEBT low half</t>
        </is>
      </c>
      <c r="E866" t="inlineStr">
        <is>
          <t>gco_rate</t>
        </is>
      </c>
      <c r="F866" t="inlineStr">
        <is>
          <t>GCO per booked dollar</t>
        </is>
      </c>
      <c r="G866" t="n">
        <v>259</v>
      </c>
      <c r="H866" t="n">
        <v>8273759.95</v>
      </c>
      <c r="I866" t="b">
        <v>0</v>
      </c>
      <c r="J866" t="b">
        <v>0</v>
      </c>
      <c r="K866" t="n">
        <v>0.6135070214264624</v>
      </c>
      <c r="L866" t="n">
        <v>0.2305538676901541</v>
      </c>
      <c r="M866" t="n">
        <v>0.6513602625922322</v>
      </c>
      <c r="N866" t="n">
        <v>0.2051183770511838</v>
      </c>
      <c r="O866" t="n">
        <v>-134712.7372954061</v>
      </c>
      <c r="P866" t="n">
        <v>-114456.9623091262</v>
      </c>
      <c r="Q866">
        <f>'_live'!$C$22</f>
        <v/>
      </c>
      <c r="R866" t="inlineStr">
        <is>
          <t>shuffled: 1,195 of 10,000</t>
        </is>
      </c>
      <c r="S866" t="inlineStr">
        <is>
          <t>shuffled: 1,476 of 10,000</t>
        </is>
      </c>
      <c r="T866" t="n">
        <v>0.04212734952449353</v>
      </c>
      <c r="U866" t="n">
        <v>0.03967915485741476</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0.02584542472736352</v>
      </c>
      <c r="AI866">
        <f>IF($Y866="worse","Yes",IF($Y866="worse, not significant","Not sure",IF(OR($Y866="too few losses to test",$Y866="too few loans to test"),"Too few losses",IF($Y866="","","No"))))</f>
        <v/>
      </c>
      <c r="AJ866">
        <f>IF($AA866="yes","Yes",IF($AA866="","","No"))</f>
        <v/>
      </c>
    </row>
    <row r="867">
      <c r="A867" t="inlineStr">
        <is>
          <t>three-way</t>
        </is>
      </c>
      <c r="B867" t="inlineStr">
        <is>
          <t>ORIG_BAL x CHANNEL / REV_DEBT</t>
        </is>
      </c>
      <c r="C867" t="inlineStr">
        <is>
          <t>26,324 - 37,950</t>
        </is>
      </c>
      <c r="D867" t="inlineStr">
        <is>
          <t>Branch / REV_DEBT low half</t>
        </is>
      </c>
      <c r="E867" t="inlineStr">
        <is>
          <t>ranr_rate</t>
        </is>
      </c>
      <c r="F867" t="inlineStr">
        <is>
          <t>Profit after losses: RANR per booked dollar</t>
        </is>
      </c>
      <c r="G867" t="n">
        <v>259</v>
      </c>
      <c r="H867" t="n">
        <v>8273759.95</v>
      </c>
      <c r="I867" t="b">
        <v>0</v>
      </c>
      <c r="J867" t="b">
        <v>0</v>
      </c>
      <c r="K867" t="n">
        <v>-0.02921829596818672</v>
      </c>
      <c r="L867" t="n">
        <v>0.06160922369301532</v>
      </c>
      <c r="M867" t="n">
        <v>-0.03765696497219069</v>
      </c>
      <c r="N867" t="n">
        <v>0.01274872512748725</v>
      </c>
      <c r="O867" t="n">
        <v>241745.1669888296</v>
      </c>
      <c r="P867" t="n">
        <v>311564.6886254642</v>
      </c>
      <c r="Q867">
        <f>'_live'!$C$23</f>
        <v/>
      </c>
      <c r="R867" t="inlineStr">
        <is>
          <t>shuffled: 223 of 10,000</t>
        </is>
      </c>
      <c r="S867" t="inlineStr">
        <is>
          <t>shuffled: 14 of 10,000</t>
        </is>
      </c>
      <c r="T867" t="n">
        <v>0.1289267979050843</v>
      </c>
      <c r="U867" t="n">
        <v>0.1373654669090882</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0.09970850193689755</v>
      </c>
      <c r="AI867">
        <f>IF($Y867="worse","Yes",IF($Y867="worse, not significant","Not sure",IF(OR($Y867="too few losses to test",$Y867="too few loans to test"),"Too few losses",IF($Y867="","","No"))))</f>
        <v/>
      </c>
      <c r="AJ867">
        <f>IF($AA867="yes","Yes",IF($AA867="","","No"))</f>
        <v/>
      </c>
    </row>
    <row r="868">
      <c r="A868" t="inlineStr">
        <is>
          <t>three-way</t>
        </is>
      </c>
      <c r="B868" t="inlineStr">
        <is>
          <t>ORIG_BAL x CHANNEL / REV_DEBT</t>
        </is>
      </c>
      <c r="C868" t="inlineStr">
        <is>
          <t>26,324 - 37,950</t>
        </is>
      </c>
      <c r="D868" t="inlineStr">
        <is>
          <t>Branch / REV_DEBT low half</t>
        </is>
      </c>
      <c r="E868" t="inlineStr">
        <is>
          <t>contribution_rate</t>
        </is>
      </c>
      <c r="F868" t="inlineStr">
        <is>
          <t>Contribution before losses per booked dollar</t>
        </is>
      </c>
      <c r="G868" t="n">
        <v>259</v>
      </c>
      <c r="H868" t="n">
        <v>8273759.95</v>
      </c>
      <c r="I868" t="b">
        <v>0</v>
      </c>
      <c r="J868" t="b">
        <v>0</v>
      </c>
      <c r="K868" t="n">
        <v>-0.04549741564226084</v>
      </c>
      <c r="L868" t="n">
        <v>0.000176452942941</v>
      </c>
      <c r="M868" t="n">
        <v>-0.05149069510224197</v>
      </c>
      <c r="N868" t="n">
        <v>0.0001578789489472106</v>
      </c>
      <c r="O868" t="n">
        <v>376434.6953694413</v>
      </c>
      <c r="P868" t="n">
        <v>426021.650934591</v>
      </c>
      <c r="Q868">
        <f>'_live'!$C$24</f>
        <v/>
      </c>
      <c r="R868" t="inlineStr">
        <is>
          <t>shuffled: 0 of 10,000</t>
        </is>
      </c>
      <c r="S868" t="inlineStr">
        <is>
          <t>shuffled: 0 of 10,000</t>
        </is>
      </c>
      <c r="T868" t="n">
        <v>0.1710513423065219</v>
      </c>
      <c r="U868" t="n">
        <v>0.177044621766503</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0.1255539266642611</v>
      </c>
      <c r="AI868">
        <f>IF($Y868="worse","Yes",IF($Y868="worse, not significant","Not sure",IF(OR($Y868="too few losses to test",$Y868="too few loans to test"),"Too few losses",IF($Y868="","","No"))))</f>
        <v/>
      </c>
      <c r="AJ868">
        <f>IF($AA868="yes","Yes",IF($AA868="","","No"))</f>
        <v/>
      </c>
    </row>
    <row r="869">
      <c r="A869" t="inlineStr">
        <is>
          <t>three-way</t>
        </is>
      </c>
      <c r="B869" t="inlineStr">
        <is>
          <t>ORIG_BAL x CHANNEL / REV_DEBT</t>
        </is>
      </c>
      <c r="C869" t="inlineStr">
        <is>
          <t>15,449 - 26,323</t>
        </is>
      </c>
      <c r="D869" t="inlineStr">
        <is>
          <t>Broker / REV_DEBT high half</t>
        </is>
      </c>
      <c r="E869" t="inlineStr">
        <is>
          <t>outcome_loans</t>
        </is>
      </c>
      <c r="F869" t="inlineStr">
        <is>
          <t>Outcome, share of loans</t>
        </is>
      </c>
      <c r="G869" t="n">
        <v>268</v>
      </c>
      <c r="H869" t="n">
        <v>268</v>
      </c>
      <c r="I869" t="b">
        <v>0</v>
      </c>
      <c r="J869" t="b">
        <v>0</v>
      </c>
      <c r="K869" t="n">
        <v>2.315816206923498</v>
      </c>
      <c r="L869" t="n">
        <v>1.062656680777676e-07</v>
      </c>
      <c r="M869" t="n">
        <v>2.219678307491668</v>
      </c>
      <c r="N869" t="n">
        <v>2.341197124887361e-05</v>
      </c>
      <c r="O869" t="n">
        <v>26.13659293752425</v>
      </c>
      <c r="P869" t="n">
        <v>25.27627627627627</v>
      </c>
      <c r="Q869">
        <f>'_live'!$C$20</f>
        <v/>
      </c>
      <c r="R869" t="inlineStr">
        <is>
          <t>z test</t>
        </is>
      </c>
      <c r="S869" t="inlineStr">
        <is>
          <t>z test</t>
        </is>
      </c>
      <c r="T869" t="n">
        <v>0.07411719053162592</v>
      </c>
      <c r="U869" t="n">
        <v>0.07732732732732733</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0.1716417910447761</v>
      </c>
      <c r="AI869">
        <f>IF($Y869="worse","Yes",IF($Y869="worse, not significant","Not sure",IF(OR($Y869="too few losses to test",$Y869="too few loans to test"),"Too few losses",IF($Y869="","","No"))))</f>
        <v/>
      </c>
      <c r="AJ869">
        <f>IF($AA869="yes","Yes",IF($AA869="","","No"))</f>
        <v/>
      </c>
    </row>
    <row r="870">
      <c r="A870" t="inlineStr">
        <is>
          <t>three-way</t>
        </is>
      </c>
      <c r="B870" t="inlineStr">
        <is>
          <t>ORIG_BAL x CHANNEL / REV_DEBT</t>
        </is>
      </c>
      <c r="C870" t="inlineStr">
        <is>
          <t>15,449 - 26,323</t>
        </is>
      </c>
      <c r="D870" t="inlineStr">
        <is>
          <t>Broker / REV_DEBT high half</t>
        </is>
      </c>
      <c r="E870" t="inlineStr">
        <is>
          <t>outcome_booked</t>
        </is>
      </c>
      <c r="F870" t="inlineStr">
        <is>
          <t>Outcome, share of booked dollars</t>
        </is>
      </c>
      <c r="G870" t="n">
        <v>268</v>
      </c>
      <c r="H870" t="n">
        <v>5613968.139999999</v>
      </c>
      <c r="I870" t="b">
        <v>0</v>
      </c>
      <c r="J870" t="b">
        <v>0</v>
      </c>
      <c r="K870" t="n">
        <v>2.356413846294235</v>
      </c>
      <c r="L870" t="n">
        <v>0.0024997500249975</v>
      </c>
      <c r="M870" t="n">
        <v>2.192234929566331</v>
      </c>
      <c r="N870" t="n">
        <v>0.00124987501249875</v>
      </c>
      <c r="O870" t="n">
        <v>553477.7739882736</v>
      </c>
      <c r="P870" t="n">
        <v>522918.8355352738</v>
      </c>
      <c r="Q870">
        <f>'_live'!$C$21</f>
        <v/>
      </c>
      <c r="R870" t="inlineStr">
        <is>
          <t>shuffled: 0 of 10,000</t>
        </is>
      </c>
      <c r="S870" t="inlineStr">
        <is>
          <t>shuffled: 0 of 10,000</t>
        </is>
      </c>
      <c r="T870" t="n">
        <v>0.07268386742425055</v>
      </c>
      <c r="U870" t="n">
        <v>0.07812724324878806</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0.1712732716007185</v>
      </c>
      <c r="AI870">
        <f>IF($Y870="worse","Yes",IF($Y870="worse, not significant","Not sure",IF(OR($Y870="too few losses to test",$Y870="too few loans to test"),"Too few losses",IF($Y870="","","No"))))</f>
        <v/>
      </c>
      <c r="AJ870">
        <f>IF($AA870="yes","Yes",IF($AA870="","","No"))</f>
        <v/>
      </c>
    </row>
    <row r="871">
      <c r="A871" t="inlineStr">
        <is>
          <t>three-way</t>
        </is>
      </c>
      <c r="B871" t="inlineStr">
        <is>
          <t>ORIG_BAL x CHANNEL / REV_DEBT</t>
        </is>
      </c>
      <c r="C871" t="inlineStr">
        <is>
          <t>15,449 - 26,323</t>
        </is>
      </c>
      <c r="D871" t="inlineStr">
        <is>
          <t>Broker / REV_DEBT high half</t>
        </is>
      </c>
      <c r="E871" t="inlineStr">
        <is>
          <t>gco_rate</t>
        </is>
      </c>
      <c r="F871" t="inlineStr">
        <is>
          <t>GCO per booked dollar</t>
        </is>
      </c>
      <c r="G871" t="n">
        <v>268</v>
      </c>
      <c r="H871" t="n">
        <v>5613968.139999999</v>
      </c>
      <c r="I871" t="b">
        <v>0</v>
      </c>
      <c r="J871" t="b">
        <v>0</v>
      </c>
      <c r="K871" t="n">
        <v>2.538031814378932</v>
      </c>
      <c r="L871" t="n">
        <v>0.0024997500249975</v>
      </c>
      <c r="M871" t="n">
        <v>2.36189452350576</v>
      </c>
      <c r="N871" t="n">
        <v>0.00124987501249875</v>
      </c>
      <c r="O871" t="n">
        <v>347607.0311404938</v>
      </c>
      <c r="P871" t="n">
        <v>330752.6020381707</v>
      </c>
      <c r="Q871">
        <f>'_live'!$C$22</f>
        <v/>
      </c>
      <c r="R871" t="inlineStr">
        <is>
          <t>shuffled: 0 of 10,000</t>
        </is>
      </c>
      <c r="S871" t="inlineStr">
        <is>
          <t>shuffled: 0 of 10,000</t>
        </is>
      </c>
      <c r="T871" t="n">
        <v>0.04025810143972536</v>
      </c>
      <c r="U871" t="n">
        <v>0.04326033242536882</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0.1021763422405173</v>
      </c>
      <c r="AI871">
        <f>IF($Y871="worse","Yes",IF($Y871="worse, not significant","Not sure",IF(OR($Y871="too few losses to test",$Y871="too few loans to test"),"Too few losses",IF($Y871="","","No"))))</f>
        <v/>
      </c>
      <c r="AJ871">
        <f>IF($AA871="yes","Yes",IF($AA871="","","No"))</f>
        <v/>
      </c>
    </row>
    <row r="872">
      <c r="A872" t="inlineStr">
        <is>
          <t>three-way</t>
        </is>
      </c>
      <c r="B872" t="inlineStr">
        <is>
          <t>ORIG_BAL x CHANNEL / REV_DEBT</t>
        </is>
      </c>
      <c r="C872" t="inlineStr">
        <is>
          <t>15,449 - 26,323</t>
        </is>
      </c>
      <c r="D872" t="inlineStr">
        <is>
          <t>Broker / REV_DEBT high half</t>
        </is>
      </c>
      <c r="E872" t="inlineStr">
        <is>
          <t>ranr_rate</t>
        </is>
      </c>
      <c r="F872" t="inlineStr">
        <is>
          <t>Profit after losses: RANR per booked dollar</t>
        </is>
      </c>
      <c r="G872" t="n">
        <v>268</v>
      </c>
      <c r="H872" t="n">
        <v>5613968.139999999</v>
      </c>
      <c r="I872" t="b">
        <v>0</v>
      </c>
      <c r="J872" t="b">
        <v>0</v>
      </c>
      <c r="K872" t="n">
        <v>-0.03165916435057659</v>
      </c>
      <c r="L872" t="n">
        <v>0.045328800453288</v>
      </c>
      <c r="M872" t="n">
        <v>-0.02649160430179001</v>
      </c>
      <c r="N872" t="n">
        <v>0.1003899610038996</v>
      </c>
      <c r="O872" t="n">
        <v>177733.5400031607</v>
      </c>
      <c r="P872" t="n">
        <v>148723.022527736</v>
      </c>
      <c r="Q872">
        <f>'_live'!$C$23</f>
        <v/>
      </c>
      <c r="R872" t="inlineStr">
        <is>
          <t>shuffled: 135 of 10,000</t>
        </is>
      </c>
      <c r="S872" t="inlineStr">
        <is>
          <t>shuffled: 501 of 10,000</t>
        </is>
      </c>
      <c r="T872" t="n">
        <v>0.1286787566277782</v>
      </c>
      <c r="U872" t="n">
        <v>0.1235111965789916</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0.09701959227720164</v>
      </c>
      <c r="AI872">
        <f>IF($Y872="worse","Yes",IF($Y872="worse, not significant","Not sure",IF(OR($Y872="too few losses to test",$Y872="too few loans to test"),"Too few losses",IF($Y872="","","No"))))</f>
        <v/>
      </c>
      <c r="AJ872">
        <f>IF($AA872="yes","Yes",IF($AA872="","","No"))</f>
        <v/>
      </c>
    </row>
    <row r="873">
      <c r="A873" t="inlineStr">
        <is>
          <t>three-way</t>
        </is>
      </c>
      <c r="B873" t="inlineStr">
        <is>
          <t>ORIG_BAL x CHANNEL / REV_DEBT</t>
        </is>
      </c>
      <c r="C873" t="inlineStr">
        <is>
          <t>15,449 - 26,323</t>
        </is>
      </c>
      <c r="D873" t="inlineStr">
        <is>
          <t>Broker / REV_DEBT high half</t>
        </is>
      </c>
      <c r="E873" t="inlineStr">
        <is>
          <t>contribution_rate</t>
        </is>
      </c>
      <c r="F873" t="inlineStr">
        <is>
          <t>Contribution before losses per booked dollar</t>
        </is>
      </c>
      <c r="G873" t="n">
        <v>268</v>
      </c>
      <c r="H873" t="n">
        <v>5613968.139999999</v>
      </c>
      <c r="I873" t="b">
        <v>0</v>
      </c>
      <c r="J873" t="b">
        <v>0</v>
      </c>
      <c r="K873" t="n">
        <v>0.03026189101143981</v>
      </c>
      <c r="L873" t="n">
        <v>0.001420910540524895</v>
      </c>
      <c r="M873" t="n">
        <v>0.03242440551335843</v>
      </c>
      <c r="N873" t="n">
        <v>0.0001578789489472106</v>
      </c>
      <c r="O873" t="n">
        <v>-169889.2919943754</v>
      </c>
      <c r="P873" t="n">
        <v>-182029.5795104345</v>
      </c>
      <c r="Q873">
        <f>'_live'!$C$24</f>
        <v/>
      </c>
      <c r="R873" t="inlineStr">
        <is>
          <t>shuffled: 8 of 10,000</t>
        </is>
      </c>
      <c r="S873" t="inlineStr">
        <is>
          <t>shuffled: 0 of 10,000</t>
        </is>
      </c>
      <c r="T873" t="n">
        <v>0.1689340435062791</v>
      </c>
      <c r="U873" t="n">
        <v>0.1667715290043605</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0.1991959345177189</v>
      </c>
      <c r="AI873">
        <f>IF($Y873="worse","Yes",IF($Y873="worse, not significant","Not sure",IF(OR($Y873="too few losses to test",$Y873="too few loans to test"),"Too few losses",IF($Y873="","","No"))))</f>
        <v/>
      </c>
      <c r="AJ873">
        <f>IF($AA873="yes","Yes",IF($AA873="","","No"))</f>
        <v/>
      </c>
    </row>
    <row r="874">
      <c r="A874" t="inlineStr">
        <is>
          <t>three-way</t>
        </is>
      </c>
      <c r="B874" t="inlineStr">
        <is>
          <t>ORIG_BAL x CHANNEL / REV_DEBT</t>
        </is>
      </c>
      <c r="C874" t="inlineStr">
        <is>
          <t>26,324 - 37,950</t>
        </is>
      </c>
      <c r="D874" t="inlineStr">
        <is>
          <t>Broker / REV_DEBT low half</t>
        </is>
      </c>
      <c r="E874" t="inlineStr">
        <is>
          <t>outcome_loans</t>
        </is>
      </c>
      <c r="F874" t="inlineStr">
        <is>
          <t>Outcome, share of loans</t>
        </is>
      </c>
      <c r="G874" t="n">
        <v>277</v>
      </c>
      <c r="H874" t="n">
        <v>277</v>
      </c>
      <c r="I874" t="b">
        <v>1</v>
      </c>
      <c r="J874" t="b">
        <v>0</v>
      </c>
      <c r="K874" t="n">
        <v>0.2728605838599301</v>
      </c>
      <c r="M874" t="n">
        <v>0.2751319078033879</v>
      </c>
      <c r="O874" t="n">
        <v>-15.98925148925149</v>
      </c>
      <c r="P874" t="n">
        <v>-15.80772142316427</v>
      </c>
      <c r="Q874">
        <f>'_live'!$C$20</f>
        <v/>
      </c>
      <c r="T874" t="n">
        <v>0.07938357938357939</v>
      </c>
      <c r="U874" t="n">
        <v>0.07872823618470856</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0.02166064981949458</v>
      </c>
      <c r="AI874">
        <f>IF($Y874="worse","Yes",IF($Y874="worse, not significant","Not sure",IF(OR($Y874="too few losses to test",$Y874="too few loans to test"),"Too few losses",IF($Y874="","","No"))))</f>
        <v/>
      </c>
      <c r="AJ874">
        <f>IF($AA874="yes","Yes",IF($AA874="","","No"))</f>
        <v/>
      </c>
    </row>
    <row r="875">
      <c r="A875" t="inlineStr">
        <is>
          <t>three-way</t>
        </is>
      </c>
      <c r="B875" t="inlineStr">
        <is>
          <t>ORIG_BAL x CHANNEL / REV_DEBT</t>
        </is>
      </c>
      <c r="C875" t="inlineStr">
        <is>
          <t>26,324 - 37,950</t>
        </is>
      </c>
      <c r="D875" t="inlineStr">
        <is>
          <t>Broker / REV_DEBT low half</t>
        </is>
      </c>
      <c r="E875" t="inlineStr">
        <is>
          <t>outcome_booked</t>
        </is>
      </c>
      <c r="F875" t="inlineStr">
        <is>
          <t>Outcome, share of booked dollars</t>
        </is>
      </c>
      <c r="G875" t="n">
        <v>277</v>
      </c>
      <c r="H875" t="n">
        <v>8955441.059999997</v>
      </c>
      <c r="I875" t="b">
        <v>1</v>
      </c>
      <c r="J875" t="b">
        <v>0</v>
      </c>
      <c r="K875" t="n">
        <v>0.2817267878648305</v>
      </c>
      <c r="M875" t="n">
        <v>0.276935057802464</v>
      </c>
      <c r="O875" t="n">
        <v>-493639.1163318152</v>
      </c>
      <c r="P875" t="n">
        <v>-505530.5523475957</v>
      </c>
      <c r="Q875">
        <f>'_live'!$C$21</f>
        <v/>
      </c>
      <c r="T875" t="n">
        <v>0.0767419652172682</v>
      </c>
      <c r="U875" t="n">
        <v>0.07806981003653615</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0.02162026735509552</v>
      </c>
      <c r="AI875">
        <f>IF($Y875="worse","Yes",IF($Y875="worse, not significant","Not sure",IF(OR($Y875="too few losses to test",$Y875="too few loans to test"),"Too few losses",IF($Y875="","","No"))))</f>
        <v/>
      </c>
      <c r="AJ875">
        <f>IF($AA875="yes","Yes",IF($AA875="","","No"))</f>
        <v/>
      </c>
    </row>
    <row r="876">
      <c r="A876" t="inlineStr">
        <is>
          <t>three-way</t>
        </is>
      </c>
      <c r="B876" t="inlineStr">
        <is>
          <t>ORIG_BAL x CHANNEL / REV_DEBT</t>
        </is>
      </c>
      <c r="C876" t="inlineStr">
        <is>
          <t>26,324 - 37,950</t>
        </is>
      </c>
      <c r="D876" t="inlineStr">
        <is>
          <t>Broker / REV_DEBT low half</t>
        </is>
      </c>
      <c r="E876" t="inlineStr">
        <is>
          <t>gco_rate</t>
        </is>
      </c>
      <c r="F876" t="inlineStr">
        <is>
          <t>GCO per booked dollar</t>
        </is>
      </c>
      <c r="G876" t="n">
        <v>277</v>
      </c>
      <c r="H876" t="n">
        <v>8955441.059999997</v>
      </c>
      <c r="I876" t="b">
        <v>1</v>
      </c>
      <c r="J876" t="b">
        <v>0</v>
      </c>
      <c r="K876" t="n">
        <v>0.2443332284931961</v>
      </c>
      <c r="M876" t="n">
        <v>0.2419035584283182</v>
      </c>
      <c r="O876" t="n">
        <v>-289139.8080689521</v>
      </c>
      <c r="P876" t="n">
        <v>-292982.9162410472</v>
      </c>
      <c r="Q876">
        <f>'_live'!$C$22</f>
        <v/>
      </c>
      <c r="T876" t="n">
        <v>0.04272583734351016</v>
      </c>
      <c r="U876" t="n">
        <v>0.04315497401543363</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0.010439341778215</v>
      </c>
      <c r="AI876">
        <f>IF($Y876="worse","Yes",IF($Y876="worse, not significant","Not sure",IF(OR($Y876="too few losses to test",$Y876="too few loans to test"),"Too few losses",IF($Y876="","","No"))))</f>
        <v/>
      </c>
      <c r="AJ876">
        <f>IF($AA876="yes","Yes",IF($AA876="","","No"))</f>
        <v/>
      </c>
    </row>
    <row r="877">
      <c r="A877" t="inlineStr">
        <is>
          <t>three-way</t>
        </is>
      </c>
      <c r="B877" t="inlineStr">
        <is>
          <t>ORIG_BAL x CHANNEL / REV_DEBT</t>
        </is>
      </c>
      <c r="C877" t="inlineStr">
        <is>
          <t>26,324 - 37,950</t>
        </is>
      </c>
      <c r="D877" t="inlineStr">
        <is>
          <t>Broker / REV_DEBT low half</t>
        </is>
      </c>
      <c r="E877" t="inlineStr">
        <is>
          <t>ranr_rate</t>
        </is>
      </c>
      <c r="F877" t="inlineStr">
        <is>
          <t>Profit after losses: RANR per booked dollar</t>
        </is>
      </c>
      <c r="G877" t="n">
        <v>277</v>
      </c>
      <c r="H877" t="n">
        <v>8955441.059999997</v>
      </c>
      <c r="I877" t="b">
        <v>0</v>
      </c>
      <c r="J877" t="b">
        <v>0</v>
      </c>
      <c r="K877" t="n">
        <v>-0.003659148576071816</v>
      </c>
      <c r="L877" t="n">
        <v>0.878689908786899</v>
      </c>
      <c r="M877" t="n">
        <v>-0.008286360152182273</v>
      </c>
      <c r="N877" t="n">
        <v>0.6483442564834425</v>
      </c>
      <c r="O877" t="n">
        <v>32769.28940279409</v>
      </c>
      <c r="P877" t="n">
        <v>74208.00994480099</v>
      </c>
      <c r="Q877">
        <f>'_live'!$C$23</f>
        <v/>
      </c>
      <c r="R877" t="inlineStr">
        <is>
          <t>shuffled: 7,650 of 10,000</t>
        </is>
      </c>
      <c r="S877" t="inlineStr">
        <is>
          <t>shuffled: 4,754 of 10,000</t>
        </is>
      </c>
      <c r="T877" t="n">
        <v>0.1281170287109002</v>
      </c>
      <c r="U877" t="n">
        <v>0.1327442402870107</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0.1244578801348284</v>
      </c>
      <c r="AI877">
        <f>IF($Y877="worse","Yes",IF($Y877="worse, not significant","Not sure",IF(OR($Y877="too few losses to test",$Y877="too few loans to test"),"Too few losses",IF($Y877="","","No"))))</f>
        <v/>
      </c>
      <c r="AJ877">
        <f>IF($AA877="yes","Yes",IF($AA877="","","No"))</f>
        <v/>
      </c>
    </row>
    <row r="878">
      <c r="A878" t="inlineStr">
        <is>
          <t>three-way</t>
        </is>
      </c>
      <c r="B878" t="inlineStr">
        <is>
          <t>ORIG_BAL x CHANNEL / REV_DEBT</t>
        </is>
      </c>
      <c r="C878" t="inlineStr">
        <is>
          <t>26,324 - 37,950</t>
        </is>
      </c>
      <c r="D878" t="inlineStr">
        <is>
          <t>Broker / REV_DEBT low half</t>
        </is>
      </c>
      <c r="E878" t="inlineStr">
        <is>
          <t>contribution_rate</t>
        </is>
      </c>
      <c r="F878" t="inlineStr">
        <is>
          <t>Contribution before losses per booked dollar</t>
        </is>
      </c>
      <c r="G878" t="n">
        <v>277</v>
      </c>
      <c r="H878" t="n">
        <v>8955441.059999997</v>
      </c>
      <c r="I878" t="b">
        <v>0</v>
      </c>
      <c r="J878" t="b">
        <v>0</v>
      </c>
      <c r="K878" t="n">
        <v>-0.03594270232190286</v>
      </c>
      <c r="L878" t="n">
        <v>0.000176452942941</v>
      </c>
      <c r="M878" t="n">
        <v>-0.04100199238940092</v>
      </c>
      <c r="N878" t="n">
        <v>0.0001578789489472106</v>
      </c>
      <c r="O878" t="n">
        <v>321882.7521809263</v>
      </c>
      <c r="P878" t="n">
        <v>367190.9261858484</v>
      </c>
      <c r="Q878">
        <f>'_live'!$C$24</f>
        <v/>
      </c>
      <c r="R878" t="inlineStr">
        <is>
          <t>shuffled: 0 of 10,000</t>
        </is>
      </c>
      <c r="S878" t="inlineStr">
        <is>
          <t>shuffled: 0 of 10,000</t>
        </is>
      </c>
      <c r="T878" t="n">
        <v>0.1708399242349463</v>
      </c>
      <c r="U878" t="n">
        <v>0.1758992143024444</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0.1348972219130435</v>
      </c>
      <c r="AI878">
        <f>IF($Y878="worse","Yes",IF($Y878="worse, not significant","Not sure",IF(OR($Y878="too few losses to test",$Y878="too few loans to test"),"Too few losses",IF($Y878="","","No"))))</f>
        <v/>
      </c>
      <c r="AJ878">
        <f>IF($AA878="yes","Yes",IF($AA878="","","No"))</f>
        <v/>
      </c>
    </row>
    <row r="879">
      <c r="A879" t="inlineStr">
        <is>
          <t>three-way</t>
        </is>
      </c>
      <c r="B879" t="inlineStr">
        <is>
          <t>ORIG_BAL x CHANNEL / REV_DEBT</t>
        </is>
      </c>
      <c r="C879" t="inlineStr">
        <is>
          <t>15,449 - 26,323</t>
        </is>
      </c>
      <c r="D879" t="inlineStr">
        <is>
          <t>Online / REV_DEBT low half</t>
        </is>
      </c>
      <c r="E879" t="inlineStr">
        <is>
          <t>outcome_loans</t>
        </is>
      </c>
      <c r="F879" t="inlineStr">
        <is>
          <t>Outcome, share of loans</t>
        </is>
      </c>
      <c r="G879" t="n">
        <v>269</v>
      </c>
      <c r="H879" t="n">
        <v>269</v>
      </c>
      <c r="I879" t="b">
        <v>0</v>
      </c>
      <c r="J879" t="b">
        <v>0</v>
      </c>
      <c r="K879" t="n">
        <v>0.8114834072299274</v>
      </c>
      <c r="L879" t="n">
        <v>0.4696001157112412</v>
      </c>
      <c r="M879" t="n">
        <v>0.6372366790582403</v>
      </c>
      <c r="N879" t="n">
        <v>0.1067336075595416</v>
      </c>
      <c r="O879" t="n">
        <v>-3.94928848641656</v>
      </c>
      <c r="P879" t="n">
        <v>-9.677685950413224</v>
      </c>
      <c r="Q879">
        <f>'_live'!$C$20</f>
        <v/>
      </c>
      <c r="R879" t="inlineStr">
        <is>
          <t>z test</t>
        </is>
      </c>
      <c r="S879" t="inlineStr">
        <is>
          <t>z test</t>
        </is>
      </c>
      <c r="T879" t="n">
        <v>0.07787839586028461</v>
      </c>
      <c r="U879" t="n">
        <v>0.09917355371900827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0.06319702602230483</v>
      </c>
      <c r="AI879">
        <f>IF($Y879="worse","Yes",IF($Y879="worse, not significant","Not sure",IF(OR($Y879="too few losses to test",$Y879="too few loans to test"),"Too few losses",IF($Y879="","","No"))))</f>
        <v/>
      </c>
      <c r="AJ879">
        <f>IF($AA879="yes","Yes",IF($AA879="","","No"))</f>
        <v/>
      </c>
    </row>
    <row r="880">
      <c r="A880" t="inlineStr">
        <is>
          <t>three-way</t>
        </is>
      </c>
      <c r="B880" t="inlineStr">
        <is>
          <t>ORIG_BAL x CHANNEL / REV_DEBT</t>
        </is>
      </c>
      <c r="C880" t="inlineStr">
        <is>
          <t>15,449 - 26,323</t>
        </is>
      </c>
      <c r="D880" t="inlineStr">
        <is>
          <t>Online / REV_DEBT low half</t>
        </is>
      </c>
      <c r="E880" t="inlineStr">
        <is>
          <t>outcome_booked</t>
        </is>
      </c>
      <c r="F880" t="inlineStr">
        <is>
          <t>Outcome, share of booked dollars</t>
        </is>
      </c>
      <c r="G880" t="n">
        <v>269</v>
      </c>
      <c r="H880" t="n">
        <v>5573800.450000004</v>
      </c>
      <c r="I880" t="b">
        <v>0</v>
      </c>
      <c r="J880" t="b">
        <v>0</v>
      </c>
      <c r="K880" t="n">
        <v>0.8999770617243232</v>
      </c>
      <c r="L880" t="n">
        <v>0.7546120387961204</v>
      </c>
      <c r="M880" t="n">
        <v>0.6814231159588705</v>
      </c>
      <c r="N880" t="n">
        <v>0.1568960750983725</v>
      </c>
      <c r="O880" t="n">
        <v>-41808.01648754667</v>
      </c>
      <c r="P880" t="n">
        <v>-175868.7974331179</v>
      </c>
      <c r="Q880">
        <f>'_live'!$C$21</f>
        <v/>
      </c>
      <c r="R880" t="inlineStr">
        <is>
          <t>shuffled: 6,885 of 10,000</t>
        </is>
      </c>
      <c r="S880" t="inlineStr">
        <is>
          <t>shuffled: 1,066 of 10,000</t>
        </is>
      </c>
      <c r="T880" t="n">
        <v>0.07499089539302513</v>
      </c>
      <c r="U880" t="n">
        <v>0.09904284740461376</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0.06749008569189084</v>
      </c>
      <c r="AI880">
        <f>IF($Y880="worse","Yes",IF($Y880="worse, not significant","Not sure",IF(OR($Y880="too few losses to test",$Y880="too few loans to test"),"Too few losses",IF($Y880="","","No"))))</f>
        <v/>
      </c>
      <c r="AJ880">
        <f>IF($AA880="yes","Yes",IF($AA880="","","No"))</f>
        <v/>
      </c>
    </row>
    <row r="881">
      <c r="A881" t="inlineStr">
        <is>
          <t>three-way</t>
        </is>
      </c>
      <c r="B881" t="inlineStr">
        <is>
          <t>ORIG_BAL x CHANNEL / REV_DEBT</t>
        </is>
      </c>
      <c r="C881" t="inlineStr">
        <is>
          <t>15,449 - 26,323</t>
        </is>
      </c>
      <c r="D881" t="inlineStr">
        <is>
          <t>Online / REV_DEBT low half</t>
        </is>
      </c>
      <c r="E881" t="inlineStr">
        <is>
          <t>gco_rate</t>
        </is>
      </c>
      <c r="F881" t="inlineStr">
        <is>
          <t>GCO per booked dollar</t>
        </is>
      </c>
      <c r="G881" t="n">
        <v>269</v>
      </c>
      <c r="H881" t="n">
        <v>5573800.450000004</v>
      </c>
      <c r="I881" t="b">
        <v>0</v>
      </c>
      <c r="J881" t="b">
        <v>0</v>
      </c>
      <c r="K881" t="n">
        <v>0.8363945937037406</v>
      </c>
      <c r="L881" t="n">
        <v>0.6119842561198425</v>
      </c>
      <c r="M881" t="n">
        <v>0.6146894423985947</v>
      </c>
      <c r="N881" t="n">
        <v>0.1122964626614262</v>
      </c>
      <c r="O881" t="n">
        <v>-38074.56315591652</v>
      </c>
      <c r="P881" t="n">
        <v>-122012.3102675684</v>
      </c>
      <c r="Q881">
        <f>'_live'!$C$22</f>
        <v/>
      </c>
      <c r="R881" t="inlineStr">
        <is>
          <t>shuffled: 5,175 of 10,000</t>
        </is>
      </c>
      <c r="S881" t="inlineStr">
        <is>
          <t>shuffled: 583 of 10,000</t>
        </is>
      </c>
      <c r="T881" t="n">
        <v>0.04175282470973936</v>
      </c>
      <c r="U881" t="n">
        <v>0.05681216310274763</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0.03492183685908595</v>
      </c>
      <c r="AI881">
        <f>IF($Y881="worse","Yes",IF($Y881="worse, not significant","Not sure",IF(OR($Y881="too few losses to test",$Y881="too few loans to test"),"Too few losses",IF($Y881="","","No"))))</f>
        <v/>
      </c>
      <c r="AJ881">
        <f>IF($AA881="yes","Yes",IF($AA881="","","No"))</f>
        <v/>
      </c>
    </row>
    <row r="882">
      <c r="A882" t="inlineStr">
        <is>
          <t>three-way</t>
        </is>
      </c>
      <c r="B882" t="inlineStr">
        <is>
          <t>ORIG_BAL x CHANNEL / REV_DEBT</t>
        </is>
      </c>
      <c r="C882" t="inlineStr">
        <is>
          <t>15,449 - 26,323</t>
        </is>
      </c>
      <c r="D882" t="inlineStr">
        <is>
          <t>Online / REV_DEBT low half</t>
        </is>
      </c>
      <c r="E882" t="inlineStr">
        <is>
          <t>ranr_rate</t>
        </is>
      </c>
      <c r="F882" t="inlineStr">
        <is>
          <t>Profit after losses: RANR per booked dollar</t>
        </is>
      </c>
      <c r="G882" t="n">
        <v>269</v>
      </c>
      <c r="H882" t="n">
        <v>5573800.450000004</v>
      </c>
      <c r="I882" t="b">
        <v>0</v>
      </c>
      <c r="J882" t="b">
        <v>0</v>
      </c>
      <c r="K882" t="n">
        <v>-0.01234054542789932</v>
      </c>
      <c r="L882" t="n">
        <v>0.4526820045268201</v>
      </c>
      <c r="M882" t="n">
        <v>-0.003773171702372305</v>
      </c>
      <c r="N882" t="n">
        <v>0.8436656334366563</v>
      </c>
      <c r="O882" t="n">
        <v>68783.73765927076</v>
      </c>
      <c r="P882" t="n">
        <v>21030.90613261005</v>
      </c>
      <c r="Q882">
        <f>'_live'!$C$23</f>
        <v/>
      </c>
      <c r="R882" t="inlineStr">
        <is>
          <t>shuffled: 3,319 of 10,000</t>
        </is>
      </c>
      <c r="S882" t="inlineStr">
        <is>
          <t>shuffled: 7,814 of 10,000</t>
        </is>
      </c>
      <c r="T882" t="n">
        <v>0.1282565825727168</v>
      </c>
      <c r="U882" t="n">
        <v>0.1196892088471898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0.1159160371448174</v>
      </c>
      <c r="AI882">
        <f>IF($Y882="worse","Yes",IF($Y882="worse, not significant","Not sure",IF(OR($Y882="too few losses to test",$Y882="too few loans to test"),"Too few losses",IF($Y882="","","No"))))</f>
        <v/>
      </c>
      <c r="AJ882">
        <f>IF($AA882="yes","Yes",IF($AA882="","","No"))</f>
        <v/>
      </c>
    </row>
    <row r="883">
      <c r="A883" t="inlineStr">
        <is>
          <t>three-way</t>
        </is>
      </c>
      <c r="B883" t="inlineStr">
        <is>
          <t>ORIG_BAL x CHANNEL / REV_DEBT</t>
        </is>
      </c>
      <c r="C883" t="inlineStr">
        <is>
          <t>15,449 - 26,323</t>
        </is>
      </c>
      <c r="D883" t="inlineStr">
        <is>
          <t>Online / REV_DEBT low half</t>
        </is>
      </c>
      <c r="E883" t="inlineStr">
        <is>
          <t>contribution_rate</t>
        </is>
      </c>
      <c r="F883" t="inlineStr">
        <is>
          <t>Contribution before losses per booked dollar</t>
        </is>
      </c>
      <c r="G883" t="n">
        <v>269</v>
      </c>
      <c r="H883" t="n">
        <v>5573800.450000004</v>
      </c>
      <c r="I883" t="b">
        <v>0</v>
      </c>
      <c r="J883" t="b">
        <v>0</v>
      </c>
      <c r="K883" t="n">
        <v>-0.01916865280187846</v>
      </c>
      <c r="L883" t="n">
        <v>0.023997600239976</v>
      </c>
      <c r="M883" t="n">
        <v>-0.02566349794603398</v>
      </c>
      <c r="N883" t="n">
        <v>0.001956326106519783</v>
      </c>
      <c r="O883" t="n">
        <v>106842.245613004</v>
      </c>
      <c r="P883" t="n">
        <v>143043.2164001783</v>
      </c>
      <c r="Q883">
        <f>'_live'!$C$24</f>
        <v/>
      </c>
      <c r="R883" t="inlineStr">
        <is>
          <t>shuffled: 191 of 10,000</t>
        </is>
      </c>
      <c r="S883" t="inlineStr">
        <is>
          <t>shuffled: 14 of 10,000</t>
        </is>
      </c>
      <c r="T883" t="n">
        <v>0.1700065268057818</v>
      </c>
      <c r="U883" t="n">
        <v>0.1765013719499374</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0.1508378740039034</v>
      </c>
      <c r="AI883">
        <f>IF($Y883="worse","Yes",IF($Y883="worse, not significant","Not sure",IF(OR($Y883="too few losses to test",$Y883="too few loans to test"),"Too few losses",IF($Y883="","","No"))))</f>
        <v/>
      </c>
      <c r="AJ883">
        <f>IF($AA883="yes","Yes",IF($AA883="","","No"))</f>
        <v/>
      </c>
    </row>
    <row r="884">
      <c r="A884" t="inlineStr">
        <is>
          <t>three-way</t>
        </is>
      </c>
      <c r="B884" t="inlineStr">
        <is>
          <t>ORIG_BAL x CHANNEL / REV_DEBT</t>
        </is>
      </c>
      <c r="C884" t="inlineStr">
        <is>
          <t>37,951 - 49,151</t>
        </is>
      </c>
      <c r="D884" t="inlineStr">
        <is>
          <t>Broker / REV_DEBT low half</t>
        </is>
      </c>
      <c r="E884" t="inlineStr">
        <is>
          <t>outcome_loans</t>
        </is>
      </c>
      <c r="F884" t="inlineStr">
        <is>
          <t>Outcome, share of loans</t>
        </is>
      </c>
      <c r="G884" t="n">
        <v>266</v>
      </c>
      <c r="H884" t="n">
        <v>266</v>
      </c>
      <c r="I884" t="b">
        <v>0</v>
      </c>
      <c r="J884" t="b">
        <v>0</v>
      </c>
      <c r="K884" t="n">
        <v>0.6727272727272726</v>
      </c>
      <c r="L884" t="n">
        <v>0.1943403744972247</v>
      </c>
      <c r="M884" t="n">
        <v>0.5850877192982455</v>
      </c>
      <c r="N884" t="n">
        <v>0.09333750426416955</v>
      </c>
      <c r="O884" t="n">
        <v>-6.810810810810814</v>
      </c>
      <c r="P884" t="n">
        <v>-9.928035982008996</v>
      </c>
      <c r="Q884">
        <f>'_live'!$C$20</f>
        <v/>
      </c>
      <c r="R884" t="inlineStr">
        <is>
          <t>z test</t>
        </is>
      </c>
      <c r="S884" t="inlineStr">
        <is>
          <t>z test</t>
        </is>
      </c>
      <c r="T884" t="n">
        <v>0.07823613086770982</v>
      </c>
      <c r="U884" t="n">
        <v>0.08995502248875563</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0.05263157894736842</v>
      </c>
      <c r="AI884">
        <f>IF($Y884="worse","Yes",IF($Y884="worse, not significant","Not sure",IF(OR($Y884="too few losses to test",$Y884="too few loans to test"),"Too few losses",IF($Y884="","","No"))))</f>
        <v/>
      </c>
      <c r="AJ884">
        <f>IF($AA884="yes","Yes",IF($AA884="","","No"))</f>
        <v/>
      </c>
    </row>
    <row r="885">
      <c r="A885" t="inlineStr">
        <is>
          <t>three-way</t>
        </is>
      </c>
      <c r="B885" t="inlineStr">
        <is>
          <t>ORIG_BAL x CHANNEL / REV_DEBT</t>
        </is>
      </c>
      <c r="C885" t="inlineStr">
        <is>
          <t>37,951 - 49,151</t>
        </is>
      </c>
      <c r="D885" t="inlineStr">
        <is>
          <t>Broker / REV_DEBT low half</t>
        </is>
      </c>
      <c r="E885" t="inlineStr">
        <is>
          <t>outcome_booked</t>
        </is>
      </c>
      <c r="F885" t="inlineStr">
        <is>
          <t>Outcome, share of booked dollars</t>
        </is>
      </c>
      <c r="G885" t="n">
        <v>266</v>
      </c>
      <c r="H885" t="n">
        <v>11537498.57000001</v>
      </c>
      <c r="I885" t="b">
        <v>0</v>
      </c>
      <c r="J885" t="b">
        <v>0</v>
      </c>
      <c r="K885" t="n">
        <v>0.6794222594225889</v>
      </c>
      <c r="L885" t="n">
        <v>0.2765348465153485</v>
      </c>
      <c r="M885" t="n">
        <v>0.5773424782697205</v>
      </c>
      <c r="N885" t="n">
        <v>0.1064893510648935</v>
      </c>
      <c r="O885" t="n">
        <v>-280791.8503238175</v>
      </c>
      <c r="P885" t="n">
        <v>-435658.3039184185</v>
      </c>
      <c r="Q885">
        <f>'_live'!$C$21</f>
        <v/>
      </c>
      <c r="R885" t="inlineStr">
        <is>
          <t>shuffled: 1,769 of 10,000</t>
        </is>
      </c>
      <c r="S885" t="inlineStr">
        <is>
          <t>shuffled: 425 of 10,000</t>
        </is>
      </c>
      <c r="T885" t="n">
        <v>0.07591707639308655</v>
      </c>
      <c r="U885" t="n">
        <v>0.08933995594145652</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0.05157975157174815</v>
      </c>
      <c r="AI885">
        <f>IF($Y885="worse","Yes",IF($Y885="worse, not significant","Not sure",IF(OR($Y885="too few losses to test",$Y885="too few loans to test"),"Too few losses",IF($Y885="","","No"))))</f>
        <v/>
      </c>
      <c r="AJ885">
        <f>IF($AA885="yes","Yes",IF($AA885="","","No"))</f>
        <v/>
      </c>
    </row>
    <row r="886">
      <c r="A886" t="inlineStr">
        <is>
          <t>three-way</t>
        </is>
      </c>
      <c r="B886" t="inlineStr">
        <is>
          <t>ORIG_BAL x CHANNEL / REV_DEBT</t>
        </is>
      </c>
      <c r="C886" t="inlineStr">
        <is>
          <t>37,951 - 49,151</t>
        </is>
      </c>
      <c r="D886" t="inlineStr">
        <is>
          <t>Broker / REV_DEBT low half</t>
        </is>
      </c>
      <c r="E886" t="inlineStr">
        <is>
          <t>gco_rate</t>
        </is>
      </c>
      <c r="F886" t="inlineStr">
        <is>
          <t>GCO per booked dollar</t>
        </is>
      </c>
      <c r="G886" t="n">
        <v>266</v>
      </c>
      <c r="H886" t="n">
        <v>11537498.57000001</v>
      </c>
      <c r="I886" t="b">
        <v>0</v>
      </c>
      <c r="J886" t="b">
        <v>0</v>
      </c>
      <c r="K886" t="n">
        <v>0.6827705739003429</v>
      </c>
      <c r="L886" t="n">
        <v>0.328967103289671</v>
      </c>
      <c r="M886" t="n">
        <v>0.5725423191278118</v>
      </c>
      <c r="N886" t="n">
        <v>0.1008232510082325</v>
      </c>
      <c r="O886" t="n">
        <v>-154467.750601822</v>
      </c>
      <c r="P886" t="n">
        <v>-248213.0920598094</v>
      </c>
      <c r="Q886">
        <f>'_live'!$C$22</f>
        <v/>
      </c>
      <c r="R886" t="inlineStr">
        <is>
          <t>shuffled: 1,973 of 10,000</t>
        </is>
      </c>
      <c r="S886" t="inlineStr">
        <is>
          <t>shuffled: 478 of 10,000</t>
        </is>
      </c>
      <c r="T886" t="n">
        <v>0.04220391080852992</v>
      </c>
      <c r="U886" t="n">
        <v>0.05032918518141223</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0.02881558840357886</v>
      </c>
      <c r="AI886">
        <f>IF($Y886="worse","Yes",IF($Y886="worse, not significant","Not sure",IF(OR($Y886="too few losses to test",$Y886="too few loans to test"),"Too few losses",IF($Y886="","","No"))))</f>
        <v/>
      </c>
      <c r="AJ886">
        <f>IF($AA886="yes","Yes",IF($AA886="","","No"))</f>
        <v/>
      </c>
    </row>
    <row r="887">
      <c r="A887" t="inlineStr">
        <is>
          <t>three-way</t>
        </is>
      </c>
      <c r="B887" t="inlineStr">
        <is>
          <t>ORIG_BAL x CHANNEL / REV_DEBT</t>
        </is>
      </c>
      <c r="C887" t="inlineStr">
        <is>
          <t>37,951 - 49,151</t>
        </is>
      </c>
      <c r="D887" t="inlineStr">
        <is>
          <t>Broker / REV_DEBT low half</t>
        </is>
      </c>
      <c r="E887" t="inlineStr">
        <is>
          <t>ranr_rate</t>
        </is>
      </c>
      <c r="F887" t="inlineStr">
        <is>
          <t>Profit after losses: RANR per booked dollar</t>
        </is>
      </c>
      <c r="G887" t="n">
        <v>266</v>
      </c>
      <c r="H887" t="n">
        <v>11537498.57000001</v>
      </c>
      <c r="I887" t="b">
        <v>0</v>
      </c>
      <c r="J887" t="b">
        <v>0</v>
      </c>
      <c r="K887" t="n">
        <v>-0.02569834667116802</v>
      </c>
      <c r="L887" t="n">
        <v>0.08839116088391161</v>
      </c>
      <c r="M887" t="n">
        <v>-0.02275457005258008</v>
      </c>
      <c r="N887" t="n">
        <v>0.1334866513348665</v>
      </c>
      <c r="O887" t="n">
        <v>296494.6379699656</v>
      </c>
      <c r="P887" t="n">
        <v>262530.8194426077</v>
      </c>
      <c r="Q887">
        <f>'_live'!$C$23</f>
        <v/>
      </c>
      <c r="R887" t="inlineStr">
        <is>
          <t>shuffled: 425 of 10,000</t>
        </is>
      </c>
      <c r="S887" t="inlineStr">
        <is>
          <t>shuffled: 889 of 10,000</t>
        </is>
      </c>
      <c r="T887" t="n">
        <v>0.1291389488744235</v>
      </c>
      <c r="U887" t="n">
        <v>0.1261951722558356</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0.1034406022032555</v>
      </c>
      <c r="AI887">
        <f>IF($Y887="worse","Yes",IF($Y887="worse, not significant","Not sure",IF(OR($Y887="too few losses to test",$Y887="too few loans to test"),"Too few losses",IF($Y887="","","No"))))</f>
        <v/>
      </c>
      <c r="AJ887">
        <f>IF($AA887="yes","Yes",IF($AA887="","","No"))</f>
        <v/>
      </c>
    </row>
    <row r="888">
      <c r="A888" t="inlineStr">
        <is>
          <t>three-way</t>
        </is>
      </c>
      <c r="B888" t="inlineStr">
        <is>
          <t>ORIG_BAL x CHANNEL / REV_DEBT</t>
        </is>
      </c>
      <c r="C888" t="inlineStr">
        <is>
          <t>37,951 - 49,151</t>
        </is>
      </c>
      <c r="D888" t="inlineStr">
        <is>
          <t>Broker / REV_DEBT low half</t>
        </is>
      </c>
      <c r="E888" t="inlineStr">
        <is>
          <t>contribution_rate</t>
        </is>
      </c>
      <c r="F888" t="inlineStr">
        <is>
          <t>Contribution before losses per booked dollar</t>
        </is>
      </c>
      <c r="G888" t="n">
        <v>266</v>
      </c>
      <c r="H888" t="n">
        <v>11537498.57000001</v>
      </c>
      <c r="I888" t="b">
        <v>0</v>
      </c>
      <c r="J888" t="b">
        <v>0</v>
      </c>
      <c r="K888" t="n">
        <v>-0.03908386096675803</v>
      </c>
      <c r="L888" t="n">
        <v>0.000176452942941</v>
      </c>
      <c r="M888" t="n">
        <v>-0.04425424757540231</v>
      </c>
      <c r="N888" t="n">
        <v>0.0001578789489472106</v>
      </c>
      <c r="O888" t="n">
        <v>450929.9900140499</v>
      </c>
      <c r="P888" t="n">
        <v>510583.3181176304</v>
      </c>
      <c r="Q888">
        <f>'_live'!$C$24</f>
        <v/>
      </c>
      <c r="R888" t="inlineStr">
        <is>
          <t>shuffled: 0 of 10,000</t>
        </is>
      </c>
      <c r="S888" t="inlineStr">
        <is>
          <t>shuffled: 0 of 10,000</t>
        </is>
      </c>
      <c r="T888" t="n">
        <v>0.1713400515735923</v>
      </c>
      <c r="U888" t="n">
        <v>0.1765104381822366</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0.1322561906068342</v>
      </c>
      <c r="AI888">
        <f>IF($Y888="worse","Yes",IF($Y888="worse, not significant","Not sure",IF(OR($Y888="too few losses to test",$Y888="too few loans to test"),"Too few losses",IF($Y888="","","No"))))</f>
        <v/>
      </c>
      <c r="AJ888">
        <f>IF($AA888="yes","Yes",IF($AA888="","","No"))</f>
        <v/>
      </c>
    </row>
    <row r="889">
      <c r="A889" t="inlineStr">
        <is>
          <t>three-way</t>
        </is>
      </c>
      <c r="B889" t="inlineStr">
        <is>
          <t>ORIG_BAL x CHANNEL / REV_DEBT</t>
        </is>
      </c>
      <c r="C889" t="inlineStr">
        <is>
          <t>15,449 - 26,323</t>
        </is>
      </c>
      <c r="D889" t="inlineStr">
        <is>
          <t>Broker / REV_DEBT low half</t>
        </is>
      </c>
      <c r="E889" t="inlineStr">
        <is>
          <t>outcome_loans</t>
        </is>
      </c>
      <c r="F889" t="inlineStr">
        <is>
          <t>Outcome, share of loans</t>
        </is>
      </c>
      <c r="G889" t="n">
        <v>269</v>
      </c>
      <c r="H889" t="n">
        <v>269</v>
      </c>
      <c r="I889" t="b">
        <v>0</v>
      </c>
      <c r="J889" t="b">
        <v>0</v>
      </c>
      <c r="K889" t="n">
        <v>0.8114834072299274</v>
      </c>
      <c r="L889" t="n">
        <v>0.4696001157112412</v>
      </c>
      <c r="M889" t="n">
        <v>0.6372366790582403</v>
      </c>
      <c r="N889" t="n">
        <v>0.1067336075595416</v>
      </c>
      <c r="O889" t="n">
        <v>-3.94928848641656</v>
      </c>
      <c r="P889" t="n">
        <v>-9.677685950413224</v>
      </c>
      <c r="Q889">
        <f>'_live'!$C$20</f>
        <v/>
      </c>
      <c r="R889" t="inlineStr">
        <is>
          <t>z test</t>
        </is>
      </c>
      <c r="S889" t="inlineStr">
        <is>
          <t>z test</t>
        </is>
      </c>
      <c r="T889" t="n">
        <v>0.07787839586028461</v>
      </c>
      <c r="U889" t="n">
        <v>0.09917355371900827</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0.06319702602230483</v>
      </c>
      <c r="AI889">
        <f>IF($Y889="worse","Yes",IF($Y889="worse, not significant","Not sure",IF(OR($Y889="too few losses to test",$Y889="too few loans to test"),"Too few losses",IF($Y889="","","No"))))</f>
        <v/>
      </c>
      <c r="AJ889">
        <f>IF($AA889="yes","Yes",IF($AA889="","","No"))</f>
        <v/>
      </c>
    </row>
    <row r="890">
      <c r="A890" t="inlineStr">
        <is>
          <t>three-way</t>
        </is>
      </c>
      <c r="B890" t="inlineStr">
        <is>
          <t>ORIG_BAL x CHANNEL / REV_DEBT</t>
        </is>
      </c>
      <c r="C890" t="inlineStr">
        <is>
          <t>15,449 - 26,323</t>
        </is>
      </c>
      <c r="D890" t="inlineStr">
        <is>
          <t>Broker / REV_DEBT low half</t>
        </is>
      </c>
      <c r="E890" t="inlineStr">
        <is>
          <t>outcome_booked</t>
        </is>
      </c>
      <c r="F890" t="inlineStr">
        <is>
          <t>Outcome, share of booked dollars</t>
        </is>
      </c>
      <c r="G890" t="n">
        <v>269</v>
      </c>
      <c r="H890" t="n">
        <v>5634060.650000003</v>
      </c>
      <c r="I890" t="b">
        <v>0</v>
      </c>
      <c r="J890" t="b">
        <v>0</v>
      </c>
      <c r="K890" t="n">
        <v>0.828378855471341</v>
      </c>
      <c r="L890" t="n">
        <v>0.6179645193375399</v>
      </c>
      <c r="M890" t="n">
        <v>0.6210781195925009</v>
      </c>
      <c r="N890" t="n">
        <v>0.1110305636103056</v>
      </c>
      <c r="O890" t="n">
        <v>-72625.97627760045</v>
      </c>
      <c r="P890" t="n">
        <v>-213871.8611918575</v>
      </c>
      <c r="Q890">
        <f>'_live'!$C$21</f>
        <v/>
      </c>
      <c r="R890" t="inlineStr">
        <is>
          <t>shuffled: 4,696 of 10,000</t>
        </is>
      </c>
      <c r="S890" t="inlineStr">
        <is>
          <t>shuffled: 532 of 10,000</t>
        </is>
      </c>
      <c r="T890" t="n">
        <v>0.07511033028684208</v>
      </c>
      <c r="U890" t="n">
        <v>0.100180327521298</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0.06221980943708864</v>
      </c>
      <c r="AI890">
        <f>IF($Y890="worse","Yes",IF($Y890="worse, not significant","Not sure",IF(OR($Y890="too few losses to test",$Y890="too few loans to test"),"Too few losses",IF($Y890="","","No"))))</f>
        <v/>
      </c>
      <c r="AJ890">
        <f>IF($AA890="yes","Yes",IF($AA890="","","No"))</f>
        <v/>
      </c>
    </row>
    <row r="891">
      <c r="A891" t="inlineStr">
        <is>
          <t>three-way</t>
        </is>
      </c>
      <c r="B891" t="inlineStr">
        <is>
          <t>ORIG_BAL x CHANNEL / REV_DEBT</t>
        </is>
      </c>
      <c r="C891" t="inlineStr">
        <is>
          <t>15,449 - 26,323</t>
        </is>
      </c>
      <c r="D891" t="inlineStr">
        <is>
          <t>Broker / REV_DEBT low half</t>
        </is>
      </c>
      <c r="E891" t="inlineStr">
        <is>
          <t>gco_rate</t>
        </is>
      </c>
      <c r="F891" t="inlineStr">
        <is>
          <t>GCO per booked dollar</t>
        </is>
      </c>
      <c r="G891" t="n">
        <v>269</v>
      </c>
      <c r="H891" t="n">
        <v>5634060.650000003</v>
      </c>
      <c r="I891" t="b">
        <v>0</v>
      </c>
      <c r="J891" t="b">
        <v>0</v>
      </c>
      <c r="K891" t="n">
        <v>0.8117631107897897</v>
      </c>
      <c r="L891" t="n">
        <v>0.5786921307869213</v>
      </c>
      <c r="M891" t="n">
        <v>0.5942947785338845</v>
      </c>
      <c r="N891" t="n">
        <v>0.1008232510082325</v>
      </c>
      <c r="O891" t="n">
        <v>-44306.07177802233</v>
      </c>
      <c r="P891" t="n">
        <v>-130435.7092014308</v>
      </c>
      <c r="Q891">
        <f>'_live'!$C$22</f>
        <v/>
      </c>
      <c r="R891" t="inlineStr">
        <is>
          <t>shuffled: 4,425 of 10,000</t>
        </is>
      </c>
      <c r="S891" t="inlineStr">
        <is>
          <t>shuffled: 443 of 10,000</t>
        </is>
      </c>
      <c r="T891" t="n">
        <v>0.04177697515166476</v>
      </c>
      <c r="U891" t="n">
        <v>0.05706428616479851</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0.03391300730850313</v>
      </c>
      <c r="AI891">
        <f>IF($Y891="worse","Yes",IF($Y891="worse, not significant","Not sure",IF(OR($Y891="too few losses to test",$Y891="too few loans to test"),"Too few losses",IF($Y891="","","No"))))</f>
        <v/>
      </c>
      <c r="AJ891">
        <f>IF($AA891="yes","Yes",IF($AA891="","","No"))</f>
        <v/>
      </c>
    </row>
    <row r="892">
      <c r="A892" t="inlineStr">
        <is>
          <t>three-way</t>
        </is>
      </c>
      <c r="B892" t="inlineStr">
        <is>
          <t>ORIG_BAL x CHANNEL / REV_DEBT</t>
        </is>
      </c>
      <c r="C892" t="inlineStr">
        <is>
          <t>15,449 - 26,323</t>
        </is>
      </c>
      <c r="D892" t="inlineStr">
        <is>
          <t>Broker / REV_DEBT low half</t>
        </is>
      </c>
      <c r="E892" t="inlineStr">
        <is>
          <t>ranr_rate</t>
        </is>
      </c>
      <c r="F892" t="inlineStr">
        <is>
          <t>Profit after losses: RANR per booked dollar</t>
        </is>
      </c>
      <c r="G892" t="n">
        <v>269</v>
      </c>
      <c r="H892" t="n">
        <v>5634060.650000003</v>
      </c>
      <c r="I892" t="b">
        <v>0</v>
      </c>
      <c r="J892" t="b">
        <v>0</v>
      </c>
      <c r="K892" t="n">
        <v>-0.0368403319600653</v>
      </c>
      <c r="L892" t="n">
        <v>0.0317968203179682</v>
      </c>
      <c r="M892" t="n">
        <v>-0.03260386402143764</v>
      </c>
      <c r="N892" t="n">
        <v>0.05166150051661501</v>
      </c>
      <c r="O892" t="n">
        <v>207560.6646291413</v>
      </c>
      <c r="P892" t="n">
        <v>183692.1473211327</v>
      </c>
      <c r="Q892">
        <f>'_live'!$C$23</f>
        <v/>
      </c>
      <c r="R892" t="inlineStr">
        <is>
          <t>shuffled: 26 of 10,000</t>
        </is>
      </c>
      <c r="S892" t="inlineStr">
        <is>
          <t>shuffled: 154 of 10,000</t>
        </is>
      </c>
      <c r="T892" t="n">
        <v>0.1287943349756345</v>
      </c>
      <c r="U892" t="n">
        <v>0.1245578670370068</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0.09195400301556918</v>
      </c>
      <c r="AI892">
        <f>IF($Y892="worse","Yes",IF($Y892="worse, not significant","Not sure",IF(OR($Y892="too few losses to test",$Y892="too few loans to test"),"Too few losses",IF($Y892="","","No"))))</f>
        <v/>
      </c>
      <c r="AJ892">
        <f>IF($AA892="yes","Yes",IF($AA892="","","No"))</f>
        <v/>
      </c>
    </row>
    <row r="893">
      <c r="A893" t="inlineStr">
        <is>
          <t>three-way</t>
        </is>
      </c>
      <c r="B893" t="inlineStr">
        <is>
          <t>ORIG_BAL x CHANNEL / REV_DEBT</t>
        </is>
      </c>
      <c r="C893" t="inlineStr">
        <is>
          <t>15,449 - 26,323</t>
        </is>
      </c>
      <c r="D893" t="inlineStr">
        <is>
          <t>Broker / REV_DEBT low half</t>
        </is>
      </c>
      <c r="E893" t="inlineStr">
        <is>
          <t>contribution_rate</t>
        </is>
      </c>
      <c r="F893" t="inlineStr">
        <is>
          <t>Contribution before losses per booked dollar</t>
        </is>
      </c>
      <c r="G893" t="n">
        <v>269</v>
      </c>
      <c r="H893" t="n">
        <v>5634060.650000003</v>
      </c>
      <c r="I893" t="b">
        <v>0</v>
      </c>
      <c r="J893" t="b">
        <v>0</v>
      </c>
      <c r="K893" t="n">
        <v>-0.04470150319051427</v>
      </c>
      <c r="L893" t="n">
        <v>0.000176452942941</v>
      </c>
      <c r="M893" t="n">
        <v>-0.05575514287773306</v>
      </c>
      <c r="N893" t="n">
        <v>0.0001578789489472106</v>
      </c>
      <c r="O893" t="n">
        <v>251850.9801215259</v>
      </c>
      <c r="P893" t="n">
        <v>314127.8565225637</v>
      </c>
      <c r="Q893">
        <f>'_live'!$C$24</f>
        <v/>
      </c>
      <c r="R893" t="inlineStr">
        <is>
          <t>shuffled: 0 of 10,000</t>
        </is>
      </c>
      <c r="S893" t="inlineStr">
        <is>
          <t>shuffled: 0 of 10,000</t>
        </is>
      </c>
      <c r="T893" t="n">
        <v>0.1705685135145865</v>
      </c>
      <c r="U893" t="n">
        <v>0.1816221532018053</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0.1258670103240722</v>
      </c>
      <c r="AI893">
        <f>IF($Y893="worse","Yes",IF($Y893="worse, not significant","Not sure",IF(OR($Y893="too few losses to test",$Y893="too few loans to test"),"Too few losses",IF($Y893="","","No"))))</f>
        <v/>
      </c>
      <c r="AJ893">
        <f>IF($AA893="yes","Yes",IF($AA893="","","No"))</f>
        <v/>
      </c>
    </row>
    <row r="894">
      <c r="A894" t="inlineStr">
        <is>
          <t>three-way</t>
        </is>
      </c>
      <c r="B894" t="inlineStr">
        <is>
          <t>ORIG_BAL x CHANNEL / REV_DEBT</t>
        </is>
      </c>
      <c r="C894" t="inlineStr">
        <is>
          <t>5,005 - 15,448</t>
        </is>
      </c>
      <c r="D894" t="inlineStr">
        <is>
          <t>Online / REV_DEBT low half</t>
        </is>
      </c>
      <c r="E894" t="inlineStr">
        <is>
          <t>outcome_loans</t>
        </is>
      </c>
      <c r="F894" t="inlineStr">
        <is>
          <t>Outcome, share of loans</t>
        </is>
      </c>
      <c r="G894" t="n">
        <v>272</v>
      </c>
      <c r="H894" t="n">
        <v>272</v>
      </c>
      <c r="I894" t="b">
        <v>0</v>
      </c>
      <c r="J894" t="b">
        <v>0</v>
      </c>
      <c r="K894" t="n">
        <v>0.7054988800155824</v>
      </c>
      <c r="L894" t="n">
        <v>0.2390557293271068</v>
      </c>
      <c r="M894" t="n">
        <v>0.6781045751633987</v>
      </c>
      <c r="N894" t="n">
        <v>0.1839508989047901</v>
      </c>
      <c r="O894" t="n">
        <v>-6.261550407661446</v>
      </c>
      <c r="P894" t="n">
        <v>-7.120481927710841</v>
      </c>
      <c r="Q894">
        <f>'_live'!$C$20</f>
        <v/>
      </c>
      <c r="R894" t="inlineStr">
        <is>
          <t>z test</t>
        </is>
      </c>
      <c r="S894" t="inlineStr">
        <is>
          <t>z test</t>
        </is>
      </c>
      <c r="T894" t="n">
        <v>0.07816746473404944</v>
      </c>
      <c r="U894" t="n">
        <v>0.08132530120481928</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0.05514705882352941</v>
      </c>
      <c r="AI894">
        <f>IF($Y894="worse","Yes",IF($Y894="worse, not significant","Not sure",IF(OR($Y894="too few losses to test",$Y894="too few loans to test"),"Too few losses",IF($Y894="","","No"))))</f>
        <v/>
      </c>
      <c r="AJ894">
        <f>IF($AA894="yes","Yes",IF($AA894="","","No"))</f>
        <v/>
      </c>
    </row>
    <row r="895">
      <c r="A895" t="inlineStr">
        <is>
          <t>three-way</t>
        </is>
      </c>
      <c r="B895" t="inlineStr">
        <is>
          <t>ORIG_BAL x CHANNEL / REV_DEBT</t>
        </is>
      </c>
      <c r="C895" t="inlineStr">
        <is>
          <t>5,005 - 15,448</t>
        </is>
      </c>
      <c r="D895" t="inlineStr">
        <is>
          <t>Online / REV_DEBT low half</t>
        </is>
      </c>
      <c r="E895" t="inlineStr">
        <is>
          <t>outcome_booked</t>
        </is>
      </c>
      <c r="F895" t="inlineStr">
        <is>
          <t>Outcome, share of booked dollars</t>
        </is>
      </c>
      <c r="G895" t="n">
        <v>272</v>
      </c>
      <c r="H895" t="n">
        <v>2723995.540000001</v>
      </c>
      <c r="I895" t="b">
        <v>0</v>
      </c>
      <c r="J895" t="b">
        <v>0</v>
      </c>
      <c r="K895" t="n">
        <v>0.7873708195413752</v>
      </c>
      <c r="L895" t="n">
        <v>0.5288360052883601</v>
      </c>
      <c r="M895" t="n">
        <v>0.7483624084233907</v>
      </c>
      <c r="N895" t="n">
        <v>0.3304431461615743</v>
      </c>
      <c r="O895" t="n">
        <v>-43438.45688150471</v>
      </c>
      <c r="P895" t="n">
        <v>-54087.18700669834</v>
      </c>
      <c r="Q895">
        <f>'_live'!$C$21</f>
        <v/>
      </c>
      <c r="R895" t="inlineStr">
        <is>
          <t>shuffled: 3,780 of 10,000</t>
        </is>
      </c>
      <c r="S895" t="inlineStr">
        <is>
          <t>shuffled: 2,775 of 10,000</t>
        </is>
      </c>
      <c r="T895" t="n">
        <v>0.07499721415898671</v>
      </c>
      <c r="U895" t="n">
        <v>0.07890644600934195</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0.05905061797568139</v>
      </c>
      <c r="AI895">
        <f>IF($Y895="worse","Yes",IF($Y895="worse, not significant","Not sure",IF(OR($Y895="too few losses to test",$Y895="too few loans to test"),"Too few losses",IF($Y895="","","No"))))</f>
        <v/>
      </c>
      <c r="AJ895">
        <f>IF($AA895="yes","Yes",IF($AA895="","","No"))</f>
        <v/>
      </c>
    </row>
    <row r="896">
      <c r="A896" t="inlineStr">
        <is>
          <t>three-way</t>
        </is>
      </c>
      <c r="B896" t="inlineStr">
        <is>
          <t>ORIG_BAL x CHANNEL / REV_DEBT</t>
        </is>
      </c>
      <c r="C896" t="inlineStr">
        <is>
          <t>5,005 - 15,448</t>
        </is>
      </c>
      <c r="D896" t="inlineStr">
        <is>
          <t>Online / REV_DEBT low half</t>
        </is>
      </c>
      <c r="E896" t="inlineStr">
        <is>
          <t>gco_rate</t>
        </is>
      </c>
      <c r="F896" t="inlineStr">
        <is>
          <t>GCO per booked dollar</t>
        </is>
      </c>
      <c r="G896" t="n">
        <v>272</v>
      </c>
      <c r="H896" t="n">
        <v>2723995.540000001</v>
      </c>
      <c r="I896" t="b">
        <v>0</v>
      </c>
      <c r="J896" t="b">
        <v>0</v>
      </c>
      <c r="K896" t="n">
        <v>0.8183200137426059</v>
      </c>
      <c r="L896" t="n">
        <v>0.5786921307869213</v>
      </c>
      <c r="M896" t="n">
        <v>0.7957687271833098</v>
      </c>
      <c r="N896" t="n">
        <v>0.456772504567725</v>
      </c>
      <c r="O896" t="n">
        <v>-20629.82514556941</v>
      </c>
      <c r="P896" t="n">
        <v>-23847.72789144451</v>
      </c>
      <c r="Q896">
        <f>'_live'!$C$22</f>
        <v/>
      </c>
      <c r="R896" t="inlineStr">
        <is>
          <t>shuffled: 4,629 of 10,000</t>
        </is>
      </c>
      <c r="S896" t="inlineStr">
        <is>
          <t>shuffled: 4,019 of 10,000</t>
        </is>
      </c>
      <c r="T896" t="n">
        <v>0.04168521698297985</v>
      </c>
      <c r="U896" t="n">
        <v>0.0428665341689379</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0.03411184733437558</v>
      </c>
      <c r="AI896">
        <f>IF($Y896="worse","Yes",IF($Y896="worse, not significant","Not sure",IF(OR($Y896="too few losses to test",$Y896="too few loans to test"),"Too few losses",IF($Y896="","","No"))))</f>
        <v/>
      </c>
      <c r="AJ896">
        <f>IF($AA896="yes","Yes",IF($AA896="","","No"))</f>
        <v/>
      </c>
    </row>
    <row r="897">
      <c r="A897" t="inlineStr">
        <is>
          <t>three-way</t>
        </is>
      </c>
      <c r="B897" t="inlineStr">
        <is>
          <t>ORIG_BAL x CHANNEL / REV_DEBT</t>
        </is>
      </c>
      <c r="C897" t="inlineStr">
        <is>
          <t>5,005 - 15,448</t>
        </is>
      </c>
      <c r="D897" t="inlineStr">
        <is>
          <t>Online / REV_DEBT low half</t>
        </is>
      </c>
      <c r="E897" t="inlineStr">
        <is>
          <t>ranr_rate</t>
        </is>
      </c>
      <c r="F897" t="inlineStr">
        <is>
          <t>Profit after losses: RANR per booked dollar</t>
        </is>
      </c>
      <c r="G897" t="n">
        <v>272</v>
      </c>
      <c r="H897" t="n">
        <v>2723995.540000001</v>
      </c>
      <c r="I897" t="b">
        <v>0</v>
      </c>
      <c r="J897" t="b">
        <v>0</v>
      </c>
      <c r="K897" t="n">
        <v>0.01351363015520987</v>
      </c>
      <c r="L897" t="n">
        <v>0.3969603039696031</v>
      </c>
      <c r="M897" t="n">
        <v>-0.006391361686342384</v>
      </c>
      <c r="N897" t="n">
        <v>0.7315668433156685</v>
      </c>
      <c r="O897" t="n">
        <v>-36811.06827200123</v>
      </c>
      <c r="P897" t="n">
        <v>17410.04072812351</v>
      </c>
      <c r="Q897">
        <f>'_live'!$C$23</f>
        <v/>
      </c>
      <c r="R897" t="inlineStr">
        <is>
          <t>shuffled: 2,778 of 10,000</t>
        </is>
      </c>
      <c r="S897" t="inlineStr">
        <is>
          <t>shuffled: 6,096 of 10,000</t>
        </is>
      </c>
      <c r="T897" t="n">
        <v>0.1278474089307792</v>
      </c>
      <c r="U897" t="n">
        <v>0.1477524007723314</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0.141361039085989</v>
      </c>
      <c r="AI897">
        <f>IF($Y897="worse","Yes",IF($Y897="worse, not significant","Not sure",IF(OR($Y897="too few losses to test",$Y897="too few loans to test"),"Too few losses",IF($Y897="","","No"))))</f>
        <v/>
      </c>
      <c r="AJ897">
        <f>IF($AA897="yes","Yes",IF($AA897="","","No"))</f>
        <v/>
      </c>
    </row>
    <row r="898">
      <c r="A898" t="inlineStr">
        <is>
          <t>three-way</t>
        </is>
      </c>
      <c r="B898" t="inlineStr">
        <is>
          <t>ORIG_BAL x CHANNEL / REV_DEBT</t>
        </is>
      </c>
      <c r="C898" t="inlineStr">
        <is>
          <t>5,005 - 15,448</t>
        </is>
      </c>
      <c r="D898" t="inlineStr">
        <is>
          <t>Online / REV_DEBT low half</t>
        </is>
      </c>
      <c r="E898" t="inlineStr">
        <is>
          <t>contribution_rate</t>
        </is>
      </c>
      <c r="F898" t="inlineStr">
        <is>
          <t>Contribution before losses per booked dollar</t>
        </is>
      </c>
      <c r="G898" t="n">
        <v>272</v>
      </c>
      <c r="H898" t="n">
        <v>2723995.540000001</v>
      </c>
      <c r="I898" t="b">
        <v>0</v>
      </c>
      <c r="J898" t="b">
        <v>0</v>
      </c>
      <c r="K898" t="n">
        <v>0.005943172432070681</v>
      </c>
      <c r="L898" t="n">
        <v>0.4900889221422686</v>
      </c>
      <c r="M898" t="n">
        <v>-0.0151460485209047</v>
      </c>
      <c r="N898" t="n">
        <v>0.06992404207855077</v>
      </c>
      <c r="O898" t="n">
        <v>-16189.17519841151</v>
      </c>
      <c r="P898" t="n">
        <v>41257.76861956797</v>
      </c>
      <c r="Q898">
        <f>'_live'!$C$24</f>
        <v/>
      </c>
      <c r="R898" t="inlineStr">
        <is>
          <t>shuffled: 4,737 of 10,000</t>
        </is>
      </c>
      <c r="S898" t="inlineStr">
        <is>
          <t>shuffled: 675 of 10,000</t>
        </is>
      </c>
      <c r="T898" t="n">
        <v>0.1695297139882939</v>
      </c>
      <c r="U898" t="n">
        <v>0.1906189349412693</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0.1754728864203646</v>
      </c>
      <c r="AI898">
        <f>IF($Y898="worse","Yes",IF($Y898="worse, not significant","Not sure",IF(OR($Y898="too few losses to test",$Y898="too few loans to test"),"Too few losses",IF($Y898="","","No"))))</f>
        <v/>
      </c>
      <c r="AJ898">
        <f>IF($AA898="yes","Yes",IF($AA898="","","No"))</f>
        <v/>
      </c>
    </row>
    <row r="899">
      <c r="A899" t="inlineStr">
        <is>
          <t>three-way</t>
        </is>
      </c>
      <c r="B899" t="inlineStr">
        <is>
          <t>ORIG_BAL x CHANNEL / REV_DEBT</t>
        </is>
      </c>
      <c r="C899" t="inlineStr">
        <is>
          <t>5,005 - 15,448</t>
        </is>
      </c>
      <c r="D899" t="inlineStr">
        <is>
          <t>Broker / REV_DEBT low half</t>
        </is>
      </c>
      <c r="E899" t="inlineStr">
        <is>
          <t>outcome_loans</t>
        </is>
      </c>
      <c r="F899" t="inlineStr">
        <is>
          <t>Outcome, share of loans</t>
        </is>
      </c>
      <c r="G899" t="n">
        <v>257</v>
      </c>
      <c r="H899" t="n">
        <v>257</v>
      </c>
      <c r="I899" t="b">
        <v>1</v>
      </c>
      <c r="J899" t="b">
        <v>0</v>
      </c>
      <c r="K899" t="n">
        <v>0.3944289835505996</v>
      </c>
      <c r="M899" t="n">
        <v>0.3635256301810184</v>
      </c>
      <c r="O899" t="n">
        <v>-12.28248514595712</v>
      </c>
      <c r="P899" t="n">
        <v>-14.00670141474311</v>
      </c>
      <c r="Q899">
        <f>'_live'!$C$20</f>
        <v/>
      </c>
      <c r="T899" t="n">
        <v>0.07892017566520279</v>
      </c>
      <c r="U899" t="n">
        <v>0.08562918838421445</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0.0311284046692607</v>
      </c>
      <c r="AI899">
        <f>IF($Y899="worse","Yes",IF($Y899="worse, not significant","Not sure",IF(OR($Y899="too few losses to test",$Y899="too few loans to test"),"Too few losses",IF($Y899="","","No"))))</f>
        <v/>
      </c>
      <c r="AJ899">
        <f>IF($AA899="yes","Yes",IF($AA899="","","No"))</f>
        <v/>
      </c>
    </row>
    <row r="900">
      <c r="A900" t="inlineStr">
        <is>
          <t>three-way</t>
        </is>
      </c>
      <c r="B900" t="inlineStr">
        <is>
          <t>ORIG_BAL x CHANNEL / REV_DEBT</t>
        </is>
      </c>
      <c r="C900" t="inlineStr">
        <is>
          <t>5,005 - 15,448</t>
        </is>
      </c>
      <c r="D900" t="inlineStr">
        <is>
          <t>Broker / REV_DEBT low half</t>
        </is>
      </c>
      <c r="E900" t="inlineStr">
        <is>
          <t>outcome_booked</t>
        </is>
      </c>
      <c r="F900" t="inlineStr">
        <is>
          <t>Outcome, share of booked dollars</t>
        </is>
      </c>
      <c r="G900" t="n">
        <v>257</v>
      </c>
      <c r="H900" t="n">
        <v>2609176.550000002</v>
      </c>
      <c r="I900" t="b">
        <v>1</v>
      </c>
      <c r="J900" t="b">
        <v>0</v>
      </c>
      <c r="K900" t="n">
        <v>0.4435150618055554</v>
      </c>
      <c r="M900" t="n">
        <v>0.3989604326134273</v>
      </c>
      <c r="O900" t="n">
        <v>-109263.9200018938</v>
      </c>
      <c r="P900" t="n">
        <v>-131191.2812025212</v>
      </c>
      <c r="Q900">
        <f>'_live'!$C$21</f>
        <v/>
      </c>
      <c r="T900" t="n">
        <v>0.07525232050774551</v>
      </c>
      <c r="U900" t="n">
        <v>0.08365625975080952</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0.03337553758100421</v>
      </c>
      <c r="AI900">
        <f>IF($Y900="worse","Yes",IF($Y900="worse, not significant","Not sure",IF(OR($Y900="too few losses to test",$Y900="too few loans to test"),"Too few losses",IF($Y900="","","No"))))</f>
        <v/>
      </c>
      <c r="AJ900">
        <f>IF($AA900="yes","Yes",IF($AA900="","","No"))</f>
        <v/>
      </c>
    </row>
    <row r="901">
      <c r="A901" t="inlineStr">
        <is>
          <t>three-way</t>
        </is>
      </c>
      <c r="B901" t="inlineStr">
        <is>
          <t>ORIG_BAL x CHANNEL / REV_DEBT</t>
        </is>
      </c>
      <c r="C901" t="inlineStr">
        <is>
          <t>5,005 - 15,448</t>
        </is>
      </c>
      <c r="D901" t="inlineStr">
        <is>
          <t>Broker / REV_DEBT low half</t>
        </is>
      </c>
      <c r="E901" t="inlineStr">
        <is>
          <t>gco_rate</t>
        </is>
      </c>
      <c r="F901" t="inlineStr">
        <is>
          <t>GCO per booked dollar</t>
        </is>
      </c>
      <c r="G901" t="n">
        <v>257</v>
      </c>
      <c r="H901" t="n">
        <v>2609176.550000002</v>
      </c>
      <c r="I901" t="b">
        <v>1</v>
      </c>
      <c r="J901" t="b">
        <v>0</v>
      </c>
      <c r="K901" t="n">
        <v>0.4349969221497423</v>
      </c>
      <c r="M901" t="n">
        <v>0.3970828842689861</v>
      </c>
      <c r="O901" t="n">
        <v>-61686.61525838834</v>
      </c>
      <c r="P901" t="n">
        <v>-72111.20564908173</v>
      </c>
      <c r="Q901">
        <f>'_live'!$C$22</f>
        <v/>
      </c>
      <c r="T901" t="n">
        <v>0.04184433409015127</v>
      </c>
      <c r="U901" t="n">
        <v>0.0458396905525928</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0.01820215653862134</v>
      </c>
      <c r="AI901">
        <f>IF($Y901="worse","Yes",IF($Y901="worse, not significant","Not sure",IF(OR($Y901="too few losses to test",$Y901="too few loans to test"),"Too few losses",IF($Y901="","","No"))))</f>
        <v/>
      </c>
      <c r="AJ901">
        <f>IF($AA901="yes","Yes",IF($AA901="","","No"))</f>
        <v/>
      </c>
    </row>
    <row r="902">
      <c r="A902" t="inlineStr">
        <is>
          <t>three-way</t>
        </is>
      </c>
      <c r="B902" t="inlineStr">
        <is>
          <t>ORIG_BAL x CHANNEL / REV_DEBT</t>
        </is>
      </c>
      <c r="C902" t="inlineStr">
        <is>
          <t>5,005 - 15,448</t>
        </is>
      </c>
      <c r="D902" t="inlineStr">
        <is>
          <t>Broker / REV_DEBT low half</t>
        </is>
      </c>
      <c r="E902" t="inlineStr">
        <is>
          <t>ranr_rate</t>
        </is>
      </c>
      <c r="F902" t="inlineStr">
        <is>
          <t>Profit after losses: RANR per booked dollar</t>
        </is>
      </c>
      <c r="G902" t="n">
        <v>257</v>
      </c>
      <c r="H902" t="n">
        <v>2609176.550000002</v>
      </c>
      <c r="I902" t="b">
        <v>0</v>
      </c>
      <c r="J902" t="b">
        <v>0</v>
      </c>
      <c r="K902" t="n">
        <v>0.008341552269738983</v>
      </c>
      <c r="L902" t="n">
        <v>0.6208179182081792</v>
      </c>
      <c r="M902" t="n">
        <v>-0.0124306330021397</v>
      </c>
      <c r="N902" t="n">
        <v>0.4683817332552459</v>
      </c>
      <c r="O902" t="n">
        <v>-21764.5825728022</v>
      </c>
      <c r="P902" t="n">
        <v>32433.71613083902</v>
      </c>
      <c r="Q902">
        <f>'_live'!$C$23</f>
        <v/>
      </c>
      <c r="R902" t="inlineStr">
        <is>
          <t>shuffled: 5,173 of 10,000</t>
        </is>
      </c>
      <c r="S902" t="inlineStr">
        <is>
          <t>shuffled: 3,278 of 10,000</t>
        </is>
      </c>
      <c r="T902" t="n">
        <v>0.1279057131749852</v>
      </c>
      <c r="U902" t="n">
        <v>0.1486778984468639</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0.1362472654447242</v>
      </c>
      <c r="AI902">
        <f>IF($Y902="worse","Yes",IF($Y902="worse, not significant","Not sure",IF(OR($Y902="too few losses to test",$Y902="too few loans to test"),"Too few losses",IF($Y902="","","No"))))</f>
        <v/>
      </c>
      <c r="AJ902">
        <f>IF($AA902="yes","Yes",IF($AA902="","","No"))</f>
        <v/>
      </c>
    </row>
    <row r="903">
      <c r="A903" t="inlineStr">
        <is>
          <t>three-way</t>
        </is>
      </c>
      <c r="B903" t="inlineStr">
        <is>
          <t>ORIG_BAL x CHANNEL / REV_DEBT</t>
        </is>
      </c>
      <c r="C903" t="inlineStr">
        <is>
          <t>5,005 - 15,448</t>
        </is>
      </c>
      <c r="D903" t="inlineStr">
        <is>
          <t>Broker / REV_DEBT low half</t>
        </is>
      </c>
      <c r="E903" t="inlineStr">
        <is>
          <t>contribution_rate</t>
        </is>
      </c>
      <c r="F903" t="inlineStr">
        <is>
          <t>Contribution before losses per booked dollar</t>
        </is>
      </c>
      <c r="G903" t="n">
        <v>257</v>
      </c>
      <c r="H903" t="n">
        <v>2609176.550000002</v>
      </c>
      <c r="I903" t="b">
        <v>0</v>
      </c>
      <c r="J903" t="b">
        <v>0</v>
      </c>
      <c r="K903" t="n">
        <v>-0.01529772372403132</v>
      </c>
      <c r="L903" t="n">
        <v>0.077992200779922</v>
      </c>
      <c r="M903" t="n">
        <v>-0.0400681670161111</v>
      </c>
      <c r="N903" t="n">
        <v>0.0001578789489472106</v>
      </c>
      <c r="O903" t="n">
        <v>39914.46200912126</v>
      </c>
      <c r="P903" t="n">
        <v>104544.9217799206</v>
      </c>
      <c r="Q903">
        <f>'_live'!$C$24</f>
        <v/>
      </c>
      <c r="R903" t="inlineStr">
        <is>
          <t>shuffled: 727 of 10,000</t>
        </is>
      </c>
      <c r="S903" t="inlineStr">
        <is>
          <t>shuffled: 0 of 10,000</t>
        </is>
      </c>
      <c r="T903" t="n">
        <v>0.1697471457073769</v>
      </c>
      <c r="U903" t="n">
        <v>0.1945175889994566</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0.1544494219833455</v>
      </c>
      <c r="AI903">
        <f>IF($Y903="worse","Yes",IF($Y903="worse, not significant","Not sure",IF(OR($Y903="too few losses to test",$Y903="too few loans to test"),"Too few losses",IF($Y903="","","No"))))</f>
        <v/>
      </c>
      <c r="AJ903">
        <f>IF($AA903="yes","Yes",IF($AA903="","","No"))</f>
        <v/>
      </c>
    </row>
    <row r="904">
      <c r="A904" t="inlineStr">
        <is>
          <t>three-way</t>
        </is>
      </c>
      <c r="B904" t="inlineStr">
        <is>
          <t>ORIG_BAL x CHANNEL / REV_DEBT</t>
        </is>
      </c>
      <c r="C904" t="inlineStr">
        <is>
          <t>15,449 - 26,323</t>
        </is>
      </c>
      <c r="D904" t="inlineStr">
        <is>
          <t>Online / REV_DEBT high half</t>
        </is>
      </c>
      <c r="E904" t="inlineStr">
        <is>
          <t>outcome_loans</t>
        </is>
      </c>
      <c r="F904" t="inlineStr">
        <is>
          <t>Outcome, share of loans</t>
        </is>
      </c>
      <c r="G904" t="n">
        <v>269</v>
      </c>
      <c r="H904" t="n">
        <v>269</v>
      </c>
      <c r="I904" t="b">
        <v>0</v>
      </c>
      <c r="J904" t="b">
        <v>0</v>
      </c>
      <c r="K904" t="n">
        <v>1.566531351525937</v>
      </c>
      <c r="L904" t="n">
        <v>0.03369128440797507</v>
      </c>
      <c r="M904" t="n">
        <v>1.353286944365011</v>
      </c>
      <c r="N904" t="n">
        <v>0.1616389679441496</v>
      </c>
      <c r="O904" t="n">
        <v>11.57270375161708</v>
      </c>
      <c r="P904" t="n">
        <v>8.353869271224642</v>
      </c>
      <c r="Q904">
        <f>'_live'!$C$20</f>
        <v/>
      </c>
      <c r="R904" t="inlineStr">
        <is>
          <t>z test</t>
        </is>
      </c>
      <c r="S904" t="inlineStr">
        <is>
          <t>z test</t>
        </is>
      </c>
      <c r="T904" t="n">
        <v>0.07593790426908149</v>
      </c>
      <c r="U904" t="n">
        <v>0.0879038317054846</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0.1189591078066914</v>
      </c>
      <c r="AI904">
        <f>IF($Y904="worse","Yes",IF($Y904="worse, not significant","Not sure",IF(OR($Y904="too few losses to test",$Y904="too few loans to test"),"Too few losses",IF($Y904="","","No"))))</f>
        <v/>
      </c>
      <c r="AJ904">
        <f>IF($AA904="yes","Yes",IF($AA904="","","No"))</f>
        <v/>
      </c>
    </row>
    <row r="905">
      <c r="A905" t="inlineStr">
        <is>
          <t>three-way</t>
        </is>
      </c>
      <c r="B905" t="inlineStr">
        <is>
          <t>ORIG_BAL x CHANNEL / REV_DEBT</t>
        </is>
      </c>
      <c r="C905" t="inlineStr">
        <is>
          <t>15,449 - 26,323</t>
        </is>
      </c>
      <c r="D905" t="inlineStr">
        <is>
          <t>Online / REV_DEBT high half</t>
        </is>
      </c>
      <c r="E905" t="inlineStr">
        <is>
          <t>outcome_booked</t>
        </is>
      </c>
      <c r="F905" t="inlineStr">
        <is>
          <t>Outcome, share of booked dollars</t>
        </is>
      </c>
      <c r="G905" t="n">
        <v>269</v>
      </c>
      <c r="H905" t="n">
        <v>5584949.309999994</v>
      </c>
      <c r="I905" t="b">
        <v>0</v>
      </c>
      <c r="J905" t="b">
        <v>0</v>
      </c>
      <c r="K905" t="n">
        <v>1.665349299343067</v>
      </c>
      <c r="L905" t="n">
        <v>0.02392617881069036</v>
      </c>
      <c r="M905" t="n">
        <v>1.396872403812859</v>
      </c>
      <c r="N905" t="n">
        <v>0.1367050794920508</v>
      </c>
      <c r="O905" t="n">
        <v>274112.2206858346</v>
      </c>
      <c r="P905" t="n">
        <v>194929.7818794347</v>
      </c>
      <c r="Q905">
        <f>'_live'!$C$21</f>
        <v/>
      </c>
      <c r="R905" t="inlineStr">
        <is>
          <t>shuffled: 59 of 10,000</t>
        </is>
      </c>
      <c r="S905" t="inlineStr">
        <is>
          <t>shuffled: 771 of 10,000</t>
        </is>
      </c>
      <c r="T905" t="n">
        <v>0.07376654763481925</v>
      </c>
      <c r="U905" t="n">
        <v>0.08794437350418244</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0.1228470684186032</v>
      </c>
      <c r="AI905">
        <f>IF($Y905="worse","Yes",IF($Y905="worse, not significant","Not sure",IF(OR($Y905="too few losses to test",$Y905="too few loans to test"),"Too few losses",IF($Y905="","","No"))))</f>
        <v/>
      </c>
      <c r="AJ905">
        <f>IF($AA905="yes","Yes",IF($AA905="","","No"))</f>
        <v/>
      </c>
    </row>
    <row r="906">
      <c r="A906" t="inlineStr">
        <is>
          <t>three-way</t>
        </is>
      </c>
      <c r="B906" t="inlineStr">
        <is>
          <t>ORIG_BAL x CHANNEL / REV_DEBT</t>
        </is>
      </c>
      <c r="C906" t="inlineStr">
        <is>
          <t>15,449 - 26,323</t>
        </is>
      </c>
      <c r="D906" t="inlineStr">
        <is>
          <t>Online / REV_DEBT high half</t>
        </is>
      </c>
      <c r="E906" t="inlineStr">
        <is>
          <t>gco_rate</t>
        </is>
      </c>
      <c r="F906" t="inlineStr">
        <is>
          <t>GCO per booked dollar</t>
        </is>
      </c>
      <c r="G906" t="n">
        <v>269</v>
      </c>
      <c r="H906" t="n">
        <v>5584949.309999994</v>
      </c>
      <c r="I906" t="b">
        <v>0</v>
      </c>
      <c r="J906" t="b">
        <v>0</v>
      </c>
      <c r="K906" t="n">
        <v>1.619178759646317</v>
      </c>
      <c r="L906" t="n">
        <v>0.04463839330352679</v>
      </c>
      <c r="M906" t="n">
        <v>1.31666992079129</v>
      </c>
      <c r="N906" t="n">
        <v>0.2207673969445161</v>
      </c>
      <c r="O906" t="n">
        <v>141971.7242586065</v>
      </c>
      <c r="P906" t="n">
        <v>89291.57929153065</v>
      </c>
      <c r="Q906">
        <f>'_live'!$C$22</f>
        <v/>
      </c>
      <c r="R906" t="inlineStr">
        <is>
          <t>shuffled: 124 of 10,000</t>
        </is>
      </c>
      <c r="S906" t="inlineStr">
        <is>
          <t>shuffled: 1,677 of 10,000</t>
        </is>
      </c>
      <c r="T906" t="n">
        <v>0.0410550486699751</v>
      </c>
      <c r="U906" t="n">
        <v>0.05048756847328839</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0.06647546278266946</v>
      </c>
      <c r="AI906">
        <f>IF($Y906="worse","Yes",IF($Y906="worse, not significant","Not sure",IF(OR($Y906="too few losses to test",$Y906="too few loans to test"),"Too few losses",IF($Y906="","","No"))))</f>
        <v/>
      </c>
      <c r="AJ906">
        <f>IF($AA906="yes","Yes",IF($AA906="","","No"))</f>
        <v/>
      </c>
    </row>
    <row r="907">
      <c r="A907" t="inlineStr">
        <is>
          <t>three-way</t>
        </is>
      </c>
      <c r="B907" t="inlineStr">
        <is>
          <t>ORIG_BAL x CHANNEL / REV_DEBT</t>
        </is>
      </c>
      <c r="C907" t="inlineStr">
        <is>
          <t>15,449 - 26,323</t>
        </is>
      </c>
      <c r="D907" t="inlineStr">
        <is>
          <t>Online / REV_DEBT high half</t>
        </is>
      </c>
      <c r="E907" t="inlineStr">
        <is>
          <t>ranr_rate</t>
        </is>
      </c>
      <c r="F907" t="inlineStr">
        <is>
          <t>Profit after losses: RANR per booked dollar</t>
        </is>
      </c>
      <c r="G907" t="n">
        <v>269</v>
      </c>
      <c r="H907" t="n">
        <v>5584949.309999994</v>
      </c>
      <c r="I907" t="b">
        <v>0</v>
      </c>
      <c r="J907" t="b">
        <v>0</v>
      </c>
      <c r="K907" t="n">
        <v>0.03363888773791907</v>
      </c>
      <c r="L907" t="n">
        <v>0.03942462896567486</v>
      </c>
      <c r="M907" t="n">
        <v>0.05023948535055517</v>
      </c>
      <c r="N907" t="n">
        <v>0.0044995500449955</v>
      </c>
      <c r="O907" t="n">
        <v>-187871.4828610583</v>
      </c>
      <c r="P907" t="n">
        <v>-280584.9790433379</v>
      </c>
      <c r="Q907">
        <f>'_live'!$C$23</f>
        <v/>
      </c>
      <c r="R907" t="inlineStr">
        <is>
          <t>shuffled: 91 of 10,000</t>
        </is>
      </c>
      <c r="S907" t="inlineStr">
        <is>
          <t>shuffled: 2 of 10,000</t>
        </is>
      </c>
      <c r="T907" t="n">
        <v>0.1272620587381737</v>
      </c>
      <c r="U907" t="n">
        <v>0.1106614611255376</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0.1609009464760928</v>
      </c>
      <c r="AI907">
        <f>IF($Y907="worse","Yes",IF($Y907="worse, not significant","Not sure",IF(OR($Y907="too few losses to test",$Y907="too few loans to test"),"Too few losses",IF($Y907="","","No"))))</f>
        <v/>
      </c>
      <c r="AJ907">
        <f>IF($AA907="yes","Yes",IF($AA907="","","No"))</f>
        <v/>
      </c>
    </row>
    <row r="908">
      <c r="A908" t="inlineStr">
        <is>
          <t>three-way</t>
        </is>
      </c>
      <c r="B908" t="inlineStr">
        <is>
          <t>ORIG_BAL x CHANNEL / REV_DEBT</t>
        </is>
      </c>
      <c r="C908" t="inlineStr">
        <is>
          <t>15,449 - 26,323</t>
        </is>
      </c>
      <c r="D908" t="inlineStr">
        <is>
          <t>Online / REV_DEBT high half</t>
        </is>
      </c>
      <c r="E908" t="inlineStr">
        <is>
          <t>contribution_rate</t>
        </is>
      </c>
      <c r="F908" t="inlineStr">
        <is>
          <t>Contribution before losses per booked dollar</t>
        </is>
      </c>
      <c r="G908" t="n">
        <v>269</v>
      </c>
      <c r="H908" t="n">
        <v>5584949.309999994</v>
      </c>
      <c r="I908" t="b">
        <v>0</v>
      </c>
      <c r="J908" t="b">
        <v>0</v>
      </c>
      <c r="K908" t="n">
        <v>0.05906233879468195</v>
      </c>
      <c r="L908" t="n">
        <v>0.000176452942941</v>
      </c>
      <c r="M908" t="n">
        <v>0.06622737965993614</v>
      </c>
      <c r="N908" t="n">
        <v>0.0001578789489472106</v>
      </c>
      <c r="O908" t="n">
        <v>-329860.1682983448</v>
      </c>
      <c r="P908" t="n">
        <v>-369876.5583348681</v>
      </c>
      <c r="Q908">
        <f>'_live'!$C$24</f>
        <v/>
      </c>
      <c r="R908" t="inlineStr">
        <is>
          <t>shuffled: 0 of 10,000</t>
        </is>
      </c>
      <c r="S908" t="inlineStr">
        <is>
          <t>shuffled: 0 of 10,000</t>
        </is>
      </c>
      <c r="T908" t="n">
        <v>0.1683140704640802</v>
      </c>
      <c r="U908" t="n">
        <v>0.161149029598826</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0.2273764092587622</v>
      </c>
      <c r="AI908">
        <f>IF($Y908="worse","Yes",IF($Y908="worse, not significant","Not sure",IF(OR($Y908="too few losses to test",$Y908="too few loans to test"),"Too few losses",IF($Y908="","","No"))))</f>
        <v/>
      </c>
      <c r="AJ908">
        <f>IF($AA908="yes","Yes",IF($AA908="","","No"))</f>
        <v/>
      </c>
    </row>
    <row r="909">
      <c r="A909" t="inlineStr">
        <is>
          <t>three-way</t>
        </is>
      </c>
      <c r="B909" t="inlineStr">
        <is>
          <t>ORIG_BAL x CHANNEL / REV_DEBT</t>
        </is>
      </c>
      <c r="C909" t="inlineStr">
        <is>
          <t>5,005 - 15,448</t>
        </is>
      </c>
      <c r="D909" t="inlineStr">
        <is>
          <t>Branch / REV_DEBT high half</t>
        </is>
      </c>
      <c r="E909" t="inlineStr">
        <is>
          <t>outcome_loans</t>
        </is>
      </c>
      <c r="F909" t="inlineStr">
        <is>
          <t>Outcome, share of loans</t>
        </is>
      </c>
      <c r="G909" t="n">
        <v>271</v>
      </c>
      <c r="H909" t="n">
        <v>271</v>
      </c>
      <c r="I909" t="b">
        <v>0</v>
      </c>
      <c r="J909" t="b">
        <v>0</v>
      </c>
      <c r="K909" t="n">
        <v>1.100473018153</v>
      </c>
      <c r="L909" t="n">
        <v>0.7260239750074174</v>
      </c>
      <c r="M909" t="n">
        <v>1.127933579335793</v>
      </c>
      <c r="N909" t="n">
        <v>0.6121993393705384</v>
      </c>
      <c r="O909" t="n">
        <v>2.099896480331264</v>
      </c>
      <c r="P909" t="n">
        <v>2.608728367193379</v>
      </c>
      <c r="Q909">
        <f>'_live'!$C$20</f>
        <v/>
      </c>
      <c r="R909" t="inlineStr">
        <is>
          <t>z test</t>
        </is>
      </c>
      <c r="S909" t="inlineStr">
        <is>
          <t>z test</t>
        </is>
      </c>
      <c r="T909" t="n">
        <v>0.07712215320910973</v>
      </c>
      <c r="U909" t="n">
        <v>0.07524454477050414</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0.08487084870848709</v>
      </c>
      <c r="AI909">
        <f>IF($Y909="worse","Yes",IF($Y909="worse, not significant","Not sure",IF(OR($Y909="too few losses to test",$Y909="too few loans to test"),"Too few losses",IF($Y909="","","No"))))</f>
        <v/>
      </c>
      <c r="AJ909">
        <f>IF($AA909="yes","Yes",IF($AA909="","","No"))</f>
        <v/>
      </c>
    </row>
    <row r="910">
      <c r="A910" t="inlineStr">
        <is>
          <t>three-way</t>
        </is>
      </c>
      <c r="B910" t="inlineStr">
        <is>
          <t>ORIG_BAL x CHANNEL / REV_DEBT</t>
        </is>
      </c>
      <c r="C910" t="inlineStr">
        <is>
          <t>5,005 - 15,448</t>
        </is>
      </c>
      <c r="D910" t="inlineStr">
        <is>
          <t>Branch / REV_DEBT high half</t>
        </is>
      </c>
      <c r="E910" t="inlineStr">
        <is>
          <t>outcome_booked</t>
        </is>
      </c>
      <c r="F910" t="inlineStr">
        <is>
          <t>Outcome, share of booked dollars</t>
        </is>
      </c>
      <c r="G910" t="n">
        <v>271</v>
      </c>
      <c r="H910" t="n">
        <v>2719515.59</v>
      </c>
      <c r="I910" t="b">
        <v>0</v>
      </c>
      <c r="J910" t="b">
        <v>0</v>
      </c>
      <c r="K910" t="n">
        <v>1.137191897619246</v>
      </c>
      <c r="L910" t="n">
        <v>0.7154284571542846</v>
      </c>
      <c r="M910" t="n">
        <v>1.153203464459504</v>
      </c>
      <c r="N910" t="n">
        <v>0.5591107555911076</v>
      </c>
      <c r="O910" t="n">
        <v>27878.00481193551</v>
      </c>
      <c r="P910" t="n">
        <v>30699.38179939275</v>
      </c>
      <c r="Q910">
        <f>'_live'!$C$21</f>
        <v/>
      </c>
      <c r="R910" t="inlineStr">
        <is>
          <t>shuffled: 5,723 of 10,000</t>
        </is>
      </c>
      <c r="S910" t="inlineStr">
        <is>
          <t>shuffled: 5,367 of 10,000</t>
        </is>
      </c>
      <c r="T910" t="n">
        <v>0.07472082746474143</v>
      </c>
      <c r="U910" t="n">
        <v>0.07368337175099895</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0.08497191957630955</v>
      </c>
      <c r="AI910">
        <f>IF($Y910="worse","Yes",IF($Y910="worse, not significant","Not sure",IF(OR($Y910="too few losses to test",$Y910="too few loans to test"),"Too few losses",IF($Y910="","","No"))))</f>
        <v/>
      </c>
      <c r="AJ910">
        <f>IF($AA910="yes","Yes",IF($AA910="","","No"))</f>
        <v/>
      </c>
    </row>
    <row r="911">
      <c r="A911" t="inlineStr">
        <is>
          <t>three-way</t>
        </is>
      </c>
      <c r="B911" t="inlineStr">
        <is>
          <t>ORIG_BAL x CHANNEL / REV_DEBT</t>
        </is>
      </c>
      <c r="C911" t="inlineStr">
        <is>
          <t>5,005 - 15,448</t>
        </is>
      </c>
      <c r="D911" t="inlineStr">
        <is>
          <t>Branch / REV_DEBT high half</t>
        </is>
      </c>
      <c r="E911" t="inlineStr">
        <is>
          <t>gco_rate</t>
        </is>
      </c>
      <c r="F911" t="inlineStr">
        <is>
          <t>GCO per booked dollar</t>
        </is>
      </c>
      <c r="G911" t="n">
        <v>271</v>
      </c>
      <c r="H911" t="n">
        <v>2719515.59</v>
      </c>
      <c r="I911" t="b">
        <v>0</v>
      </c>
      <c r="J911" t="b">
        <v>0</v>
      </c>
      <c r="K911" t="n">
        <v>1.068083779364714</v>
      </c>
      <c r="L911" t="n">
        <v>0.7847215278472153</v>
      </c>
      <c r="M911" t="n">
        <v>1.08859709693584</v>
      </c>
      <c r="N911" t="n">
        <v>0.7335266473352665</v>
      </c>
      <c r="O911" t="n">
        <v>7697.894903381748</v>
      </c>
      <c r="P911" t="n">
        <v>9828.471016119802</v>
      </c>
      <c r="Q911">
        <f>'_live'!$C$22</f>
        <v/>
      </c>
      <c r="R911" t="inlineStr">
        <is>
          <t>shuffled: 7,847 of 10,000</t>
        </is>
      </c>
      <c r="S911" t="inlineStr">
        <is>
          <t>shuffled: 7,335 of 10,000</t>
        </is>
      </c>
      <c r="T911" t="n">
        <v>0.04157543185719272</v>
      </c>
      <c r="U911" t="n">
        <v>0.0407919922914949</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0.04440604438675051</v>
      </c>
      <c r="AI911">
        <f>IF($Y911="worse","Yes",IF($Y911="worse, not significant","Not sure",IF(OR($Y911="too few losses to test",$Y911="too few loans to test"),"Too few losses",IF($Y911="","","No"))))</f>
        <v/>
      </c>
      <c r="AJ911">
        <f>IF($AA911="yes","Yes",IF($AA911="","","No"))</f>
        <v/>
      </c>
    </row>
    <row r="912">
      <c r="A912" t="inlineStr">
        <is>
          <t>three-way</t>
        </is>
      </c>
      <c r="B912" t="inlineStr">
        <is>
          <t>ORIG_BAL x CHANNEL / REV_DEBT</t>
        </is>
      </c>
      <c r="C912" t="inlineStr">
        <is>
          <t>5,005 - 15,448</t>
        </is>
      </c>
      <c r="D912" t="inlineStr">
        <is>
          <t>Branch / REV_DEBT high half</t>
        </is>
      </c>
      <c r="E912" t="inlineStr">
        <is>
          <t>ranr_rate</t>
        </is>
      </c>
      <c r="F912" t="inlineStr">
        <is>
          <t>Profit after losses: RANR per booked dollar</t>
        </is>
      </c>
      <c r="G912" t="n">
        <v>271</v>
      </c>
      <c r="H912" t="n">
        <v>2719515.59</v>
      </c>
      <c r="I912" t="b">
        <v>0</v>
      </c>
      <c r="J912" t="b">
        <v>0</v>
      </c>
      <c r="K912" t="n">
        <v>0.03682603665998727</v>
      </c>
      <c r="L912" t="n">
        <v>0.0317968203179682</v>
      </c>
      <c r="M912" t="n">
        <v>0.02131981040910805</v>
      </c>
      <c r="N912" t="n">
        <v>0.1334866513348665</v>
      </c>
      <c r="O912" t="n">
        <v>-100148.9808147469</v>
      </c>
      <c r="P912" t="n">
        <v>-57979.55678341363</v>
      </c>
      <c r="Q912">
        <f>'_live'!$C$23</f>
        <v/>
      </c>
      <c r="R912" t="inlineStr">
        <is>
          <t>shuffled: 37 of 10,000</t>
        </is>
      </c>
      <c r="S912" t="inlineStr">
        <is>
          <t>shuffled: 884 of 10,000</t>
        </is>
      </c>
      <c r="T912" t="n">
        <v>0.1276019782571842</v>
      </c>
      <c r="U912" t="n">
        <v>0.1431082045080634</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0.1644280149171715</v>
      </c>
      <c r="AI912">
        <f>IF($Y912="worse","Yes",IF($Y912="worse, not significant","Not sure",IF(OR($Y912="too few losses to test",$Y912="too few loans to test"),"Too few losses",IF($Y912="","","No"))))</f>
        <v/>
      </c>
      <c r="AJ912">
        <f>IF($AA912="yes","Yes",IF($AA912="","","No"))</f>
        <v/>
      </c>
    </row>
    <row r="913">
      <c r="A913" t="inlineStr">
        <is>
          <t>three-way</t>
        </is>
      </c>
      <c r="B913" t="inlineStr">
        <is>
          <t>ORIG_BAL x CHANNEL / REV_DEBT</t>
        </is>
      </c>
      <c r="C913" t="inlineStr">
        <is>
          <t>5,005 - 15,448</t>
        </is>
      </c>
      <c r="D913" t="inlineStr">
        <is>
          <t>Branch / REV_DEBT high half</t>
        </is>
      </c>
      <c r="E913" t="inlineStr">
        <is>
          <t>contribution_rate</t>
        </is>
      </c>
      <c r="F913" t="inlineStr">
        <is>
          <t>Contribution before losses per booked dollar</t>
        </is>
      </c>
      <c r="G913" t="n">
        <v>271</v>
      </c>
      <c r="H913" t="n">
        <v>2719515.59</v>
      </c>
      <c r="I913" t="b">
        <v>0</v>
      </c>
      <c r="J913" t="b">
        <v>0</v>
      </c>
      <c r="K913" t="n">
        <v>0.03965959921285123</v>
      </c>
      <c r="L913" t="n">
        <v>0.000176452942941</v>
      </c>
      <c r="M913" t="n">
        <v>0.02493386250436361</v>
      </c>
      <c r="N913" t="n">
        <v>0.004124587541245875</v>
      </c>
      <c r="O913" t="n">
        <v>-107854.8983525006</v>
      </c>
      <c r="P913" t="n">
        <v>-67808.02779953327</v>
      </c>
      <c r="Q913">
        <f>'_live'!$C$24</f>
        <v/>
      </c>
      <c r="R913" t="inlineStr">
        <is>
          <t>shuffled: 0 of 10,000</t>
        </is>
      </c>
      <c r="S913" t="inlineStr">
        <is>
          <t>shuffled: 32 of 10,000</t>
        </is>
      </c>
      <c r="T913" t="n">
        <v>0.1691744600910707</v>
      </c>
      <c r="U913" t="n">
        <v>0.1839001967995583</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0.2088340593039219</v>
      </c>
      <c r="AI913">
        <f>IF($Y913="worse","Yes",IF($Y913="worse, not significant","Not sure",IF(OR($Y913="too few losses to test",$Y913="too few loans to test"),"Too few losses",IF($Y913="","","No"))))</f>
        <v/>
      </c>
      <c r="AJ913">
        <f>IF($AA913="yes","Yes",IF($AA913="","","No"))</f>
        <v/>
      </c>
    </row>
    <row r="914">
      <c r="A914" t="inlineStr">
        <is>
          <t>three-way</t>
        </is>
      </c>
      <c r="B914" t="inlineStr">
        <is>
          <t>ORIG_BAL x CHANNEL / REV_DEBT</t>
        </is>
      </c>
      <c r="C914" t="inlineStr">
        <is>
          <t>49,152 - 59,984</t>
        </is>
      </c>
      <c r="D914" t="inlineStr">
        <is>
          <t>Online / REV_DEBT high half</t>
        </is>
      </c>
      <c r="E914" t="inlineStr">
        <is>
          <t>outcome_loans</t>
        </is>
      </c>
      <c r="F914" t="inlineStr">
        <is>
          <t>Outcome, share of loans</t>
        </is>
      </c>
      <c r="G914" t="n">
        <v>282</v>
      </c>
      <c r="H914" t="n">
        <v>282</v>
      </c>
      <c r="I914" t="b">
        <v>0</v>
      </c>
      <c r="J914" t="b">
        <v>0</v>
      </c>
      <c r="K914" t="n">
        <v>1.056041458422581</v>
      </c>
      <c r="L914" t="n">
        <v>0.806394034129254</v>
      </c>
      <c r="M914" t="n">
        <v>1.343705673758865</v>
      </c>
      <c r="N914" t="n">
        <v>0.2322740061438084</v>
      </c>
      <c r="O914" t="n">
        <v>1.220552027990152</v>
      </c>
      <c r="P914" t="n">
        <v>5.883156297420332</v>
      </c>
      <c r="Q914">
        <f>'_live'!$C$20</f>
        <v/>
      </c>
      <c r="R914" t="inlineStr">
        <is>
          <t>z test</t>
        </is>
      </c>
      <c r="S914" t="inlineStr">
        <is>
          <t>z test</t>
        </is>
      </c>
      <c r="T914" t="n">
        <v>0.07723208500712712</v>
      </c>
      <c r="U914" t="n">
        <v>0.06069802731411229</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0.08156028368794327</v>
      </c>
      <c r="AI914">
        <f>IF($Y914="worse","Yes",IF($Y914="worse, not significant","Not sure",IF(OR($Y914="too few losses to test",$Y914="too few loans to test"),"Too few losses",IF($Y914="","","No"))))</f>
        <v/>
      </c>
      <c r="AJ914">
        <f>IF($AA914="yes","Yes",IF($AA914="","","No"))</f>
        <v/>
      </c>
    </row>
    <row r="915">
      <c r="A915" t="inlineStr">
        <is>
          <t>three-way</t>
        </is>
      </c>
      <c r="B915" t="inlineStr">
        <is>
          <t>ORIG_BAL x CHANNEL / REV_DEBT</t>
        </is>
      </c>
      <c r="C915" t="inlineStr">
        <is>
          <t>49,152 - 59,984</t>
        </is>
      </c>
      <c r="D915" t="inlineStr">
        <is>
          <t>Online / REV_DEBT high half</t>
        </is>
      </c>
      <c r="E915" t="inlineStr">
        <is>
          <t>outcome_booked</t>
        </is>
      </c>
      <c r="F915" t="inlineStr">
        <is>
          <t>Outcome, share of booked dollars</t>
        </is>
      </c>
      <c r="G915" t="n">
        <v>282</v>
      </c>
      <c r="H915" t="n">
        <v>15366264.48</v>
      </c>
      <c r="I915" t="b">
        <v>0</v>
      </c>
      <c r="J915" t="b">
        <v>0</v>
      </c>
      <c r="K915" t="n">
        <v>1.092694347859277</v>
      </c>
      <c r="L915" t="n">
        <v>0.7546120387961204</v>
      </c>
      <c r="M915" t="n">
        <v>1.328752401915208</v>
      </c>
      <c r="N915" t="n">
        <v>0.2764723527647235</v>
      </c>
      <c r="O915" t="n">
        <v>105998.5608228503</v>
      </c>
      <c r="P915" t="n">
        <v>309150.7354204641</v>
      </c>
      <c r="Q915">
        <f>'_live'!$C$21</f>
        <v/>
      </c>
      <c r="R915" t="inlineStr">
        <is>
          <t>shuffled: 6,998 of 10,000</t>
        </is>
      </c>
      <c r="S915" t="inlineStr">
        <is>
          <t>shuffled: 2,211 of 10,000</t>
        </is>
      </c>
      <c r="T915" t="n">
        <v>0.07441807152711129</v>
      </c>
      <c r="U915" t="n">
        <v>0.06119741045740063</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0.08131620613626193</v>
      </c>
      <c r="AI915">
        <f>IF($Y915="worse","Yes",IF($Y915="worse, not significant","Not sure",IF(OR($Y915="too few losses to test",$Y915="too few loans to test"),"Too few losses",IF($Y915="","","No"))))</f>
        <v/>
      </c>
      <c r="AJ915">
        <f>IF($AA915="yes","Yes",IF($AA915="","","No"))</f>
        <v/>
      </c>
    </row>
    <row r="916">
      <c r="A916" t="inlineStr">
        <is>
          <t>three-way</t>
        </is>
      </c>
      <c r="B916" t="inlineStr">
        <is>
          <t>ORIG_BAL x CHANNEL / REV_DEBT</t>
        </is>
      </c>
      <c r="C916" t="inlineStr">
        <is>
          <t>49,152 - 59,984</t>
        </is>
      </c>
      <c r="D916" t="inlineStr">
        <is>
          <t>Online / REV_DEBT high half</t>
        </is>
      </c>
      <c r="E916" t="inlineStr">
        <is>
          <t>gco_rate</t>
        </is>
      </c>
      <c r="F916" t="inlineStr">
        <is>
          <t>GCO per booked dollar</t>
        </is>
      </c>
      <c r="G916" t="n">
        <v>282</v>
      </c>
      <c r="H916" t="n">
        <v>15366264.48</v>
      </c>
      <c r="I916" t="b">
        <v>0</v>
      </c>
      <c r="J916" t="b">
        <v>0</v>
      </c>
      <c r="K916" t="n">
        <v>1.150869182823198</v>
      </c>
      <c r="L916" t="n">
        <v>0.6119842561198425</v>
      </c>
      <c r="M916" t="n">
        <v>1.437509991261452</v>
      </c>
      <c r="N916" t="n">
        <v>0.1898247675232477</v>
      </c>
      <c r="O916" t="n">
        <v>95594.42881486064</v>
      </c>
      <c r="P916" t="n">
        <v>221939.7584243696</v>
      </c>
      <c r="Q916">
        <f>'_live'!$C$22</f>
        <v/>
      </c>
      <c r="R916" t="inlineStr">
        <is>
          <t>shuffled: 5,385 of 10,000</t>
        </is>
      </c>
      <c r="S916" t="inlineStr">
        <is>
          <t>shuffled: 1,214 of 10,000</t>
        </is>
      </c>
      <c r="T916" t="n">
        <v>0.0412347855921545</v>
      </c>
      <c r="U916" t="n">
        <v>0.03301253159060754</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0.04745584399833264</v>
      </c>
      <c r="AI916">
        <f>IF($Y916="worse","Yes",IF($Y916="worse, not significant","Not sure",IF(OR($Y916="too few losses to test",$Y916="too few loans to test"),"Too few losses",IF($Y916="","","No"))))</f>
        <v/>
      </c>
      <c r="AJ916">
        <f>IF($AA916="yes","Yes",IF($AA916="","","No"))</f>
        <v/>
      </c>
    </row>
    <row r="917">
      <c r="A917" t="inlineStr">
        <is>
          <t>three-way</t>
        </is>
      </c>
      <c r="B917" t="inlineStr">
        <is>
          <t>ORIG_BAL x CHANNEL / REV_DEBT</t>
        </is>
      </c>
      <c r="C917" t="inlineStr">
        <is>
          <t>49,152 - 59,984</t>
        </is>
      </c>
      <c r="D917" t="inlineStr">
        <is>
          <t>Online / REV_DEBT high half</t>
        </is>
      </c>
      <c r="E917" t="inlineStr">
        <is>
          <t>ranr_rate</t>
        </is>
      </c>
      <c r="F917" t="inlineStr">
        <is>
          <t>Profit after losses: RANR per booked dollar</t>
        </is>
      </c>
      <c r="G917" t="n">
        <v>282</v>
      </c>
      <c r="H917" t="n">
        <v>15366264.48</v>
      </c>
      <c r="I917" t="b">
        <v>0</v>
      </c>
      <c r="J917" t="b">
        <v>0</v>
      </c>
      <c r="K917" t="n">
        <v>0.03257441077482393</v>
      </c>
      <c r="L917" t="n">
        <v>0.04087091290870912</v>
      </c>
      <c r="M917" t="n">
        <v>0.03421991566610402</v>
      </c>
      <c r="N917" t="n">
        <v>0.0144985501449855</v>
      </c>
      <c r="O917" t="n">
        <v>-500547.0112461061</v>
      </c>
      <c r="P917" t="n">
        <v>-525832.2746086498</v>
      </c>
      <c r="Q917">
        <f>'_live'!$C$23</f>
        <v/>
      </c>
      <c r="R917" t="inlineStr">
        <is>
          <t>shuffled: 108 of 10,000</t>
        </is>
      </c>
      <c r="S917" t="inlineStr">
        <is>
          <t>shuffled: 28 of 10,000</t>
        </is>
      </c>
      <c r="T917" t="n">
        <v>0.1260504595163583</v>
      </c>
      <c r="U917" t="n">
        <v>0.1244049546250782</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0.1586248702911822</v>
      </c>
      <c r="AI917">
        <f>IF($Y917="worse","Yes",IF($Y917="worse, not significant","Not sure",IF(OR($Y917="too few losses to test",$Y917="too few loans to test"),"Too few losses",IF($Y917="","","No"))))</f>
        <v/>
      </c>
      <c r="AJ917">
        <f>IF($AA917="yes","Yes",IF($AA917="","","No"))</f>
        <v/>
      </c>
    </row>
    <row r="918">
      <c r="A918" t="inlineStr">
        <is>
          <t>three-way</t>
        </is>
      </c>
      <c r="B918" t="inlineStr">
        <is>
          <t>ORIG_BAL x CHANNEL / REV_DEBT</t>
        </is>
      </c>
      <c r="C918" t="inlineStr">
        <is>
          <t>49,152 - 59,984</t>
        </is>
      </c>
      <c r="D918" t="inlineStr">
        <is>
          <t>Online / REV_DEBT high half</t>
        </is>
      </c>
      <c r="E918" t="inlineStr">
        <is>
          <t>contribution_rate</t>
        </is>
      </c>
      <c r="F918" t="inlineStr">
        <is>
          <t>Contribution before losses per booked dollar</t>
        </is>
      </c>
      <c r="G918" t="n">
        <v>282</v>
      </c>
      <c r="H918" t="n">
        <v>15366264.48</v>
      </c>
      <c r="I918" t="b">
        <v>0</v>
      </c>
      <c r="J918" t="b">
        <v>0</v>
      </c>
      <c r="K918" t="n">
        <v>0.03879882668112075</v>
      </c>
      <c r="L918" t="n">
        <v>0.000176452942941</v>
      </c>
      <c r="M918" t="n">
        <v>0.04866322807382908</v>
      </c>
      <c r="N918" t="n">
        <v>0.0001578789489472106</v>
      </c>
      <c r="O918" t="n">
        <v>-596193.0322957821</v>
      </c>
      <c r="P918" t="n">
        <v>-747772.0330330189</v>
      </c>
      <c r="Q918">
        <f>'_live'!$C$24</f>
        <v/>
      </c>
      <c r="R918" t="inlineStr">
        <is>
          <t>shuffled: 0 of 10,000</t>
        </is>
      </c>
      <c r="S918" t="inlineStr">
        <is>
          <t>shuffled: 0 of 10,000</t>
        </is>
      </c>
      <c r="T918" t="n">
        <v>0.1672818876083941</v>
      </c>
      <c r="U918" t="n">
        <v>0.1574174862156857</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0.2060807142895148</v>
      </c>
      <c r="AI918">
        <f>IF($Y918="worse","Yes",IF($Y918="worse, not significant","Not sure",IF(OR($Y918="too few losses to test",$Y918="too few loans to test"),"Too few losses",IF($Y918="","","No"))))</f>
        <v/>
      </c>
      <c r="AJ918">
        <f>IF($AA918="yes","Yes",IF($AA918="","","No"))</f>
        <v/>
      </c>
    </row>
    <row r="919">
      <c r="A919" t="inlineStr">
        <is>
          <t>three-way</t>
        </is>
      </c>
      <c r="B919" t="inlineStr">
        <is>
          <t>ORIG_BAL x CHANNEL / REV_DEBT</t>
        </is>
      </c>
      <c r="C919" t="inlineStr">
        <is>
          <t>26,324 - 37,950</t>
        </is>
      </c>
      <c r="D919" t="inlineStr">
        <is>
          <t>Online / REV_DEBT low half</t>
        </is>
      </c>
      <c r="E919" t="inlineStr">
        <is>
          <t>outcome_loans</t>
        </is>
      </c>
      <c r="F919" t="inlineStr">
        <is>
          <t>Outcome, share of loans</t>
        </is>
      </c>
      <c r="G919" t="n">
        <v>264</v>
      </c>
      <c r="H919" t="n">
        <v>264</v>
      </c>
      <c r="I919" t="b">
        <v>1</v>
      </c>
      <c r="J919" t="b">
        <v>0</v>
      </c>
      <c r="K919" t="n">
        <v>0.3351220538720539</v>
      </c>
      <c r="M919" t="n">
        <v>0.3434098264195352</v>
      </c>
      <c r="O919" t="n">
        <v>-13.88791208791209</v>
      </c>
      <c r="P919" t="n">
        <v>-13.38380809595203</v>
      </c>
      <c r="Q919">
        <f>'_live'!$C$20</f>
        <v/>
      </c>
      <c r="T919" t="n">
        <v>0.07912087912087912</v>
      </c>
      <c r="U919" t="n">
        <v>0.07721139430284858</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0.02651515151515152</v>
      </c>
      <c r="AI919">
        <f>IF($Y919="worse","Yes",IF($Y919="worse, not significant","Not sure",IF(OR($Y919="too few losses to test",$Y919="too few loans to test"),"Too few losses",IF($Y919="","","No"))))</f>
        <v/>
      </c>
      <c r="AJ919">
        <f>IF($AA919="yes","Yes",IF($AA919="","","No"))</f>
        <v/>
      </c>
    </row>
    <row r="920">
      <c r="A920" t="inlineStr">
        <is>
          <t>three-way</t>
        </is>
      </c>
      <c r="B920" t="inlineStr">
        <is>
          <t>ORIG_BAL x CHANNEL / REV_DEBT</t>
        </is>
      </c>
      <c r="C920" t="inlineStr">
        <is>
          <t>26,324 - 37,950</t>
        </is>
      </c>
      <c r="D920" t="inlineStr">
        <is>
          <t>Online / REV_DEBT low half</t>
        </is>
      </c>
      <c r="E920" t="inlineStr">
        <is>
          <t>outcome_booked</t>
        </is>
      </c>
      <c r="F920" t="inlineStr">
        <is>
          <t>Outcome, share of booked dollars</t>
        </is>
      </c>
      <c r="G920" t="n">
        <v>264</v>
      </c>
      <c r="H920" t="n">
        <v>8455838.840000004</v>
      </c>
      <c r="I920" t="b">
        <v>1</v>
      </c>
      <c r="J920" t="b">
        <v>0</v>
      </c>
      <c r="K920" t="n">
        <v>0.3475960632618183</v>
      </c>
      <c r="M920" t="n">
        <v>0.3477310129313312</v>
      </c>
      <c r="O920" t="n">
        <v>-421821.0096025701</v>
      </c>
      <c r="P920" t="n">
        <v>-421570.0868554983</v>
      </c>
      <c r="Q920">
        <f>'_live'!$C$21</f>
        <v/>
      </c>
      <c r="T920" t="n">
        <v>0.07646363439946662</v>
      </c>
      <c r="U920" t="n">
        <v>0.07643395990450287</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0.02657845829994554</v>
      </c>
      <c r="AI920">
        <f>IF($Y920="worse","Yes",IF($Y920="worse, not significant","Not sure",IF(OR($Y920="too few losses to test",$Y920="too few loans to test"),"Too few losses",IF($Y920="","","No"))))</f>
        <v/>
      </c>
      <c r="AJ920">
        <f>IF($AA920="yes","Yes",IF($AA920="","","No"))</f>
        <v/>
      </c>
    </row>
    <row r="921">
      <c r="A921" t="inlineStr">
        <is>
          <t>three-way</t>
        </is>
      </c>
      <c r="B921" t="inlineStr">
        <is>
          <t>ORIG_BAL x CHANNEL / REV_DEBT</t>
        </is>
      </c>
      <c r="C921" t="inlineStr">
        <is>
          <t>26,324 - 37,950</t>
        </is>
      </c>
      <c r="D921" t="inlineStr">
        <is>
          <t>Online / REV_DEBT low half</t>
        </is>
      </c>
      <c r="E921" t="inlineStr">
        <is>
          <t>gco_rate</t>
        </is>
      </c>
      <c r="F921" t="inlineStr">
        <is>
          <t>GCO per booked dollar</t>
        </is>
      </c>
      <c r="G921" t="n">
        <v>264</v>
      </c>
      <c r="H921" t="n">
        <v>8455838.840000004</v>
      </c>
      <c r="I921" t="b">
        <v>1</v>
      </c>
      <c r="J921" t="b">
        <v>0</v>
      </c>
      <c r="K921" t="n">
        <v>0.365395751849927</v>
      </c>
      <c r="M921" t="n">
        <v>0.3716691418111314</v>
      </c>
      <c r="O921" t="n">
        <v>-228000.100673016</v>
      </c>
      <c r="P921" t="n">
        <v>-221935.8402475889</v>
      </c>
      <c r="Q921">
        <f>'_live'!$C$22</f>
        <v/>
      </c>
      <c r="T921" t="n">
        <v>0.04248888814832425</v>
      </c>
      <c r="U921" t="n">
        <v>0.04177171974668201</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0.01552525923022439</v>
      </c>
      <c r="AI921">
        <f>IF($Y921="worse","Yes",IF($Y921="worse, not significant","Not sure",IF(OR($Y921="too few losses to test",$Y921="too few loans to test"),"Too few losses",IF($Y921="","","No"))))</f>
        <v/>
      </c>
      <c r="AJ921">
        <f>IF($AA921="yes","Yes",IF($AA921="","","No"))</f>
        <v/>
      </c>
    </row>
    <row r="922">
      <c r="A922" t="inlineStr">
        <is>
          <t>three-way</t>
        </is>
      </c>
      <c r="B922" t="inlineStr">
        <is>
          <t>ORIG_BAL x CHANNEL / REV_DEBT</t>
        </is>
      </c>
      <c r="C922" t="inlineStr">
        <is>
          <t>26,324 - 37,950</t>
        </is>
      </c>
      <c r="D922" t="inlineStr">
        <is>
          <t>Online / REV_DEBT low half</t>
        </is>
      </c>
      <c r="E922" t="inlineStr">
        <is>
          <t>ranr_rate</t>
        </is>
      </c>
      <c r="F922" t="inlineStr">
        <is>
          <t>Profit after losses: RANR per booked dollar</t>
        </is>
      </c>
      <c r="G922" t="n">
        <v>264</v>
      </c>
      <c r="H922" t="n">
        <v>8455838.840000004</v>
      </c>
      <c r="I922" t="b">
        <v>0</v>
      </c>
      <c r="J922" t="b">
        <v>0</v>
      </c>
      <c r="K922" t="n">
        <v>0.02145897868726354</v>
      </c>
      <c r="L922" t="n">
        <v>0.159317401593174</v>
      </c>
      <c r="M922" t="n">
        <v>0.02088474563198126</v>
      </c>
      <c r="N922" t="n">
        <v>0.1334866513348665</v>
      </c>
      <c r="O922" t="n">
        <v>-181453.6654504954</v>
      </c>
      <c r="P922" t="n">
        <v>-176598.0432784276</v>
      </c>
      <c r="Q922">
        <f>'_live'!$C$23</f>
        <v/>
      </c>
      <c r="R922" t="inlineStr">
        <is>
          <t>shuffled: 914 of 10,000</t>
        </is>
      </c>
      <c r="S922" t="inlineStr">
        <is>
          <t>shuffled: 815 of 10,000</t>
        </is>
      </c>
      <c r="T922" t="n">
        <v>0.1272869274019305</v>
      </c>
      <c r="U922" t="n">
        <v>0.1278611604572128</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0.1487459060891941</v>
      </c>
      <c r="AI922">
        <f>IF($Y922="worse","Yes",IF($Y922="worse, not significant","Not sure",IF(OR($Y922="too few losses to test",$Y922="too few loans to test"),"Too few losses",IF($Y922="","","No"))))</f>
        <v/>
      </c>
      <c r="AJ922">
        <f>IF($AA922="yes","Yes",IF($AA922="","","No"))</f>
        <v/>
      </c>
    </row>
    <row r="923">
      <c r="A923" t="inlineStr">
        <is>
          <t>three-way</t>
        </is>
      </c>
      <c r="B923" t="inlineStr">
        <is>
          <t>ORIG_BAL x CHANNEL / REV_DEBT</t>
        </is>
      </c>
      <c r="C923" t="inlineStr">
        <is>
          <t>26,324 - 37,950</t>
        </is>
      </c>
      <c r="D923" t="inlineStr">
        <is>
          <t>Online / REV_DEBT low half</t>
        </is>
      </c>
      <c r="E923" t="inlineStr">
        <is>
          <t>contribution_rate</t>
        </is>
      </c>
      <c r="F923" t="inlineStr">
        <is>
          <t>Contribution before losses per booked dollar</t>
        </is>
      </c>
      <c r="G923" t="n">
        <v>264</v>
      </c>
      <c r="H923" t="n">
        <v>8455838.840000004</v>
      </c>
      <c r="I923" t="b">
        <v>0</v>
      </c>
      <c r="J923" t="b">
        <v>0</v>
      </c>
      <c r="K923" t="n">
        <v>-0.005501582306515068</v>
      </c>
      <c r="L923" t="n">
        <v>0.5252474752524747</v>
      </c>
      <c r="M923" t="n">
        <v>-0.005361714884476371</v>
      </c>
      <c r="N923" t="n">
        <v>0.5169483051694831</v>
      </c>
      <c r="O923" t="n">
        <v>46520.49334888696</v>
      </c>
      <c r="P923" t="n">
        <v>45337.79696916137</v>
      </c>
      <c r="Q923">
        <f>'_live'!$C$24</f>
        <v/>
      </c>
      <c r="R923" t="inlineStr">
        <is>
          <t>shuffled: 5,252 of 10,000</t>
        </is>
      </c>
      <c r="S923" t="inlineStr">
        <is>
          <t>shuffled: 5,169 of 10,000</t>
        </is>
      </c>
      <c r="T923" t="n">
        <v>0.1697727476259336</v>
      </c>
      <c r="U923" t="n">
        <v>0.1696328802038949</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0.1642711653194185</v>
      </c>
      <c r="AI923">
        <f>IF($Y923="worse","Yes",IF($Y923="worse, not significant","Not sure",IF(OR($Y923="too few losses to test",$Y923="too few loans to test"),"Too few losses",IF($Y923="","","No"))))</f>
        <v/>
      </c>
      <c r="AJ923">
        <f>IF($AA923="yes","Yes",IF($AA923="","","No"))</f>
        <v/>
      </c>
    </row>
    <row r="924">
      <c r="A924" t="inlineStr">
        <is>
          <t>three-way</t>
        </is>
      </c>
      <c r="B924" t="inlineStr">
        <is>
          <t>ORIG_BAL x CHANNEL / REV_DEBT</t>
        </is>
      </c>
      <c r="C924" t="inlineStr">
        <is>
          <t>49,152 - 59,984</t>
        </is>
      </c>
      <c r="D924" t="inlineStr">
        <is>
          <t>Branch / REV_DEBT low half</t>
        </is>
      </c>
      <c r="E924" t="inlineStr">
        <is>
          <t>outcome_loans</t>
        </is>
      </c>
      <c r="F924" t="inlineStr">
        <is>
          <t>Outcome, share of loans</t>
        </is>
      </c>
      <c r="G924" t="n">
        <v>258</v>
      </c>
      <c r="H924" t="n">
        <v>258</v>
      </c>
      <c r="I924" t="b">
        <v>1</v>
      </c>
      <c r="J924" t="b">
        <v>0</v>
      </c>
      <c r="K924" t="n">
        <v>0.2936757843620775</v>
      </c>
      <c r="M924" t="n">
        <v>0.3217453847998082</v>
      </c>
      <c r="O924" t="n">
        <v>-14.43069370882315</v>
      </c>
      <c r="P924" t="n">
        <v>-12.64828614008942</v>
      </c>
      <c r="Q924">
        <f>'_live'!$C$20</f>
        <v/>
      </c>
      <c r="T924" t="n">
        <v>0.07918873530551608</v>
      </c>
      <c r="U924" t="n">
        <v>0.07228017883755589</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0.02325581395348837</v>
      </c>
      <c r="AI924">
        <f>IF($Y924="worse","Yes",IF($Y924="worse, not significant","Not sure",IF(OR($Y924="too few losses to test",$Y924="too few loans to test"),"Too few losses",IF($Y924="","","No"))))</f>
        <v/>
      </c>
      <c r="AJ924">
        <f>IF($AA924="yes","Yes",IF($AA924="","","No"))</f>
        <v/>
      </c>
    </row>
    <row r="925">
      <c r="A925" t="inlineStr">
        <is>
          <t>three-way</t>
        </is>
      </c>
      <c r="B925" t="inlineStr">
        <is>
          <t>ORIG_BAL x CHANNEL / REV_DEBT</t>
        </is>
      </c>
      <c r="C925" t="inlineStr">
        <is>
          <t>49,152 - 59,984</t>
        </is>
      </c>
      <c r="D925" t="inlineStr">
        <is>
          <t>Branch / REV_DEBT low half</t>
        </is>
      </c>
      <c r="E925" t="inlineStr">
        <is>
          <t>outcome_booked</t>
        </is>
      </c>
      <c r="F925" t="inlineStr">
        <is>
          <t>Outcome, share of booked dollars</t>
        </is>
      </c>
      <c r="G925" t="n">
        <v>258</v>
      </c>
      <c r="H925" t="n">
        <v>14023020.11</v>
      </c>
      <c r="I925" t="b">
        <v>1</v>
      </c>
      <c r="J925" t="b">
        <v>0</v>
      </c>
      <c r="K925" t="n">
        <v>0.3060667601560667</v>
      </c>
      <c r="M925" t="n">
        <v>0.3279939597954552</v>
      </c>
      <c r="O925" t="n">
        <v>-756699.8219509057</v>
      </c>
      <c r="P925" t="n">
        <v>-683800.5374916061</v>
      </c>
      <c r="Q925">
        <f>'_live'!$C$21</f>
        <v/>
      </c>
      <c r="T925" t="n">
        <v>0.07776145604849352</v>
      </c>
      <c r="U925" t="n">
        <v>0.07256291223357636</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0.02380019691778079</v>
      </c>
      <c r="AI925">
        <f>IF($Y925="worse","Yes",IF($Y925="worse, not significant","Not sure",IF(OR($Y925="too few losses to test",$Y925="too few loans to test"),"Too few losses",IF($Y925="","","No"))))</f>
        <v/>
      </c>
      <c r="AJ925">
        <f>IF($AA925="yes","Yes",IF($AA925="","","No"))</f>
        <v/>
      </c>
    </row>
    <row r="926">
      <c r="A926" t="inlineStr">
        <is>
          <t>three-way</t>
        </is>
      </c>
      <c r="B926" t="inlineStr">
        <is>
          <t>ORIG_BAL x CHANNEL / REV_DEBT</t>
        </is>
      </c>
      <c r="C926" t="inlineStr">
        <is>
          <t>49,152 - 59,984</t>
        </is>
      </c>
      <c r="D926" t="inlineStr">
        <is>
          <t>Branch / REV_DEBT low half</t>
        </is>
      </c>
      <c r="E926" t="inlineStr">
        <is>
          <t>gco_rate</t>
        </is>
      </c>
      <c r="F926" t="inlineStr">
        <is>
          <t>GCO per booked dollar</t>
        </is>
      </c>
      <c r="G926" t="n">
        <v>258</v>
      </c>
      <c r="H926" t="n">
        <v>14023020.11</v>
      </c>
      <c r="I926" t="b">
        <v>1</v>
      </c>
      <c r="J926" t="b">
        <v>0</v>
      </c>
      <c r="K926" t="n">
        <v>0.3250162175504985</v>
      </c>
      <c r="M926" t="n">
        <v>0.353882041826054</v>
      </c>
      <c r="O926" t="n">
        <v>-408802.96804185</v>
      </c>
      <c r="P926" t="n">
        <v>-359400.7849407097</v>
      </c>
      <c r="Q926">
        <f>'_live'!$C$22</f>
        <v/>
      </c>
      <c r="T926" t="n">
        <v>0.04318959634165782</v>
      </c>
      <c r="U926" t="n">
        <v>0.03966666171604812</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0.01403731924049847</v>
      </c>
      <c r="AI926">
        <f>IF($Y926="worse","Yes",IF($Y926="worse, not significant","Not sure",IF(OR($Y926="too few losses to test",$Y926="too few loans to test"),"Too few losses",IF($Y926="","","No"))))</f>
        <v/>
      </c>
      <c r="AJ926">
        <f>IF($AA926="yes","Yes",IF($AA926="","","No"))</f>
        <v/>
      </c>
    </row>
    <row r="927">
      <c r="A927" t="inlineStr">
        <is>
          <t>three-way</t>
        </is>
      </c>
      <c r="B927" t="inlineStr">
        <is>
          <t>ORIG_BAL x CHANNEL / REV_DEBT</t>
        </is>
      </c>
      <c r="C927" t="inlineStr">
        <is>
          <t>49,152 - 59,984</t>
        </is>
      </c>
      <c r="D927" t="inlineStr">
        <is>
          <t>Branch / REV_DEBT low half</t>
        </is>
      </c>
      <c r="E927" t="inlineStr">
        <is>
          <t>ranr_rate</t>
        </is>
      </c>
      <c r="F927" t="inlineStr">
        <is>
          <t>Profit after losses: RANR per booked dollar</t>
        </is>
      </c>
      <c r="G927" t="n">
        <v>258</v>
      </c>
      <c r="H927" t="n">
        <v>14023020.11</v>
      </c>
      <c r="I927" t="b">
        <v>0</v>
      </c>
      <c r="J927" t="b">
        <v>0</v>
      </c>
      <c r="K927" t="n">
        <v>-0.01788803620122313</v>
      </c>
      <c r="L927" t="n">
        <v>0.2646051184355249</v>
      </c>
      <c r="M927" t="n">
        <v>-0.02304936077042703</v>
      </c>
      <c r="N927" t="n">
        <v>0.1003899610038996</v>
      </c>
      <c r="O927" t="n">
        <v>250844.2913781598</v>
      </c>
      <c r="P927" t="n">
        <v>323221.6496063434</v>
      </c>
      <c r="Q927">
        <f>'_live'!$C$23</f>
        <v/>
      </c>
      <c r="R927" t="inlineStr">
        <is>
          <t>shuffled: 1,675 of 10,000</t>
        </is>
      </c>
      <c r="S927" t="inlineStr">
        <is>
          <t>shuffled: 442 of 10,000</t>
        </is>
      </c>
      <c r="T927" t="n">
        <v>0.1289620564751625</v>
      </c>
      <c r="U927" t="n">
        <v>0.1341233810443664</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0.1110740202739394</v>
      </c>
      <c r="AI927">
        <f>IF($Y927="worse","Yes",IF($Y927="worse, not significant","Not sure",IF(OR($Y927="too few losses to test",$Y927="too few loans to test"),"Too few losses",IF($Y927="","","No"))))</f>
        <v/>
      </c>
      <c r="AJ927">
        <f>IF($AA927="yes","Yes",IF($AA927="","","No"))</f>
        <v/>
      </c>
    </row>
    <row r="928">
      <c r="A928" t="inlineStr">
        <is>
          <t>three-way</t>
        </is>
      </c>
      <c r="B928" t="inlineStr">
        <is>
          <t>ORIG_BAL x CHANNEL / REV_DEBT</t>
        </is>
      </c>
      <c r="C928" t="inlineStr">
        <is>
          <t>49,152 - 59,984</t>
        </is>
      </c>
      <c r="D928" t="inlineStr">
        <is>
          <t>Branch / REV_DEBT low half</t>
        </is>
      </c>
      <c r="E928" t="inlineStr">
        <is>
          <t>contribution_rate</t>
        </is>
      </c>
      <c r="F928" t="inlineStr">
        <is>
          <t>Contribution before losses per booked dollar</t>
        </is>
      </c>
      <c r="G928" t="n">
        <v>258</v>
      </c>
      <c r="H928" t="n">
        <v>14023020.11</v>
      </c>
      <c r="I928" t="b">
        <v>0</v>
      </c>
      <c r="J928" t="b">
        <v>0</v>
      </c>
      <c r="K928" t="n">
        <v>-0.04703744781941097</v>
      </c>
      <c r="L928" t="n">
        <v>0.000176452942941</v>
      </c>
      <c r="M928" t="n">
        <v>-0.04867870324597667</v>
      </c>
      <c r="N928" t="n">
        <v>0.0001578789489472106</v>
      </c>
      <c r="O928" t="n">
        <v>659607.0766946755</v>
      </c>
      <c r="P928" t="n">
        <v>682622.434547053</v>
      </c>
      <c r="Q928">
        <f>'_live'!$C$24</f>
        <v/>
      </c>
      <c r="R928" t="inlineStr">
        <is>
          <t>shuffled: 0 of 10,000</t>
        </is>
      </c>
      <c r="S928" t="inlineStr">
        <is>
          <t>shuffled: 0 of 10,000</t>
        </is>
      </c>
      <c r="T928" t="n">
        <v>0.1721487873338488</v>
      </c>
      <c r="U928" t="n">
        <v>0.1737900427604145</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0.1251113395144378</v>
      </c>
      <c r="AI928">
        <f>IF($Y928="worse","Yes",IF($Y928="worse, not significant","Not sure",IF(OR($Y928="too few losses to test",$Y928="too few loans to test"),"Too few losses",IF($Y928="","","No"))))</f>
        <v/>
      </c>
      <c r="AJ928">
        <f>IF($AA928="yes","Yes",IF($AA928="","","No"))</f>
        <v/>
      </c>
    </row>
    <row r="929">
      <c r="A929" t="inlineStr">
        <is>
          <t>three-way</t>
        </is>
      </c>
      <c r="B929" t="inlineStr">
        <is>
          <t>ORIG_BAL x CHANNEL / REV_DEBT</t>
        </is>
      </c>
      <c r="C929" t="inlineStr">
        <is>
          <t>37,951 - 49,151</t>
        </is>
      </c>
      <c r="D929" t="inlineStr">
        <is>
          <t>Broker / REV_DEBT high half</t>
        </is>
      </c>
      <c r="E929" t="inlineStr">
        <is>
          <t>outcome_loans</t>
        </is>
      </c>
      <c r="F929" t="inlineStr">
        <is>
          <t>Outcome, share of loans</t>
        </is>
      </c>
      <c r="G929" t="n">
        <v>265</v>
      </c>
      <c r="H929" t="n">
        <v>265</v>
      </c>
      <c r="I929" t="b">
        <v>0</v>
      </c>
      <c r="J929" t="b">
        <v>0</v>
      </c>
      <c r="K929" t="n">
        <v>1.74909537348152</v>
      </c>
      <c r="L929" t="n">
        <v>0.005855058256154046</v>
      </c>
      <c r="M929" t="n">
        <v>1.781017724413951</v>
      </c>
      <c r="N929" t="n">
        <v>0.009386478554787086</v>
      </c>
      <c r="O929" t="n">
        <v>14.9896560641324</v>
      </c>
      <c r="P929" t="n">
        <v>15.34831460674157</v>
      </c>
      <c r="Q929">
        <f>'_live'!$C$20</f>
        <v/>
      </c>
      <c r="R929" t="inlineStr">
        <is>
          <t>z test</t>
        </is>
      </c>
      <c r="S929" t="inlineStr">
        <is>
          <t>z test</t>
        </is>
      </c>
      <c r="T929" t="n">
        <v>0.07551073183346263</v>
      </c>
      <c r="U929" t="n">
        <v>0.07415730337078652</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0.1320754716981132</v>
      </c>
      <c r="AI929">
        <f>IF($Y929="worse","Yes",IF($Y929="worse, not significant","Not sure",IF(OR($Y929="too few losses to test",$Y929="too few loans to test"),"Too few losses",IF($Y929="","","No"))))</f>
        <v/>
      </c>
      <c r="AJ929">
        <f>IF($AA929="yes","Yes",IF($AA929="","","No"))</f>
        <v/>
      </c>
    </row>
    <row r="930">
      <c r="A930" t="inlineStr">
        <is>
          <t>three-way</t>
        </is>
      </c>
      <c r="B930" t="inlineStr">
        <is>
          <t>ORIG_BAL x CHANNEL / REV_DEBT</t>
        </is>
      </c>
      <c r="C930" t="inlineStr">
        <is>
          <t>37,951 - 49,151</t>
        </is>
      </c>
      <c r="D930" t="inlineStr">
        <is>
          <t>Broker / REV_DEBT high half</t>
        </is>
      </c>
      <c r="E930" t="inlineStr">
        <is>
          <t>outcome_booked</t>
        </is>
      </c>
      <c r="F930" t="inlineStr">
        <is>
          <t>Outcome, share of booked dollars</t>
        </is>
      </c>
      <c r="G930" t="n">
        <v>265</v>
      </c>
      <c r="H930" t="n">
        <v>11540524.97</v>
      </c>
      <c r="I930" t="b">
        <v>0</v>
      </c>
      <c r="J930" t="b">
        <v>0</v>
      </c>
      <c r="K930" t="n">
        <v>1.810574433303284</v>
      </c>
      <c r="L930" t="n">
        <v>0.0124987501249875</v>
      </c>
      <c r="M930" t="n">
        <v>1.775608780801361</v>
      </c>
      <c r="N930" t="n">
        <v>0.00999900009999</v>
      </c>
      <c r="O930" t="n">
        <v>675494.4406510239</v>
      </c>
      <c r="P930" t="n">
        <v>659083.8870932951</v>
      </c>
      <c r="Q930">
        <f>'_live'!$C$21</f>
        <v/>
      </c>
      <c r="R930" t="inlineStr">
        <is>
          <t>shuffled: 14 of 10,000</t>
        </is>
      </c>
      <c r="S930" t="inlineStr">
        <is>
          <t>shuffled: 19 of 10,000</t>
        </is>
      </c>
      <c r="T930" t="n">
        <v>0.07221099226554299</v>
      </c>
      <c r="U930" t="n">
        <v>0.07363298594437377</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0.1307433763994533</v>
      </c>
      <c r="AI930">
        <f>IF($Y930="worse","Yes",IF($Y930="worse, not significant","Not sure",IF(OR($Y930="too few losses to test",$Y930="too few loans to test"),"Too few losses",IF($Y930="","","No"))))</f>
        <v/>
      </c>
      <c r="AJ930">
        <f>IF($AA930="yes","Yes",IF($AA930="","","No"))</f>
        <v/>
      </c>
    </row>
    <row r="931">
      <c r="A931" t="inlineStr">
        <is>
          <t>three-way</t>
        </is>
      </c>
      <c r="B931" t="inlineStr">
        <is>
          <t>ORIG_BAL x CHANNEL / REV_DEBT</t>
        </is>
      </c>
      <c r="C931" t="inlineStr">
        <is>
          <t>37,951 - 49,151</t>
        </is>
      </c>
      <c r="D931" t="inlineStr">
        <is>
          <t>Broker / REV_DEBT high half</t>
        </is>
      </c>
      <c r="E931" t="inlineStr">
        <is>
          <t>gco_rate</t>
        </is>
      </c>
      <c r="F931" t="inlineStr">
        <is>
          <t>GCO per booked dollar</t>
        </is>
      </c>
      <c r="G931" t="n">
        <v>265</v>
      </c>
      <c r="H931" t="n">
        <v>11540524.97</v>
      </c>
      <c r="I931" t="b">
        <v>0</v>
      </c>
      <c r="J931" t="b">
        <v>0</v>
      </c>
      <c r="K931" t="n">
        <v>1.840761082430018</v>
      </c>
      <c r="L931" t="n">
        <v>0.013998600139986</v>
      </c>
      <c r="M931" t="n">
        <v>1.783030632653966</v>
      </c>
      <c r="N931" t="n">
        <v>0.0144985501449855</v>
      </c>
      <c r="O931" t="n">
        <v>389058.5547842246</v>
      </c>
      <c r="P931" t="n">
        <v>374075.9092407959</v>
      </c>
      <c r="Q931">
        <f>'_live'!$C$22</f>
        <v/>
      </c>
      <c r="R931" t="inlineStr">
        <is>
          <t>shuffled: 16 of 10,000</t>
        </is>
      </c>
      <c r="S931" t="inlineStr">
        <is>
          <t>shuffled: 28 of 10,000</t>
        </is>
      </c>
      <c r="T931" t="n">
        <v>0.04009745452816909</v>
      </c>
      <c r="U931" t="n">
        <v>0.04139571830580283</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0.07380983379996096</v>
      </c>
      <c r="AI931">
        <f>IF($Y931="worse","Yes",IF($Y931="worse, not significant","Not sure",IF(OR($Y931="too few losses to test",$Y931="too few loans to test"),"Too few losses",IF($Y931="","","No"))))</f>
        <v/>
      </c>
      <c r="AJ931">
        <f>IF($AA931="yes","Yes",IF($AA931="","","No"))</f>
        <v/>
      </c>
    </row>
    <row r="932">
      <c r="A932" t="inlineStr">
        <is>
          <t>three-way</t>
        </is>
      </c>
      <c r="B932" t="inlineStr">
        <is>
          <t>ORIG_BAL x CHANNEL / REV_DEBT</t>
        </is>
      </c>
      <c r="C932" t="inlineStr">
        <is>
          <t>37,951 - 49,151</t>
        </is>
      </c>
      <c r="D932" t="inlineStr">
        <is>
          <t>Broker / REV_DEBT high half</t>
        </is>
      </c>
      <c r="E932" t="inlineStr">
        <is>
          <t>ranr_rate</t>
        </is>
      </c>
      <c r="F932" t="inlineStr">
        <is>
          <t>Profit after losses: RANR per booked dollar</t>
        </is>
      </c>
      <c r="G932" t="n">
        <v>265</v>
      </c>
      <c r="H932" t="n">
        <v>11540524.97</v>
      </c>
      <c r="I932" t="b">
        <v>0</v>
      </c>
      <c r="J932" t="b">
        <v>0</v>
      </c>
      <c r="K932" t="n">
        <v>-0.000815520701475364</v>
      </c>
      <c r="L932" t="n">
        <v>0.9675032496750325</v>
      </c>
      <c r="M932" t="n">
        <v>0.005731550594816712</v>
      </c>
      <c r="N932" t="n">
        <v>0.7681539538353856</v>
      </c>
      <c r="O932" t="n">
        <v>9411.537018928444</v>
      </c>
      <c r="P932" t="n">
        <v>-66145.10275630071</v>
      </c>
      <c r="Q932">
        <f>'_live'!$C$23</f>
        <v/>
      </c>
      <c r="R932" t="inlineStr">
        <is>
          <t>shuffled: 9,496 of 10,000</t>
        </is>
      </c>
      <c r="S932" t="inlineStr">
        <is>
          <t>shuffled: 6,657 of 10,000</t>
        </is>
      </c>
      <c r="T932" t="n">
        <v>0.1280265187987309</v>
      </c>
      <c r="U932" t="n">
        <v>0.1214794475024388</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0.1272109980972555</v>
      </c>
      <c r="AI932">
        <f>IF($Y932="worse","Yes",IF($Y932="worse, not significant","Not sure",IF(OR($Y932="too few losses to test",$Y932="too few loans to test"),"Too few losses",IF($Y932="","","No"))))</f>
        <v/>
      </c>
      <c r="AJ932">
        <f>IF($AA932="yes","Yes",IF($AA932="","","No"))</f>
        <v/>
      </c>
    </row>
    <row r="933">
      <c r="A933" t="inlineStr">
        <is>
          <t>three-way</t>
        </is>
      </c>
      <c r="B933" t="inlineStr">
        <is>
          <t>ORIG_BAL x CHANNEL / REV_DEBT</t>
        </is>
      </c>
      <c r="C933" t="inlineStr">
        <is>
          <t>37,951 - 49,151</t>
        </is>
      </c>
      <c r="D933" t="inlineStr">
        <is>
          <t>Broker / REV_DEBT high half</t>
        </is>
      </c>
      <c r="E933" t="inlineStr">
        <is>
          <t>contribution_rate</t>
        </is>
      </c>
      <c r="F933" t="inlineStr">
        <is>
          <t>Contribution before losses per booked dollar</t>
        </is>
      </c>
      <c r="G933" t="n">
        <v>265</v>
      </c>
      <c r="H933" t="n">
        <v>11540524.97</v>
      </c>
      <c r="I933" t="b">
        <v>0</v>
      </c>
      <c r="J933" t="b">
        <v>0</v>
      </c>
      <c r="K933" t="n">
        <v>0.03289984581460331</v>
      </c>
      <c r="L933" t="n">
        <v>0.000176452942941</v>
      </c>
      <c r="M933" t="n">
        <v>0.03816280610348302</v>
      </c>
      <c r="N933" t="n">
        <v>0.0001578789489472106</v>
      </c>
      <c r="O933" t="n">
        <v>-379681.4921325797</v>
      </c>
      <c r="P933" t="n">
        <v>-440418.8167625144</v>
      </c>
      <c r="Q933">
        <f>'_live'!$C$24</f>
        <v/>
      </c>
      <c r="R933" t="inlineStr">
        <is>
          <t>shuffled: 0 of 10,000</t>
        </is>
      </c>
      <c r="S933" t="inlineStr">
        <is>
          <t>shuffled: 0 of 10,000</t>
        </is>
      </c>
      <c r="T933" t="n">
        <v>0.1681209860826132</v>
      </c>
      <c r="U933" t="n">
        <v>0.1628580257937335</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0.2010208318972165</v>
      </c>
      <c r="AI933">
        <f>IF($Y933="worse","Yes",IF($Y933="worse, not significant","Not sure",IF(OR($Y933="too few losses to test",$Y933="too few loans to test"),"Too few losses",IF($Y933="","","No"))))</f>
        <v/>
      </c>
      <c r="AJ933">
        <f>IF($AA933="yes","Yes",IF($AA933="","","No"))</f>
        <v/>
      </c>
    </row>
    <row r="934">
      <c r="A934" t="inlineStr">
        <is>
          <t>three-way</t>
        </is>
      </c>
      <c r="B934" t="inlineStr">
        <is>
          <t>ORIG_BAL x CHANNEL / REV_DEBT</t>
        </is>
      </c>
      <c r="C934" t="inlineStr">
        <is>
          <t>49,152 - 59,984</t>
        </is>
      </c>
      <c r="D934" t="inlineStr">
        <is>
          <t>Online / REV_DEBT low half</t>
        </is>
      </c>
      <c r="E934" t="inlineStr">
        <is>
          <t>outcome_loans</t>
        </is>
      </c>
      <c r="F934" t="inlineStr">
        <is>
          <t>Outcome, share of loans</t>
        </is>
      </c>
      <c r="G934" t="n">
        <v>283</v>
      </c>
      <c r="H934" t="n">
        <v>283</v>
      </c>
      <c r="I934" t="b">
        <v>0</v>
      </c>
      <c r="J934" t="b">
        <v>0</v>
      </c>
      <c r="K934" t="n">
        <v>0.5848931182870937</v>
      </c>
      <c r="L934" t="n">
        <v>0.08595868254706537</v>
      </c>
      <c r="M934" t="n">
        <v>0.6722025912838634</v>
      </c>
      <c r="N934" t="n">
        <v>0.2044911332214826</v>
      </c>
      <c r="O934" t="n">
        <v>-9.22628304821151</v>
      </c>
      <c r="P934" t="n">
        <v>-6.339407744874716</v>
      </c>
      <c r="Q934">
        <f>'_live'!$C$20</f>
        <v/>
      </c>
      <c r="R934" t="inlineStr">
        <is>
          <t>z test</t>
        </is>
      </c>
      <c r="S934" t="inlineStr">
        <is>
          <t>z test</t>
        </is>
      </c>
      <c r="T934" t="n">
        <v>0.07853810264385692</v>
      </c>
      <c r="U934" t="n">
        <v>0.0683371298405467</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0.04593639575971731</v>
      </c>
      <c r="AI934">
        <f>IF($Y934="worse","Yes",IF($Y934="worse, not significant","Not sure",IF(OR($Y934="too few losses to test",$Y934="too few loans to test"),"Too few losses",IF($Y934="","","No"))))</f>
        <v/>
      </c>
      <c r="AJ934">
        <f>IF($AA934="yes","Yes",IF($AA934="","","No"))</f>
        <v/>
      </c>
    </row>
    <row r="935">
      <c r="A935" t="inlineStr">
        <is>
          <t>three-way</t>
        </is>
      </c>
      <c r="B935" t="inlineStr">
        <is>
          <t>ORIG_BAL x CHANNEL / REV_DEBT</t>
        </is>
      </c>
      <c r="C935" t="inlineStr">
        <is>
          <t>49,152 - 59,984</t>
        </is>
      </c>
      <c r="D935" t="inlineStr">
        <is>
          <t>Online / REV_DEBT low half</t>
        </is>
      </c>
      <c r="E935" t="inlineStr">
        <is>
          <t>outcome_booked</t>
        </is>
      </c>
      <c r="F935" t="inlineStr">
        <is>
          <t>Outcome, share of booked dollars</t>
        </is>
      </c>
      <c r="G935" t="n">
        <v>283</v>
      </c>
      <c r="H935" t="n">
        <v>15428838.43</v>
      </c>
      <c r="I935" t="b">
        <v>0</v>
      </c>
      <c r="J935" t="b">
        <v>0</v>
      </c>
      <c r="K935" t="n">
        <v>0.5973936424241789</v>
      </c>
      <c r="L935" t="n">
        <v>0.1645668766456688</v>
      </c>
      <c r="M935" t="n">
        <v>0.665805850732236</v>
      </c>
      <c r="N935" t="n">
        <v>0.2036638441419016</v>
      </c>
      <c r="O935" t="n">
        <v>-476283.982153727</v>
      </c>
      <c r="P935" t="n">
        <v>-354729.395808792</v>
      </c>
      <c r="Q935">
        <f>'_live'!$C$21</f>
        <v/>
      </c>
      <c r="R935" t="inlineStr">
        <is>
          <t>shuffled: 789 of 10,000</t>
        </is>
      </c>
      <c r="S935" t="inlineStr">
        <is>
          <t>shuffled: 1,547 of 10,000</t>
        </is>
      </c>
      <c r="T935" t="n">
        <v>0.07667470545634114</v>
      </c>
      <c r="U935" t="n">
        <v>0.06879630379334992</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0.0458049815743647</v>
      </c>
      <c r="AI935">
        <f>IF($Y935="worse","Yes",IF($Y935="worse, not significant","Not sure",IF(OR($Y935="too few losses to test",$Y935="too few loans to test"),"Too few losses",IF($Y935="","","No"))))</f>
        <v/>
      </c>
      <c r="AJ935">
        <f>IF($AA935="yes","Yes",IF($AA935="","","No"))</f>
        <v/>
      </c>
    </row>
    <row r="936">
      <c r="A936" t="inlineStr">
        <is>
          <t>three-way</t>
        </is>
      </c>
      <c r="B936" t="inlineStr">
        <is>
          <t>ORIG_BAL x CHANNEL / REV_DEBT</t>
        </is>
      </c>
      <c r="C936" t="inlineStr">
        <is>
          <t>49,152 - 59,984</t>
        </is>
      </c>
      <c r="D936" t="inlineStr">
        <is>
          <t>Online / REV_DEBT low half</t>
        </is>
      </c>
      <c r="E936" t="inlineStr">
        <is>
          <t>gco_rate</t>
        </is>
      </c>
      <c r="F936" t="inlineStr">
        <is>
          <t>GCO per booked dollar</t>
        </is>
      </c>
      <c r="G936" t="n">
        <v>283</v>
      </c>
      <c r="H936" t="n">
        <v>15428838.43</v>
      </c>
      <c r="I936" t="b">
        <v>0</v>
      </c>
      <c r="J936" t="b">
        <v>0</v>
      </c>
      <c r="K936" t="n">
        <v>0.5069682760833372</v>
      </c>
      <c r="L936" t="n">
        <v>0.099434500994345</v>
      </c>
      <c r="M936" t="n">
        <v>0.564252581396813</v>
      </c>
      <c r="N936" t="n">
        <v>0.1255231619695173</v>
      </c>
      <c r="O936" t="n">
        <v>-326101.113663741</v>
      </c>
      <c r="P936" t="n">
        <v>-258952.1192252535</v>
      </c>
      <c r="Q936">
        <f>'_live'!$C$22</f>
        <v/>
      </c>
      <c r="R936" t="inlineStr">
        <is>
          <t>shuffled: 357 of 10,000</t>
        </is>
      </c>
      <c r="S936" t="inlineStr">
        <is>
          <t>shuffled: 702 of 10,000</t>
        </is>
      </c>
      <c r="T936" t="n">
        <v>0.04286908224909974</v>
      </c>
      <c r="U936" t="n">
        <v>0.03851690792676565</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0.02173326472510089</v>
      </c>
      <c r="AI936">
        <f>IF($Y936="worse","Yes",IF($Y936="worse, not significant","Not sure",IF(OR($Y936="too few losses to test",$Y936="too few loans to test"),"Too few losses",IF($Y936="","","No"))))</f>
        <v/>
      </c>
      <c r="AJ936">
        <f>IF($AA936="yes","Yes",IF($AA936="","","No"))</f>
        <v/>
      </c>
    </row>
    <row r="937">
      <c r="A937" t="inlineStr">
        <is>
          <t>three-way</t>
        </is>
      </c>
      <c r="B937" t="inlineStr">
        <is>
          <t>ORIG_BAL x CHANNEL / REV_DEBT</t>
        </is>
      </c>
      <c r="C937" t="inlineStr">
        <is>
          <t>49,152 - 59,984</t>
        </is>
      </c>
      <c r="D937" t="inlineStr">
        <is>
          <t>Online / REV_DEBT low half</t>
        </is>
      </c>
      <c r="E937" t="inlineStr">
        <is>
          <t>ranr_rate</t>
        </is>
      </c>
      <c r="F937" t="inlineStr">
        <is>
          <t>Profit after losses: RANR per booked dollar</t>
        </is>
      </c>
      <c r="G937" t="n">
        <v>283</v>
      </c>
      <c r="H937" t="n">
        <v>15428838.43</v>
      </c>
      <c r="I937" t="b">
        <v>0</v>
      </c>
      <c r="J937" t="b">
        <v>0</v>
      </c>
      <c r="K937" t="n">
        <v>0.002381263706538295</v>
      </c>
      <c r="L937" t="n">
        <v>0.9073021269301641</v>
      </c>
      <c r="M937" t="n">
        <v>-0.0002365554542698711</v>
      </c>
      <c r="N937" t="n">
        <v>0.9815018498150185</v>
      </c>
      <c r="O937" t="n">
        <v>-36740.13298740238</v>
      </c>
      <c r="P937" t="n">
        <v>3649.775883665076</v>
      </c>
      <c r="Q937">
        <f>'_live'!$C$23</f>
        <v/>
      </c>
      <c r="R937" t="inlineStr">
        <is>
          <t>shuffled: 8,468 of 10,000</t>
        </is>
      </c>
      <c r="S937" t="inlineStr">
        <is>
          <t>shuffled: 9,815 of 10,000</t>
        </is>
      </c>
      <c r="T937" t="n">
        <v>0.1278476838008212</v>
      </c>
      <c r="U937" t="n">
        <v>0.1304655029616293</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0.1302289475073595</v>
      </c>
      <c r="AI937">
        <f>IF($Y937="worse","Yes",IF($Y937="worse, not significant","Not sure",IF(OR($Y937="too few losses to test",$Y937="too few loans to test"),"Too few losses",IF($Y937="","","No"))))</f>
        <v/>
      </c>
      <c r="AJ937">
        <f>IF($AA937="yes","Yes",IF($AA937="","","No"))</f>
        <v/>
      </c>
    </row>
    <row r="938">
      <c r="A938" t="inlineStr">
        <is>
          <t>three-way</t>
        </is>
      </c>
      <c r="B938" t="inlineStr">
        <is>
          <t>ORIG_BAL x CHANNEL / REV_DEBT</t>
        </is>
      </c>
      <c r="C938" t="inlineStr">
        <is>
          <t>49,152 - 59,984</t>
        </is>
      </c>
      <c r="D938" t="inlineStr">
        <is>
          <t>Online / REV_DEBT low half</t>
        </is>
      </c>
      <c r="E938" t="inlineStr">
        <is>
          <t>contribution_rate</t>
        </is>
      </c>
      <c r="F938" t="inlineStr">
        <is>
          <t>Contribution before losses per booked dollar</t>
        </is>
      </c>
      <c r="G938" t="n">
        <v>283</v>
      </c>
      <c r="H938" t="n">
        <v>15428838.43</v>
      </c>
      <c r="I938" t="b">
        <v>0</v>
      </c>
      <c r="J938" t="b">
        <v>0</v>
      </c>
      <c r="K938" t="n">
        <v>-0.01875148944080346</v>
      </c>
      <c r="L938" t="n">
        <v>0.02483751624837516</v>
      </c>
      <c r="M938" t="n">
        <v>-0.01702019865593468</v>
      </c>
      <c r="N938" t="n">
        <v>0.02903281100461383</v>
      </c>
      <c r="O938" t="n">
        <v>289313.7009040075</v>
      </c>
      <c r="P938" t="n">
        <v>262601.8951089191</v>
      </c>
      <c r="Q938">
        <f>'_live'!$C$24</f>
        <v/>
      </c>
      <c r="R938" t="inlineStr">
        <is>
          <t>shuffled: 206 of 10,000</t>
        </is>
      </c>
      <c r="S938" t="inlineStr">
        <is>
          <t>shuffled: 270 of 10,000</t>
        </is>
      </c>
      <c r="T938" t="n">
        <v>0.1707137016732638</v>
      </c>
      <c r="U938" t="n">
        <v>0.168982410888395</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0.1519622122324603</v>
      </c>
      <c r="AI938">
        <f>IF($Y938="worse","Yes",IF($Y938="worse, not significant","Not sure",IF(OR($Y938="too few losses to test",$Y938="too few loans to test"),"Too few losses",IF($Y938="","","No"))))</f>
        <v/>
      </c>
      <c r="AJ938">
        <f>IF($AA938="yes","Yes",IF($AA938="","","No"))</f>
        <v/>
      </c>
    </row>
    <row r="939">
      <c r="A939" t="inlineStr">
        <is>
          <t>three-way</t>
        </is>
      </c>
      <c r="B939" t="inlineStr">
        <is>
          <t>ORIG_BAL x CHANNEL / REV_DEBT</t>
        </is>
      </c>
      <c r="C939" t="inlineStr">
        <is>
          <t>37,951 - 49,151</t>
        </is>
      </c>
      <c r="D939" t="inlineStr">
        <is>
          <t>Online / REV_DEBT high half</t>
        </is>
      </c>
      <c r="E939" t="inlineStr">
        <is>
          <t>outcome_loans</t>
        </is>
      </c>
      <c r="F939" t="inlineStr">
        <is>
          <t>Outcome, share of loans</t>
        </is>
      </c>
      <c r="G939" t="n">
        <v>271</v>
      </c>
      <c r="H939" t="n">
        <v>271</v>
      </c>
      <c r="I939" t="b">
        <v>0</v>
      </c>
      <c r="J939" t="b">
        <v>0</v>
      </c>
      <c r="K939" t="n">
        <v>1.452458667201273</v>
      </c>
      <c r="L939" t="n">
        <v>0.08595868254706537</v>
      </c>
      <c r="M939" t="n">
        <v>1.414632415554925</v>
      </c>
      <c r="N939" t="n">
        <v>0.1232147198548536</v>
      </c>
      <c r="O939" t="n">
        <v>9.345367494824018</v>
      </c>
      <c r="P939" t="n">
        <v>8.793077501881115</v>
      </c>
      <c r="Q939">
        <f>'_live'!$C$20</f>
        <v/>
      </c>
      <c r="R939" t="inlineStr">
        <is>
          <t>z test</t>
        </is>
      </c>
      <c r="S939" t="inlineStr">
        <is>
          <t>z test</t>
        </is>
      </c>
      <c r="T939" t="n">
        <v>0.07621635610766045</v>
      </c>
      <c r="U939" t="n">
        <v>0.07825432656132431</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0.1107011070110701</v>
      </c>
      <c r="AI939">
        <f>IF($Y939="worse","Yes",IF($Y939="worse, not significant","Not sure",IF(OR($Y939="too few losses to test",$Y939="too few loans to test"),"Too few losses",IF($Y939="","","No"))))</f>
        <v/>
      </c>
      <c r="AJ939">
        <f>IF($AA939="yes","Yes",IF($AA939="","","No"))</f>
        <v/>
      </c>
    </row>
    <row r="940">
      <c r="A940" t="inlineStr">
        <is>
          <t>three-way</t>
        </is>
      </c>
      <c r="B940" t="inlineStr">
        <is>
          <t>ORIG_BAL x CHANNEL / REV_DEBT</t>
        </is>
      </c>
      <c r="C940" t="inlineStr">
        <is>
          <t>37,951 - 49,151</t>
        </is>
      </c>
      <c r="D940" t="inlineStr">
        <is>
          <t>Online / REV_DEBT high half</t>
        </is>
      </c>
      <c r="E940" t="inlineStr">
        <is>
          <t>outcome_booked</t>
        </is>
      </c>
      <c r="F940" t="inlineStr">
        <is>
          <t>Outcome, share of booked dollars</t>
        </is>
      </c>
      <c r="G940" t="n">
        <v>271</v>
      </c>
      <c r="H940" t="n">
        <v>11745476.41999999</v>
      </c>
      <c r="I940" t="b">
        <v>0</v>
      </c>
      <c r="J940" t="b">
        <v>0</v>
      </c>
      <c r="K940" t="n">
        <v>1.548047651629237</v>
      </c>
      <c r="L940" t="n">
        <v>0.07343015698430157</v>
      </c>
      <c r="M940" t="n">
        <v>1.467338335725116</v>
      </c>
      <c r="N940" t="n">
        <v>0.1070347510703475</v>
      </c>
      <c r="O940" t="n">
        <v>469955.5445731748</v>
      </c>
      <c r="P940" t="n">
        <v>422789.2391626802</v>
      </c>
      <c r="Q940">
        <f>'_live'!$C$21</f>
        <v/>
      </c>
      <c r="R940" t="inlineStr">
        <is>
          <t>shuffled: 234 of 10,000</t>
        </is>
      </c>
      <c r="S940" t="inlineStr">
        <is>
          <t>shuffled: 470 of 10,000</t>
        </is>
      </c>
      <c r="T940" t="n">
        <v>0.07300755752799219</v>
      </c>
      <c r="U940" t="n">
        <v>0.0770232571662104</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0.1130191779823948</v>
      </c>
      <c r="AI940">
        <f>IF($Y940="worse","Yes",IF($Y940="worse, not significant","Not sure",IF(OR($Y940="too few losses to test",$Y940="too few loans to test"),"Too few losses",IF($Y940="","","No"))))</f>
        <v/>
      </c>
      <c r="AJ940">
        <f>IF($AA940="yes","Yes",IF($AA940="","","No"))</f>
        <v/>
      </c>
    </row>
    <row r="941">
      <c r="A941" t="inlineStr">
        <is>
          <t>three-way</t>
        </is>
      </c>
      <c r="B941" t="inlineStr">
        <is>
          <t>ORIG_BAL x CHANNEL / REV_DEBT</t>
        </is>
      </c>
      <c r="C941" t="inlineStr">
        <is>
          <t>37,951 - 49,151</t>
        </is>
      </c>
      <c r="D941" t="inlineStr">
        <is>
          <t>Online / REV_DEBT high half</t>
        </is>
      </c>
      <c r="E941" t="inlineStr">
        <is>
          <t>gco_rate</t>
        </is>
      </c>
      <c r="F941" t="inlineStr">
        <is>
          <t>GCO per booked dollar</t>
        </is>
      </c>
      <c r="G941" t="n">
        <v>271</v>
      </c>
      <c r="H941" t="n">
        <v>11745476.41999999</v>
      </c>
      <c r="I941" t="b">
        <v>0</v>
      </c>
      <c r="J941" t="b">
        <v>0</v>
      </c>
      <c r="K941" t="n">
        <v>1.617356405051526</v>
      </c>
      <c r="L941" t="n">
        <v>0.04593290670932907</v>
      </c>
      <c r="M941" t="n">
        <v>1.522962939025214</v>
      </c>
      <c r="N941" t="n">
        <v>0.09304625093046251</v>
      </c>
      <c r="O941" t="n">
        <v>293439.553744894</v>
      </c>
      <c r="P941" t="n">
        <v>263979.3807041165</v>
      </c>
      <c r="Q941">
        <f>'_live'!$C$22</f>
        <v/>
      </c>
      <c r="R941" t="inlineStr">
        <is>
          <t>shuffled: 146 of 10,000</t>
        </is>
      </c>
      <c r="S941" t="inlineStr">
        <is>
          <t>shuffled: 334 of 10,000</t>
        </is>
      </c>
      <c r="T941" t="n">
        <v>0.04046802949991414</v>
      </c>
      <c r="U941" t="n">
        <v>0.0429762438955953</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0.06545122671150023</v>
      </c>
      <c r="AI941">
        <f>IF($Y941="worse","Yes",IF($Y941="worse, not significant","Not sure",IF(OR($Y941="too few losses to test",$Y941="too few loans to test"),"Too few losses",IF($Y941="","","No"))))</f>
        <v/>
      </c>
      <c r="AJ941">
        <f>IF($AA941="yes","Yes",IF($AA941="","","No"))</f>
        <v/>
      </c>
    </row>
    <row r="942">
      <c r="A942" t="inlineStr">
        <is>
          <t>three-way</t>
        </is>
      </c>
      <c r="B942" t="inlineStr">
        <is>
          <t>ORIG_BAL x CHANNEL / REV_DEBT</t>
        </is>
      </c>
      <c r="C942" t="inlineStr">
        <is>
          <t>37,951 - 49,151</t>
        </is>
      </c>
      <c r="D942" t="inlineStr">
        <is>
          <t>Online / REV_DEBT high half</t>
        </is>
      </c>
      <c r="E942" t="inlineStr">
        <is>
          <t>ranr_rate</t>
        </is>
      </c>
      <c r="F942" t="inlineStr">
        <is>
          <t>Profit after losses: RANR per booked dollar</t>
        </is>
      </c>
      <c r="G942" t="n">
        <v>271</v>
      </c>
      <c r="H942" t="n">
        <v>11745476.41999999</v>
      </c>
      <c r="I942" t="b">
        <v>0</v>
      </c>
      <c r="J942" t="b">
        <v>0</v>
      </c>
      <c r="K942" t="n">
        <v>0.02784735500996038</v>
      </c>
      <c r="L942" t="n">
        <v>0.06160922369301532</v>
      </c>
      <c r="M942" t="n">
        <v>0.03865578194296267</v>
      </c>
      <c r="N942" t="n">
        <v>0.01542702872569886</v>
      </c>
      <c r="O942" t="n">
        <v>-327080.4516288585</v>
      </c>
      <c r="P942" t="n">
        <v>-454030.5753077294</v>
      </c>
      <c r="Q942">
        <f>'_live'!$C$23</f>
        <v/>
      </c>
      <c r="R942" t="inlineStr">
        <is>
          <t>shuffled: 257 of 10,000</t>
        </is>
      </c>
      <c r="S942" t="inlineStr">
        <is>
          <t>shuffled: 35 of 10,000</t>
        </is>
      </c>
      <c r="T942" t="n">
        <v>0.1267226321987834</v>
      </c>
      <c r="U942" t="n">
        <v>0.1159142052657811</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0.1545699872087438</v>
      </c>
      <c r="AI942">
        <f>IF($Y942="worse","Yes",IF($Y942="worse, not significant","Not sure",IF(OR($Y942="too few losses to test",$Y942="too few loans to test"),"Too few losses",IF($Y942="","","No"))))</f>
        <v/>
      </c>
      <c r="AJ942">
        <f>IF($AA942="yes","Yes",IF($AA942="","","No"))</f>
        <v/>
      </c>
    </row>
    <row r="943">
      <c r="A943" t="inlineStr">
        <is>
          <t>three-way</t>
        </is>
      </c>
      <c r="B943" t="inlineStr">
        <is>
          <t>ORIG_BAL x CHANNEL / REV_DEBT</t>
        </is>
      </c>
      <c r="C943" t="inlineStr">
        <is>
          <t>37,951 - 49,151</t>
        </is>
      </c>
      <c r="D943" t="inlineStr">
        <is>
          <t>Online / REV_DEBT high half</t>
        </is>
      </c>
      <c r="E943" t="inlineStr">
        <is>
          <t>contribution_rate</t>
        </is>
      </c>
      <c r="F943" t="inlineStr">
        <is>
          <t>Contribution before losses per booked dollar</t>
        </is>
      </c>
      <c r="G943" t="n">
        <v>271</v>
      </c>
      <c r="H943" t="n">
        <v>11745476.41999999</v>
      </c>
      <c r="I943" t="b">
        <v>0</v>
      </c>
      <c r="J943" t="b">
        <v>0</v>
      </c>
      <c r="K943" t="n">
        <v>0.05283375205125709</v>
      </c>
      <c r="L943" t="n">
        <v>0.000176452942941</v>
      </c>
      <c r="M943" t="n">
        <v>0.06115177898993446</v>
      </c>
      <c r="N943" t="n">
        <v>0.0001578789489472106</v>
      </c>
      <c r="O943" t="n">
        <v>-620557.5888981663</v>
      </c>
      <c r="P943" t="n">
        <v>-718256.778167326</v>
      </c>
      <c r="Q943">
        <f>'_live'!$C$24</f>
        <v/>
      </c>
      <c r="R943" t="inlineStr">
        <is>
          <t>shuffled: 0 of 10,000</t>
        </is>
      </c>
      <c r="S943" t="inlineStr">
        <is>
          <t>shuffled: 0 of 10,000</t>
        </is>
      </c>
      <c r="T943" t="n">
        <v>0.167187461868987</v>
      </c>
      <c r="U943" t="n">
        <v>0.1588694349303096</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0.2200212139202441</v>
      </c>
      <c r="AI943">
        <f>IF($Y943="worse","Yes",IF($Y943="worse, not significant","Not sure",IF(OR($Y943="too few losses to test",$Y943="too few loans to test"),"Too few losses",IF($Y943="","","No"))))</f>
        <v/>
      </c>
      <c r="AJ943">
        <f>IF($AA943="yes","Yes",IF($AA943="","","No"))</f>
        <v/>
      </c>
    </row>
    <row r="944">
      <c r="A944" t="inlineStr">
        <is>
          <t>three-way</t>
        </is>
      </c>
      <c r="B944" t="inlineStr">
        <is>
          <t>ORIG_BAL x CHANNEL / REV_DEBT</t>
        </is>
      </c>
      <c r="C944" t="inlineStr">
        <is>
          <t>49,152 - 59,984</t>
        </is>
      </c>
      <c r="D944" t="inlineStr">
        <is>
          <t>Branch / REV_DEBT high half</t>
        </is>
      </c>
      <c r="E944" t="inlineStr">
        <is>
          <t>outcome_loans</t>
        </is>
      </c>
      <c r="F944" t="inlineStr">
        <is>
          <t>Outcome, share of loans</t>
        </is>
      </c>
      <c r="G944" t="n">
        <v>257</v>
      </c>
      <c r="H944" t="n">
        <v>257</v>
      </c>
      <c r="I944" t="b">
        <v>0</v>
      </c>
      <c r="J944" t="b">
        <v>0</v>
      </c>
      <c r="K944" t="n">
        <v>0.8506922450456972</v>
      </c>
      <c r="L944" t="n">
        <v>0.5871096515882852</v>
      </c>
      <c r="M944" t="n">
        <v>1.032983440412633</v>
      </c>
      <c r="N944" t="n">
        <v>0.8994138357713847</v>
      </c>
      <c r="O944" t="n">
        <v>-2.983725135623871</v>
      </c>
      <c r="P944" t="n">
        <v>0.5428145941921088</v>
      </c>
      <c r="Q944">
        <f>'_live'!$C$20</f>
        <v/>
      </c>
      <c r="R944" t="inlineStr">
        <is>
          <t>z test</t>
        </is>
      </c>
      <c r="S944" t="inlineStr">
        <is>
          <t>z test</t>
        </is>
      </c>
      <c r="T944" t="n">
        <v>0.07775768535262206</v>
      </c>
      <c r="U944" t="n">
        <v>0.06403574087862993</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0.06614785992217899</v>
      </c>
      <c r="AI944">
        <f>IF($Y944="worse","Yes",IF($Y944="worse, not significant","Not sure",IF(OR($Y944="too few losses to test",$Y944="too few loans to test"),"Too few losses",IF($Y944="","","No"))))</f>
        <v/>
      </c>
      <c r="AJ944">
        <f>IF($AA944="yes","Yes",IF($AA944="","","No"))</f>
        <v/>
      </c>
    </row>
    <row r="945">
      <c r="A945" t="inlineStr">
        <is>
          <t>three-way</t>
        </is>
      </c>
      <c r="B945" t="inlineStr">
        <is>
          <t>ORIG_BAL x CHANNEL / REV_DEBT</t>
        </is>
      </c>
      <c r="C945" t="inlineStr">
        <is>
          <t>49,152 - 59,984</t>
        </is>
      </c>
      <c r="D945" t="inlineStr">
        <is>
          <t>Branch / REV_DEBT high half</t>
        </is>
      </c>
      <c r="E945" t="inlineStr">
        <is>
          <t>outcome_booked</t>
        </is>
      </c>
      <c r="F945" t="inlineStr">
        <is>
          <t>Outcome, share of booked dollars</t>
        </is>
      </c>
      <c r="G945" t="n">
        <v>257</v>
      </c>
      <c r="H945" t="n">
        <v>14049379.33</v>
      </c>
      <c r="I945" t="b">
        <v>0</v>
      </c>
      <c r="J945" t="b">
        <v>0</v>
      </c>
      <c r="K945" t="n">
        <v>0.8808144675329436</v>
      </c>
      <c r="L945" t="n">
        <v>0.7544483646873408</v>
      </c>
      <c r="M945" t="n">
        <v>1.029682456259546</v>
      </c>
      <c r="N945" t="n">
        <v>0.9269073092690731</v>
      </c>
      <c r="O945" t="n">
        <v>-126118.087369909</v>
      </c>
      <c r="P945" t="n">
        <v>26867.96645586356</v>
      </c>
      <c r="Q945">
        <f>'_live'!$C$21</f>
        <v/>
      </c>
      <c r="R945" t="inlineStr">
        <is>
          <t>shuffled: 6,337 of 10,000</t>
        </is>
      </c>
      <c r="S945" t="inlineStr">
        <is>
          <t>shuffled: 9,269 of 10,000</t>
        </is>
      </c>
      <c r="T945" t="n">
        <v>0.07531763877357769</v>
      </c>
      <c r="U945" t="n">
        <v>0.0644284706308187</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0.06634086589218742</v>
      </c>
      <c r="AI945">
        <f>IF($Y945="worse","Yes",IF($Y945="worse, not significant","Not sure",IF(OR($Y945="too few losses to test",$Y945="too few loans to test"),"Too few losses",IF($Y945="","","No"))))</f>
        <v/>
      </c>
      <c r="AJ945">
        <f>IF($AA945="yes","Yes",IF($AA945="","","No"))</f>
        <v/>
      </c>
    </row>
    <row r="946">
      <c r="A946" t="inlineStr">
        <is>
          <t>three-way</t>
        </is>
      </c>
      <c r="B946" t="inlineStr">
        <is>
          <t>ORIG_BAL x CHANNEL / REV_DEBT</t>
        </is>
      </c>
      <c r="C946" t="inlineStr">
        <is>
          <t>49,152 - 59,984</t>
        </is>
      </c>
      <c r="D946" t="inlineStr">
        <is>
          <t>Branch / REV_DEBT high half</t>
        </is>
      </c>
      <c r="E946" t="inlineStr">
        <is>
          <t>gco_rate</t>
        </is>
      </c>
      <c r="F946" t="inlineStr">
        <is>
          <t>GCO per booked dollar</t>
        </is>
      </c>
      <c r="G946" t="n">
        <v>257</v>
      </c>
      <c r="H946" t="n">
        <v>14049379.33</v>
      </c>
      <c r="I946" t="b">
        <v>0</v>
      </c>
      <c r="J946" t="b">
        <v>0</v>
      </c>
      <c r="K946" t="n">
        <v>0.7494079105747692</v>
      </c>
      <c r="L946" t="n">
        <v>0.4606892251951276</v>
      </c>
      <c r="M946" t="n">
        <v>0.8706160158664449</v>
      </c>
      <c r="N946" t="n">
        <v>0.6635794753857948</v>
      </c>
      <c r="O946" t="n">
        <v>-148504.3940195042</v>
      </c>
      <c r="P946" t="n">
        <v>-66000.02315120888</v>
      </c>
      <c r="Q946">
        <f>'_live'!$C$22</f>
        <v/>
      </c>
      <c r="R946" t="inlineStr">
        <is>
          <t>shuffled: 3,132 of 10,000</t>
        </is>
      </c>
      <c r="S946" t="inlineStr">
        <is>
          <t>shuffled: 6,370 of 10,000</t>
        </is>
      </c>
      <c r="T946" t="n">
        <v>0.04218079959974319</v>
      </c>
      <c r="U946" t="n">
        <v>0.03630834296444389</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0.03161062489441661</v>
      </c>
      <c r="AI946">
        <f>IF($Y946="worse","Yes",IF($Y946="worse, not significant","Not sure",IF(OR($Y946="too few losses to test",$Y946="too few loans to test"),"Too few losses",IF($Y946="","","No"))))</f>
        <v/>
      </c>
      <c r="AJ946">
        <f>IF($AA946="yes","Yes",IF($AA946="","","No"))</f>
        <v/>
      </c>
    </row>
    <row r="947">
      <c r="A947" t="inlineStr">
        <is>
          <t>three-way</t>
        </is>
      </c>
      <c r="B947" t="inlineStr">
        <is>
          <t>ORIG_BAL x CHANNEL / REV_DEBT</t>
        </is>
      </c>
      <c r="C947" t="inlineStr">
        <is>
          <t>49,152 - 59,984</t>
        </is>
      </c>
      <c r="D947" t="inlineStr">
        <is>
          <t>Branch / REV_DEBT high half</t>
        </is>
      </c>
      <c r="E947" t="inlineStr">
        <is>
          <t>ranr_rate</t>
        </is>
      </c>
      <c r="F947" t="inlineStr">
        <is>
          <t>Profit after losses: RANR per booked dollar</t>
        </is>
      </c>
      <c r="G947" t="n">
        <v>257</v>
      </c>
      <c r="H947" t="n">
        <v>14049379.33</v>
      </c>
      <c r="I947" t="b">
        <v>0</v>
      </c>
      <c r="J947" t="b">
        <v>0</v>
      </c>
      <c r="K947" t="n">
        <v>0.03554412236280033</v>
      </c>
      <c r="L947" t="n">
        <v>0.0334966503349665</v>
      </c>
      <c r="M947" t="n">
        <v>0.03714947773961649</v>
      </c>
      <c r="N947" t="n">
        <v>0.0143985601439856</v>
      </c>
      <c r="O947" t="n">
        <v>-499372.8580269178</v>
      </c>
      <c r="P947" t="n">
        <v>-521927.1046752632</v>
      </c>
      <c r="Q947">
        <f>'_live'!$C$23</f>
        <v/>
      </c>
      <c r="R947" t="inlineStr">
        <is>
          <t>shuffled: 66 of 10,000</t>
        </is>
      </c>
      <c r="S947" t="inlineStr">
        <is>
          <t>shuffled: 23 of 10,000</t>
        </is>
      </c>
      <c r="T947" t="n">
        <v>0.126055009290797</v>
      </c>
      <c r="U947" t="n">
        <v>0.1244496539139809</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0.1615991316535974</v>
      </c>
      <c r="AI947">
        <f>IF($Y947="worse","Yes",IF($Y947="worse, not significant","Not sure",IF(OR($Y947="too few losses to test",$Y947="too few loans to test"),"Too few losses",IF($Y947="","","No"))))</f>
        <v/>
      </c>
      <c r="AJ947">
        <f>IF($AA947="yes","Yes",IF($AA947="","","No"))</f>
        <v/>
      </c>
    </row>
    <row r="948">
      <c r="A948" t="inlineStr">
        <is>
          <t>three-way</t>
        </is>
      </c>
      <c r="B948" t="inlineStr">
        <is>
          <t>ORIG_BAL x CHANNEL / REV_DEBT</t>
        </is>
      </c>
      <c r="C948" t="inlineStr">
        <is>
          <t>49,152 - 59,984</t>
        </is>
      </c>
      <c r="D948" t="inlineStr">
        <is>
          <t>Branch / REV_DEBT high half</t>
        </is>
      </c>
      <c r="E948" t="inlineStr">
        <is>
          <t>contribution_rate</t>
        </is>
      </c>
      <c r="F948" t="inlineStr">
        <is>
          <t>Contribution before losses per booked dollar</t>
        </is>
      </c>
      <c r="G948" t="n">
        <v>257</v>
      </c>
      <c r="H948" t="n">
        <v>14049379.33</v>
      </c>
      <c r="I948" t="b">
        <v>0</v>
      </c>
      <c r="J948" t="b">
        <v>0</v>
      </c>
      <c r="K948" t="n">
        <v>0.02497728629535417</v>
      </c>
      <c r="L948" t="n">
        <v>0.004570971474281144</v>
      </c>
      <c r="M948" t="n">
        <v>0.03245175966958921</v>
      </c>
      <c r="N948" t="n">
        <v>0.0002856857171425715</v>
      </c>
      <c r="O948" t="n">
        <v>-350915.3697974412</v>
      </c>
      <c r="P948" t="n">
        <v>-455927.0815240541</v>
      </c>
      <c r="Q948">
        <f>'_live'!$C$24</f>
        <v/>
      </c>
      <c r="R948" t="inlineStr">
        <is>
          <t>shuffled: 31 of 10,000</t>
        </is>
      </c>
      <c r="S948" t="inlineStr">
        <is>
          <t>shuffled: 1 of 10,000</t>
        </is>
      </c>
      <c r="T948" t="n">
        <v>0.1682324702526598</v>
      </c>
      <c r="U948" t="n">
        <v>0.1607579968784248</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0.193209756548014</v>
      </c>
      <c r="AI948">
        <f>IF($Y948="worse","Yes",IF($Y948="worse, not significant","Not sure",IF(OR($Y948="too few losses to test",$Y948="too few loans to test"),"Too few losses",IF($Y948="","","No"))))</f>
        <v/>
      </c>
      <c r="AJ948">
        <f>IF($AA948="yes","Yes",IF($AA948="","","No"))</f>
        <v/>
      </c>
    </row>
    <row r="949">
      <c r="A949" t="inlineStr">
        <is>
          <t>three-way</t>
        </is>
      </c>
      <c r="B949" t="inlineStr">
        <is>
          <t>ORIG_BAL x CHANNEL / REV_DEBT</t>
        </is>
      </c>
      <c r="C949" t="inlineStr">
        <is>
          <t>37,951 - 49,151</t>
        </is>
      </c>
      <c r="D949" t="inlineStr">
        <is>
          <t>Branch / REV_DEBT high half</t>
        </is>
      </c>
      <c r="E949" t="inlineStr">
        <is>
          <t>outcome_loans</t>
        </is>
      </c>
      <c r="F949" t="inlineStr">
        <is>
          <t>Outcome, share of loans</t>
        </is>
      </c>
      <c r="G949" t="n">
        <v>263</v>
      </c>
      <c r="H949" t="n">
        <v>263</v>
      </c>
      <c r="I949" t="b">
        <v>0</v>
      </c>
      <c r="J949" t="b">
        <v>0</v>
      </c>
      <c r="K949" t="n">
        <v>1.656445061576195</v>
      </c>
      <c r="L949" t="n">
        <v>0.01249043245884716</v>
      </c>
      <c r="M949" t="n">
        <v>1.660994616571923</v>
      </c>
      <c r="N949" t="n">
        <v>0.02691122062968956</v>
      </c>
      <c r="O949" t="n">
        <v>13.07781799379524</v>
      </c>
      <c r="P949" t="n">
        <v>13.13238593866866</v>
      </c>
      <c r="Q949">
        <f>'_live'!$C$20</f>
        <v/>
      </c>
      <c r="R949" t="inlineStr">
        <is>
          <t>z test</t>
        </is>
      </c>
      <c r="S949" t="inlineStr">
        <is>
          <t>z test</t>
        </is>
      </c>
      <c r="T949" t="n">
        <v>0.07574974146845916</v>
      </c>
      <c r="U949" t="n">
        <v>0.07554225878833208</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0.1254752851711027</v>
      </c>
      <c r="AI949">
        <f>IF($Y949="worse","Yes",IF($Y949="worse, not significant","Not sure",IF(OR($Y949="too few losses to test",$Y949="too few loans to test"),"Too few losses",IF($Y949="","","No"))))</f>
        <v/>
      </c>
      <c r="AJ949">
        <f>IF($AA949="yes","Yes",IF($AA949="","","No"))</f>
        <v/>
      </c>
    </row>
    <row r="950">
      <c r="A950" t="inlineStr">
        <is>
          <t>three-way</t>
        </is>
      </c>
      <c r="B950" t="inlineStr">
        <is>
          <t>ORIG_BAL x CHANNEL / REV_DEBT</t>
        </is>
      </c>
      <c r="C950" t="inlineStr">
        <is>
          <t>37,951 - 49,151</t>
        </is>
      </c>
      <c r="D950" t="inlineStr">
        <is>
          <t>Branch / REV_DEBT high half</t>
        </is>
      </c>
      <c r="E950" t="inlineStr">
        <is>
          <t>outcome_booked</t>
        </is>
      </c>
      <c r="F950" t="inlineStr">
        <is>
          <t>Outcome, share of booked dollars</t>
        </is>
      </c>
      <c r="G950" t="n">
        <v>263</v>
      </c>
      <c r="H950" t="n">
        <v>11421415.50999999</v>
      </c>
      <c r="I950" t="b">
        <v>0</v>
      </c>
      <c r="J950" t="b">
        <v>0</v>
      </c>
      <c r="K950" t="n">
        <v>1.710219432969564</v>
      </c>
      <c r="L950" t="n">
        <v>0.02392617881069036</v>
      </c>
      <c r="M950" t="n">
        <v>1.653055315076361</v>
      </c>
      <c r="N950" t="n">
        <v>0.03178253603211108</v>
      </c>
      <c r="O950" t="n">
        <v>588489.8727439417</v>
      </c>
      <c r="P950" t="n">
        <v>559836.0505144261</v>
      </c>
      <c r="Q950">
        <f>'_live'!$C$21</f>
        <v/>
      </c>
      <c r="R950" t="inlineStr">
        <is>
          <t>shuffled: 66 of 10,000</t>
        </is>
      </c>
      <c r="S950" t="inlineStr">
        <is>
          <t>shuffled: 88 of 10,000</t>
        </is>
      </c>
      <c r="T950" t="n">
        <v>0.07254817815975415</v>
      </c>
      <c r="U950" t="n">
        <v>0.07505695845974655</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0.1240733041153497</v>
      </c>
      <c r="AI950">
        <f>IF($Y950="worse","Yes",IF($Y950="worse, not significant","Not sure",IF(OR($Y950="too few losses to test",$Y950="too few loans to test"),"Too few losses",IF($Y950="","","No"))))</f>
        <v/>
      </c>
      <c r="AJ950">
        <f>IF($AA950="yes","Yes",IF($AA950="","","No"))</f>
        <v/>
      </c>
    </row>
    <row r="951">
      <c r="A951" t="inlineStr">
        <is>
          <t>three-way</t>
        </is>
      </c>
      <c r="B951" t="inlineStr">
        <is>
          <t>ORIG_BAL x CHANNEL / REV_DEBT</t>
        </is>
      </c>
      <c r="C951" t="inlineStr">
        <is>
          <t>37,951 - 49,151</t>
        </is>
      </c>
      <c r="D951" t="inlineStr">
        <is>
          <t>Branch / REV_DEBT high half</t>
        </is>
      </c>
      <c r="E951" t="inlineStr">
        <is>
          <t>gco_rate</t>
        </is>
      </c>
      <c r="F951" t="inlineStr">
        <is>
          <t>GCO per booked dollar</t>
        </is>
      </c>
      <c r="G951" t="n">
        <v>263</v>
      </c>
      <c r="H951" t="n">
        <v>11421415.50999999</v>
      </c>
      <c r="I951" t="b">
        <v>0</v>
      </c>
      <c r="J951" t="b">
        <v>0</v>
      </c>
      <c r="K951" t="n">
        <v>1.725041388818956</v>
      </c>
      <c r="L951" t="n">
        <v>0.0274972502749725</v>
      </c>
      <c r="M951" t="n">
        <v>1.643965144061688</v>
      </c>
      <c r="N951" t="n">
        <v>0.04892367906066536</v>
      </c>
      <c r="O951" t="n">
        <v>333819.7750864796</v>
      </c>
      <c r="P951" t="n">
        <v>311113.2706777019</v>
      </c>
      <c r="Q951">
        <f>'_live'!$C$22</f>
        <v/>
      </c>
      <c r="R951" t="inlineStr">
        <is>
          <t>shuffled: 65 of 10,000</t>
        </is>
      </c>
      <c r="S951" t="inlineStr">
        <is>
          <t>shuffled: 122 of 10,000</t>
        </is>
      </c>
      <c r="T951" t="n">
        <v>0.04031153446001551</v>
      </c>
      <c r="U951" t="n">
        <v>0.04229959840785955</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0.06953906539032835</v>
      </c>
      <c r="AI951">
        <f>IF($Y951="worse","Yes",IF($Y951="worse, not significant","Not sure",IF(OR($Y951="too few losses to test",$Y951="too few loans to test"),"Too few losses",IF($Y951="","","No"))))</f>
        <v/>
      </c>
      <c r="AJ951">
        <f>IF($AA951="yes","Yes",IF($AA951="","","No"))</f>
        <v/>
      </c>
    </row>
    <row r="952">
      <c r="A952" t="inlineStr">
        <is>
          <t>three-way</t>
        </is>
      </c>
      <c r="B952" t="inlineStr">
        <is>
          <t>ORIG_BAL x CHANNEL / REV_DEBT</t>
        </is>
      </c>
      <c r="C952" t="inlineStr">
        <is>
          <t>37,951 - 49,151</t>
        </is>
      </c>
      <c r="D952" t="inlineStr">
        <is>
          <t>Branch / REV_DEBT high half</t>
        </is>
      </c>
      <c r="E952" t="inlineStr">
        <is>
          <t>ranr_rate</t>
        </is>
      </c>
      <c r="F952" t="inlineStr">
        <is>
          <t>Profit after losses: RANR per booked dollar</t>
        </is>
      </c>
      <c r="G952" t="n">
        <v>263</v>
      </c>
      <c r="H952" t="n">
        <v>11421415.50999999</v>
      </c>
      <c r="I952" t="b">
        <v>0</v>
      </c>
      <c r="J952" t="b">
        <v>0</v>
      </c>
      <c r="K952" t="n">
        <v>-0.008923027097263919</v>
      </c>
      <c r="L952" t="n">
        <v>0.6208179182081792</v>
      </c>
      <c r="M952" t="n">
        <v>-0.003547945252670534</v>
      </c>
      <c r="N952" t="n">
        <v>0.8436656334366563</v>
      </c>
      <c r="O952" t="n">
        <v>101913.6000848403</v>
      </c>
      <c r="P952" t="n">
        <v>40522.55693748221</v>
      </c>
      <c r="Q952">
        <f>'_live'!$C$23</f>
        <v/>
      </c>
      <c r="R952" t="inlineStr">
        <is>
          <t>shuffled: 4,929 of 10,000</t>
        </is>
      </c>
      <c r="S952" t="inlineStr">
        <is>
          <t>shuffled: 7,874 of 10,000</t>
        </is>
      </c>
      <c r="T952" t="n">
        <v>0.1283849588346551</v>
      </c>
      <c r="U952" t="n">
        <v>0.1230098769900617</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0.1194619317373912</v>
      </c>
      <c r="AI952">
        <f>IF($Y952="worse","Yes",IF($Y952="worse, not significant","Not sure",IF(OR($Y952="too few losses to test",$Y952="too few loans to test"),"Too few losses",IF($Y952="","","No"))))</f>
        <v/>
      </c>
      <c r="AJ952">
        <f>IF($AA952="yes","Yes",IF($AA952="","","No"))</f>
        <v/>
      </c>
    </row>
    <row r="953">
      <c r="A953" t="inlineStr">
        <is>
          <t>three-way</t>
        </is>
      </c>
      <c r="B953" t="inlineStr">
        <is>
          <t>ORIG_BAL x CHANNEL / REV_DEBT</t>
        </is>
      </c>
      <c r="C953" t="inlineStr">
        <is>
          <t>37,951 - 49,151</t>
        </is>
      </c>
      <c r="D953" t="inlineStr">
        <is>
          <t>Branch / REV_DEBT high half</t>
        </is>
      </c>
      <c r="E953" t="inlineStr">
        <is>
          <t>contribution_rate</t>
        </is>
      </c>
      <c r="F953" t="inlineStr">
        <is>
          <t>Contribution before losses per booked dollar</t>
        </is>
      </c>
      <c r="G953" t="n">
        <v>263</v>
      </c>
      <c r="H953" t="n">
        <v>11421415.50999999</v>
      </c>
      <c r="I953" t="b">
        <v>0</v>
      </c>
      <c r="J953" t="b">
        <v>0</v>
      </c>
      <c r="K953" t="n">
        <v>0.02030743195380266</v>
      </c>
      <c r="L953" t="n">
        <v>0.01917199584389387</v>
      </c>
      <c r="M953" t="n">
        <v>0.02370758380384383</v>
      </c>
      <c r="N953" t="n">
        <v>0.00455954404559544</v>
      </c>
      <c r="O953" t="n">
        <v>-231939.6182854313</v>
      </c>
      <c r="P953" t="n">
        <v>-270774.1653618466</v>
      </c>
      <c r="Q953">
        <f>'_live'!$C$24</f>
        <v/>
      </c>
      <c r="R953" t="inlineStr">
        <is>
          <t>shuffled: 146 of 10,000</t>
        </is>
      </c>
      <c r="S953" t="inlineStr">
        <is>
          <t>shuffled: 37 of 10,000</t>
        </is>
      </c>
      <c r="T953" t="n">
        <v>0.1686935651739169</v>
      </c>
      <c r="U953" t="n">
        <v>0.1652934133238757</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0.1890009971277195</v>
      </c>
      <c r="AI953">
        <f>IF($Y953="worse","Yes",IF($Y953="worse, not significant","Not sure",IF(OR($Y953="too few losses to test",$Y953="too few loans to test"),"Too few losses",IF($Y953="","","No"))))</f>
        <v/>
      </c>
      <c r="AJ953">
        <f>IF($AA953="yes","Yes",IF($AA953="","","No"))</f>
        <v/>
      </c>
    </row>
    <row r="954">
      <c r="A954" t="inlineStr">
        <is>
          <t>three-way</t>
        </is>
      </c>
      <c r="B954" t="inlineStr">
        <is>
          <t>ORIG_BAL x CHANNEL / REV_DEBT</t>
        </is>
      </c>
      <c r="C954" t="inlineStr">
        <is>
          <t>5,005 - 15,448</t>
        </is>
      </c>
      <c r="D954" t="inlineStr">
        <is>
          <t>Broker / REV_DEBT high half</t>
        </is>
      </c>
      <c r="E954" t="inlineStr">
        <is>
          <t>outcome_loans</t>
        </is>
      </c>
      <c r="F954" t="inlineStr">
        <is>
          <t>Outcome, share of loans</t>
        </is>
      </c>
      <c r="G954" t="n">
        <v>257</v>
      </c>
      <c r="H954" t="n">
        <v>257</v>
      </c>
      <c r="I954" t="b">
        <v>0</v>
      </c>
      <c r="J954" t="b">
        <v>0</v>
      </c>
      <c r="K954" t="n">
        <v>1.805407494270028</v>
      </c>
      <c r="L954" t="n">
        <v>0.004197023337829783</v>
      </c>
      <c r="M954" t="n">
        <v>2.078395825963919</v>
      </c>
      <c r="N954" t="n">
        <v>0.0006114940707010374</v>
      </c>
      <c r="O954" t="n">
        <v>15.61379488504262</v>
      </c>
      <c r="P954" t="n">
        <v>18.16008935219658</v>
      </c>
      <c r="Q954">
        <f>'_live'!$C$20</f>
        <v/>
      </c>
      <c r="R954" t="inlineStr">
        <is>
          <t>z test</t>
        </is>
      </c>
      <c r="S954" t="inlineStr">
        <is>
          <t>z test</t>
        </is>
      </c>
      <c r="T954" t="n">
        <v>0.07543270472746061</v>
      </c>
      <c r="U954" t="n">
        <v>0.06552494415487714</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0.1361867704280156</v>
      </c>
      <c r="AI954">
        <f>IF($Y954="worse","Yes",IF($Y954="worse, not significant","Not sure",IF(OR($Y954="too few losses to test",$Y954="too few loans to test"),"Too few losses",IF($Y954="","","No"))))</f>
        <v/>
      </c>
      <c r="AJ954">
        <f>IF($AA954="yes","Yes",IF($AA954="","","No"))</f>
        <v/>
      </c>
    </row>
    <row r="955">
      <c r="A955" t="inlineStr">
        <is>
          <t>three-way</t>
        </is>
      </c>
      <c r="B955" t="inlineStr">
        <is>
          <t>ORIG_BAL x CHANNEL / REV_DEBT</t>
        </is>
      </c>
      <c r="C955" t="inlineStr">
        <is>
          <t>5,005 - 15,448</t>
        </is>
      </c>
      <c r="D955" t="inlineStr">
        <is>
          <t>Broker / REV_DEBT high half</t>
        </is>
      </c>
      <c r="E955" t="inlineStr">
        <is>
          <t>outcome_booked</t>
        </is>
      </c>
      <c r="F955" t="inlineStr">
        <is>
          <t>Outcome, share of booked dollars</t>
        </is>
      </c>
      <c r="G955" t="n">
        <v>257</v>
      </c>
      <c r="H955" t="n">
        <v>2640920.879999998</v>
      </c>
      <c r="I955" t="b">
        <v>0</v>
      </c>
      <c r="J955" t="b">
        <v>0</v>
      </c>
      <c r="K955" t="n">
        <v>1.705478377301642</v>
      </c>
      <c r="L955" t="n">
        <v>0.0234976502349765</v>
      </c>
      <c r="M955" t="n">
        <v>1.930283390429639</v>
      </c>
      <c r="N955" t="n">
        <v>0.00624937506249375</v>
      </c>
      <c r="O955" t="n">
        <v>138415.1812586708</v>
      </c>
      <c r="P955" t="n">
        <v>161265.1145491635</v>
      </c>
      <c r="Q955">
        <f>'_live'!$C$21</f>
        <v/>
      </c>
      <c r="R955" t="inlineStr">
        <is>
          <t>shuffled: 46 of 10,000</t>
        </is>
      </c>
      <c r="S955" t="inlineStr">
        <is>
          <t>shuffled: 9 of 10,000</t>
        </is>
      </c>
      <c r="T955" t="n">
        <v>0.07429244102963409</v>
      </c>
      <c r="U955" t="n">
        <v>0.06564018133357959</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0.1267041517729983</v>
      </c>
      <c r="AI955">
        <f>IF($Y955="worse","Yes",IF($Y955="worse, not significant","Not sure",IF(OR($Y955="too few losses to test",$Y955="too few loans to test"),"Too few losses",IF($Y955="","","No"))))</f>
        <v/>
      </c>
      <c r="AJ955">
        <f>IF($AA955="yes","Yes",IF($AA955="","","No"))</f>
        <v/>
      </c>
    </row>
    <row r="956">
      <c r="A956" t="inlineStr">
        <is>
          <t>three-way</t>
        </is>
      </c>
      <c r="B956" t="inlineStr">
        <is>
          <t>ORIG_BAL x CHANNEL / REV_DEBT</t>
        </is>
      </c>
      <c r="C956" t="inlineStr">
        <is>
          <t>5,005 - 15,448</t>
        </is>
      </c>
      <c r="D956" t="inlineStr">
        <is>
          <t>Broker / REV_DEBT high half</t>
        </is>
      </c>
      <c r="E956" t="inlineStr">
        <is>
          <t>gco_rate</t>
        </is>
      </c>
      <c r="F956" t="inlineStr">
        <is>
          <t>GCO per booked dollar</t>
        </is>
      </c>
      <c r="G956" t="n">
        <v>257</v>
      </c>
      <c r="H956" t="n">
        <v>2640920.879999998</v>
      </c>
      <c r="I956" t="b">
        <v>0</v>
      </c>
      <c r="J956" t="b">
        <v>0</v>
      </c>
      <c r="K956" t="n">
        <v>1.770844869970598</v>
      </c>
      <c r="L956" t="n">
        <v>0.013998600139986</v>
      </c>
      <c r="M956" t="n">
        <v>2.074470844763302</v>
      </c>
      <c r="N956" t="n">
        <v>0.003124687531246875</v>
      </c>
      <c r="O956" t="n">
        <v>84034.51821898521</v>
      </c>
      <c r="P956" t="n">
        <v>99990.45528478546</v>
      </c>
      <c r="Q956">
        <f>'_live'!$C$22</f>
        <v/>
      </c>
      <c r="R956" t="inlineStr">
        <is>
          <t>shuffled: 26 of 10,000</t>
        </is>
      </c>
      <c r="S956" t="inlineStr">
        <is>
          <t>shuffled: 4 of 10,000</t>
        </is>
      </c>
      <c r="T956" t="n">
        <v>0.041279586452819</v>
      </c>
      <c r="U956" t="n">
        <v>0.03523777839009496</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0.07309974390448233</v>
      </c>
      <c r="AI956">
        <f>IF($Y956="worse","Yes",IF($Y956="worse, not significant","Not sure",IF(OR($Y956="too few losses to test",$Y956="too few loans to test"),"Too few losses",IF($Y956="","","No"))))</f>
        <v/>
      </c>
      <c r="AJ956">
        <f>IF($AA956="yes","Yes",IF($AA956="","","No"))</f>
        <v/>
      </c>
    </row>
    <row r="957">
      <c r="A957" t="inlineStr">
        <is>
          <t>three-way</t>
        </is>
      </c>
      <c r="B957" t="inlineStr">
        <is>
          <t>ORIG_BAL x CHANNEL / REV_DEBT</t>
        </is>
      </c>
      <c r="C957" t="inlineStr">
        <is>
          <t>5,005 - 15,448</t>
        </is>
      </c>
      <c r="D957" t="inlineStr">
        <is>
          <t>Broker / REV_DEBT high half</t>
        </is>
      </c>
      <c r="E957" t="inlineStr">
        <is>
          <t>ranr_rate</t>
        </is>
      </c>
      <c r="F957" t="inlineStr">
        <is>
          <t>Profit after losses: RANR per booked dollar</t>
        </is>
      </c>
      <c r="G957" t="n">
        <v>257</v>
      </c>
      <c r="H957" t="n">
        <v>2640920.879999998</v>
      </c>
      <c r="I957" t="b">
        <v>0</v>
      </c>
      <c r="J957" t="b">
        <v>0</v>
      </c>
      <c r="K957" t="n">
        <v>0.02100009765639882</v>
      </c>
      <c r="L957" t="n">
        <v>0.159317401593174</v>
      </c>
      <c r="M957" t="n">
        <v>0.00250246856263131</v>
      </c>
      <c r="N957" t="n">
        <v>0.8786017949929144</v>
      </c>
      <c r="O957" t="n">
        <v>-55459.59638282267</v>
      </c>
      <c r="P957" t="n">
        <v>-6608.821478596597</v>
      </c>
      <c r="Q957">
        <f>'_live'!$C$23</f>
        <v/>
      </c>
      <c r="R957" t="inlineStr">
        <is>
          <t>shuffled: 955 of 10,000</t>
        </is>
      </c>
      <c r="S957" t="inlineStr">
        <is>
          <t>shuffled: 8,493 of 10,000</t>
        </is>
      </c>
      <c r="T957" t="n">
        <v>0.1277751469847811</v>
      </c>
      <c r="U957" t="n">
        <v>0.1462727760785486</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0.1487752446411799</v>
      </c>
      <c r="AI957">
        <f>IF($Y957="worse","Yes",IF($Y957="worse, not significant","Not sure",IF(OR($Y957="too few losses to test",$Y957="too few loans to test"),"Too few losses",IF($Y957="","","No"))))</f>
        <v/>
      </c>
      <c r="AJ957">
        <f>IF($AA957="yes","Yes",IF($AA957="","","No"))</f>
        <v/>
      </c>
    </row>
    <row r="958">
      <c r="A958" t="inlineStr">
        <is>
          <t>three-way</t>
        </is>
      </c>
      <c r="B958" t="inlineStr">
        <is>
          <t>ORIG_BAL x CHANNEL / REV_DEBT</t>
        </is>
      </c>
      <c r="C958" t="inlineStr">
        <is>
          <t>5,005 - 15,448</t>
        </is>
      </c>
      <c r="D958" t="inlineStr">
        <is>
          <t>Broker / REV_DEBT high half</t>
        </is>
      </c>
      <c r="E958" t="inlineStr">
        <is>
          <t>contribution_rate</t>
        </is>
      </c>
      <c r="F958" t="inlineStr">
        <is>
          <t>Contribution before losses per booked dollar</t>
        </is>
      </c>
      <c r="G958" t="n">
        <v>257</v>
      </c>
      <c r="H958" t="n">
        <v>2640920.879999998</v>
      </c>
      <c r="I958" t="b">
        <v>0</v>
      </c>
      <c r="J958" t="b">
        <v>0</v>
      </c>
      <c r="K958" t="n">
        <v>0.05282317731501496</v>
      </c>
      <c r="L958" t="n">
        <v>0.000176452942941</v>
      </c>
      <c r="M958" t="n">
        <v>0.04036443407701881</v>
      </c>
      <c r="N958" t="n">
        <v>0.0001578789489472106</v>
      </c>
      <c r="O958" t="n">
        <v>-139501.8319191652</v>
      </c>
      <c r="P958" t="n">
        <v>-106599.2767633824</v>
      </c>
      <c r="Q958">
        <f>'_live'!$C$24</f>
        <v/>
      </c>
      <c r="R958" t="inlineStr">
        <is>
          <t>shuffled: 0 of 10,000</t>
        </is>
      </c>
      <c r="S958" t="inlineStr">
        <is>
          <t>shuffled: 0 of 10,000</t>
        </is>
      </c>
      <c r="T958" t="n">
        <v>0.1690518112306474</v>
      </c>
      <c r="U958" t="n">
        <v>0.1815105544686436</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0.2218749885456624</v>
      </c>
      <c r="AI958">
        <f>IF($Y958="worse","Yes",IF($Y958="worse, not significant","Not sure",IF(OR($Y958="too few losses to test",$Y958="too few loans to test"),"Too few losses",IF($Y958="","","No"))))</f>
        <v/>
      </c>
      <c r="AJ958">
        <f>IF($AA958="yes","Yes",IF($AA958="","","No"))</f>
        <v/>
      </c>
    </row>
    <row r="959">
      <c r="A959" t="inlineStr">
        <is>
          <t>three-way</t>
        </is>
      </c>
      <c r="B959" t="inlineStr">
        <is>
          <t>ORIG_BAL x CHANNEL / REV_DEBT</t>
        </is>
      </c>
      <c r="C959" t="inlineStr">
        <is>
          <t>15,449 - 26,323</t>
        </is>
      </c>
      <c r="D959" t="inlineStr">
        <is>
          <t>Branch / REV_DEBT high half</t>
        </is>
      </c>
      <c r="E959" t="inlineStr">
        <is>
          <t>outcome_loans</t>
        </is>
      </c>
      <c r="F959" t="inlineStr">
        <is>
          <t>Outcome, share of loans</t>
        </is>
      </c>
      <c r="G959" t="n">
        <v>262</v>
      </c>
      <c r="H959" t="n">
        <v>262</v>
      </c>
      <c r="I959" t="b">
        <v>0</v>
      </c>
      <c r="J959" t="b">
        <v>0</v>
      </c>
      <c r="K959" t="n">
        <v>1.088227396524608</v>
      </c>
      <c r="L959" t="n">
        <v>0.7446134725946555</v>
      </c>
      <c r="M959" t="n">
        <v>0.884654685339905</v>
      </c>
      <c r="N959" t="n">
        <v>0.6121993393705384</v>
      </c>
      <c r="O959" t="n">
        <v>1.783637068631251</v>
      </c>
      <c r="P959" t="n">
        <v>-2.868460388639761</v>
      </c>
      <c r="Q959">
        <f>'_live'!$C$20</f>
        <v/>
      </c>
      <c r="R959" t="inlineStr">
        <is>
          <t>z test</t>
        </is>
      </c>
      <c r="S959" t="inlineStr">
        <is>
          <t>z test</t>
        </is>
      </c>
      <c r="T959" t="n">
        <v>0.07716169057774332</v>
      </c>
      <c r="U959" t="n">
        <v>0.09491778774289986</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0.08396946564885496</v>
      </c>
      <c r="AI959">
        <f>IF($Y959="worse","Yes",IF($Y959="worse, not significant","Not sure",IF(OR($Y959="too few losses to test",$Y959="too few loans to test"),"Too few losses",IF($Y959="","","No"))))</f>
        <v/>
      </c>
      <c r="AJ959">
        <f>IF($AA959="yes","Yes",IF($AA959="","","No"))</f>
        <v/>
      </c>
    </row>
    <row r="960">
      <c r="A960" t="inlineStr">
        <is>
          <t>three-way</t>
        </is>
      </c>
      <c r="B960" t="inlineStr">
        <is>
          <t>ORIG_BAL x CHANNEL / REV_DEBT</t>
        </is>
      </c>
      <c r="C960" t="inlineStr">
        <is>
          <t>15,449 - 26,323</t>
        </is>
      </c>
      <c r="D960" t="inlineStr">
        <is>
          <t>Branch / REV_DEBT high half</t>
        </is>
      </c>
      <c r="E960" t="inlineStr">
        <is>
          <t>outcome_booked</t>
        </is>
      </c>
      <c r="F960" t="inlineStr">
        <is>
          <t>Outcome, share of booked dollars</t>
        </is>
      </c>
      <c r="G960" t="n">
        <v>262</v>
      </c>
      <c r="H960" t="n">
        <v>5535698.499999996</v>
      </c>
      <c r="I960" t="b">
        <v>0</v>
      </c>
      <c r="J960" t="b">
        <v>0</v>
      </c>
      <c r="K960" t="n">
        <v>1.05429251153546</v>
      </c>
      <c r="L960" t="n">
        <v>0.8158184181581842</v>
      </c>
      <c r="M960" t="n">
        <v>0.8144366508673391</v>
      </c>
      <c r="N960" t="n">
        <v>0.4058289823191594</v>
      </c>
      <c r="O960" t="n">
        <v>22463.42537206237</v>
      </c>
      <c r="P960" t="n">
        <v>-99387.56798061577</v>
      </c>
      <c r="Q960">
        <f>'_live'!$C$21</f>
        <v/>
      </c>
      <c r="R960" t="inlineStr">
        <is>
          <t>shuffled: 8,158 of 10,000</t>
        </is>
      </c>
      <c r="S960" t="inlineStr">
        <is>
          <t>shuffled: 3,733 of 10,000</t>
        </is>
      </c>
      <c r="T960" t="n">
        <v>0.07474181164814846</v>
      </c>
      <c r="U960" t="n">
        <v>0.09675366676501912</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0.07879973231923675</v>
      </c>
      <c r="AI960">
        <f>IF($Y960="worse","Yes",IF($Y960="worse, not significant","Not sure",IF(OR($Y960="too few losses to test",$Y960="too few loans to test"),"Too few losses",IF($Y960="","","No"))))</f>
        <v/>
      </c>
      <c r="AJ960">
        <f>IF($AA960="yes","Yes",IF($AA960="","","No"))</f>
        <v/>
      </c>
    </row>
    <row r="961">
      <c r="A961" t="inlineStr">
        <is>
          <t>three-way</t>
        </is>
      </c>
      <c r="B961" t="inlineStr">
        <is>
          <t>ORIG_BAL x CHANNEL / REV_DEBT</t>
        </is>
      </c>
      <c r="C961" t="inlineStr">
        <is>
          <t>15,449 - 26,323</t>
        </is>
      </c>
      <c r="D961" t="inlineStr">
        <is>
          <t>Branch / REV_DEBT high half</t>
        </is>
      </c>
      <c r="E961" t="inlineStr">
        <is>
          <t>gco_rate</t>
        </is>
      </c>
      <c r="F961" t="inlineStr">
        <is>
          <t>GCO per booked dollar</t>
        </is>
      </c>
      <c r="G961" t="n">
        <v>262</v>
      </c>
      <c r="H961" t="n">
        <v>5535698.499999996</v>
      </c>
      <c r="I961" t="b">
        <v>0</v>
      </c>
      <c r="J961" t="b">
        <v>0</v>
      </c>
      <c r="K961" t="n">
        <v>1.140224069499524</v>
      </c>
      <c r="L961" t="n">
        <v>0.6196119518482934</v>
      </c>
      <c r="M961" t="n">
        <v>0.8706379980944452</v>
      </c>
      <c r="N961" t="n">
        <v>0.5950491907331006</v>
      </c>
      <c r="O961" t="n">
        <v>32198.73035501657</v>
      </c>
      <c r="P961" t="n">
        <v>-38902.31938112853</v>
      </c>
      <c r="Q961">
        <f>'_live'!$C$22</f>
        <v/>
      </c>
      <c r="R961" t="inlineStr">
        <is>
          <t>shuffled: 5,700 of 10,000</t>
        </is>
      </c>
      <c r="S961" t="inlineStr">
        <is>
          <t>shuffled: 5,474 of 10,000</t>
        </is>
      </c>
      <c r="T961" t="n">
        <v>0.04148047796406969</v>
      </c>
      <c r="U961" t="n">
        <v>0.05432457518796024</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0.04729703938897688</v>
      </c>
      <c r="AI961">
        <f>IF($Y961="worse","Yes",IF($Y961="worse, not significant","Not sure",IF(OR($Y961="too few losses to test",$Y961="too few loans to test"),"Too few losses",IF($Y961="","","No"))))</f>
        <v/>
      </c>
      <c r="AJ961">
        <f>IF($AA961="yes","Yes",IF($AA961="","","No"))</f>
        <v/>
      </c>
    </row>
    <row r="962">
      <c r="A962" t="inlineStr">
        <is>
          <t>three-way</t>
        </is>
      </c>
      <c r="B962" t="inlineStr">
        <is>
          <t>ORIG_BAL x CHANNEL / REV_DEBT</t>
        </is>
      </c>
      <c r="C962" t="inlineStr">
        <is>
          <t>15,449 - 26,323</t>
        </is>
      </c>
      <c r="D962" t="inlineStr">
        <is>
          <t>Branch / REV_DEBT high half</t>
        </is>
      </c>
      <c r="E962" t="inlineStr">
        <is>
          <t>ranr_rate</t>
        </is>
      </c>
      <c r="F962" t="inlineStr">
        <is>
          <t>Profit after losses: RANR per booked dollar</t>
        </is>
      </c>
      <c r="G962" t="n">
        <v>262</v>
      </c>
      <c r="H962" t="n">
        <v>5535698.499999996</v>
      </c>
      <c r="I962" t="b">
        <v>0</v>
      </c>
      <c r="J962" t="b">
        <v>0</v>
      </c>
      <c r="K962" t="n">
        <v>0.02801848546777388</v>
      </c>
      <c r="L962" t="n">
        <v>0.06160922369301532</v>
      </c>
      <c r="M962" t="n">
        <v>0.04356632378067667</v>
      </c>
      <c r="N962" t="n">
        <v>0.01274872512748725</v>
      </c>
      <c r="O962" t="n">
        <v>-155101.8879762276</v>
      </c>
      <c r="P962" t="n">
        <v>-241170.0332032059</v>
      </c>
      <c r="Q962">
        <f>'_live'!$C$23</f>
        <v/>
      </c>
      <c r="R962" t="inlineStr">
        <is>
          <t>shuffled: 266 of 10,000</t>
        </is>
      </c>
      <c r="S962" t="inlineStr">
        <is>
          <t>shuffled: 16 of 10,000</t>
        </is>
      </c>
      <c r="T962" t="n">
        <v>0.1273890389846507</v>
      </c>
      <c r="U962" t="n">
        <v>0.1118412006717479</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0.1554075244524246</v>
      </c>
      <c r="AI962">
        <f>IF($Y962="worse","Yes",IF($Y962="worse, not significant","Not sure",IF(OR($Y962="too few losses to test",$Y962="too few loans to test"),"Too few losses",IF($Y962="","","No"))))</f>
        <v/>
      </c>
      <c r="AJ962">
        <f>IF($AA962="yes","Yes",IF($AA962="","","No"))</f>
        <v/>
      </c>
    </row>
    <row r="963">
      <c r="A963" t="inlineStr">
        <is>
          <t>three-way</t>
        </is>
      </c>
      <c r="B963" t="inlineStr">
        <is>
          <t>ORIG_BAL x CHANNEL / REV_DEBT</t>
        </is>
      </c>
      <c r="C963" t="inlineStr">
        <is>
          <t>15,449 - 26,323</t>
        </is>
      </c>
      <c r="D963" t="inlineStr">
        <is>
          <t>Branch / REV_DEBT high half</t>
        </is>
      </c>
      <c r="E963" t="inlineStr">
        <is>
          <t>contribution_rate</t>
        </is>
      </c>
      <c r="F963" t="inlineStr">
        <is>
          <t>Contribution before losses per booked dollar</t>
        </is>
      </c>
      <c r="G963" t="n">
        <v>262</v>
      </c>
      <c r="H963" t="n">
        <v>5535698.499999996</v>
      </c>
      <c r="I963" t="b">
        <v>0</v>
      </c>
      <c r="J963" t="b">
        <v>0</v>
      </c>
      <c r="K963" t="n">
        <v>0.03383806328683617</v>
      </c>
      <c r="L963" t="n">
        <v>0.000176452942941</v>
      </c>
      <c r="M963" t="n">
        <v>0.03653878798169355</v>
      </c>
      <c r="N963" t="n">
        <v>0.0004090500040905</v>
      </c>
      <c r="O963" t="n">
        <v>-187317.3161798439</v>
      </c>
      <c r="P963" t="n">
        <v>-202267.7138220789</v>
      </c>
      <c r="Q963">
        <f>'_live'!$C$24</f>
        <v/>
      </c>
      <c r="R963" t="inlineStr">
        <is>
          <t>shuffled: 0 of 10,000</t>
        </is>
      </c>
      <c r="S963" t="inlineStr">
        <is>
          <t>shuffled: 2 of 10,000</t>
        </is>
      </c>
      <c r="T963" t="n">
        <v>0.1688665005545655</v>
      </c>
      <c r="U963" t="n">
        <v>0.1661657758597081</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0.2027045638414016</v>
      </c>
      <c r="AI963">
        <f>IF($Y963="worse","Yes",IF($Y963="worse, not significant","Not sure",IF(OR($Y963="too few losses to test",$Y963="too few loans to test"),"Too few losses",IF($Y963="","","No"))))</f>
        <v/>
      </c>
      <c r="AJ963">
        <f>IF($AA963="yes","Yes",IF($AA963="","","No"))</f>
        <v/>
      </c>
    </row>
    <row r="964">
      <c r="A964" t="inlineStr">
        <is>
          <t>three-way</t>
        </is>
      </c>
      <c r="B964" t="inlineStr">
        <is>
          <t>ORIG_BAL x CHANNEL / REV_DEBT</t>
        </is>
      </c>
      <c r="C964" t="inlineStr">
        <is>
          <t>37,951 - 49,151</t>
        </is>
      </c>
      <c r="D964" t="inlineStr">
        <is>
          <t>Online / REV_DEBT low half</t>
        </is>
      </c>
      <c r="E964" t="inlineStr">
        <is>
          <t>outcome_loans</t>
        </is>
      </c>
      <c r="F964" t="inlineStr">
        <is>
          <t>Outcome, share of loans</t>
        </is>
      </c>
      <c r="G964" t="n">
        <v>272</v>
      </c>
      <c r="H964" t="n">
        <v>272</v>
      </c>
      <c r="I964" t="b">
        <v>0</v>
      </c>
      <c r="J964" t="b">
        <v>0</v>
      </c>
      <c r="K964" t="n">
        <v>0.6094144340904678</v>
      </c>
      <c r="L964" t="n">
        <v>0.1052144250944171</v>
      </c>
      <c r="M964" t="n">
        <v>0.5245503159941662</v>
      </c>
      <c r="N964" t="n">
        <v>0.05871119130200106</v>
      </c>
      <c r="O964" t="n">
        <v>-8.331952892455028</v>
      </c>
      <c r="P964" t="n">
        <v>-11.78313253012048</v>
      </c>
      <c r="Q964">
        <f>'_live'!$C$20</f>
        <v/>
      </c>
      <c r="R964" t="inlineStr">
        <is>
          <t>z test</t>
        </is>
      </c>
      <c r="S964" t="inlineStr">
        <is>
          <t>z test</t>
        </is>
      </c>
      <c r="T964" t="n">
        <v>0.07842629739873172</v>
      </c>
      <c r="U964" t="n">
        <v>0.0911144578313253</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0.04779411764705882</v>
      </c>
      <c r="AI964">
        <f>IF($Y964="worse","Yes",IF($Y964="worse, not significant","Not sure",IF(OR($Y964="too few losses to test",$Y964="too few loans to test"),"Too few losses",IF($Y964="","","No"))))</f>
        <v/>
      </c>
      <c r="AJ964">
        <f>IF($AA964="yes","Yes",IF($AA964="","","No"))</f>
        <v/>
      </c>
    </row>
    <row r="965">
      <c r="A965" t="inlineStr">
        <is>
          <t>three-way</t>
        </is>
      </c>
      <c r="B965" t="inlineStr">
        <is>
          <t>ORIG_BAL x CHANNEL / REV_DEBT</t>
        </is>
      </c>
      <c r="C965" t="inlineStr">
        <is>
          <t>37,951 - 49,151</t>
        </is>
      </c>
      <c r="D965" t="inlineStr">
        <is>
          <t>Online / REV_DEBT low half</t>
        </is>
      </c>
      <c r="E965" t="inlineStr">
        <is>
          <t>outcome_booked</t>
        </is>
      </c>
      <c r="F965" t="inlineStr">
        <is>
          <t>Outcome, share of booked dollars</t>
        </is>
      </c>
      <c r="G965" t="n">
        <v>272</v>
      </c>
      <c r="H965" t="n">
        <v>11918308.77000001</v>
      </c>
      <c r="I965" t="b">
        <v>0</v>
      </c>
      <c r="J965" t="b">
        <v>0</v>
      </c>
      <c r="K965" t="n">
        <v>0.6225810413621905</v>
      </c>
      <c r="L965" t="n">
        <v>0.2088252713190219</v>
      </c>
      <c r="M965" t="n">
        <v>0.5242071151478495</v>
      </c>
      <c r="N965" t="n">
        <v>0.064993500649935</v>
      </c>
      <c r="O965" t="n">
        <v>-342566.7716557505</v>
      </c>
      <c r="P965" t="n">
        <v>-512899.7014113227</v>
      </c>
      <c r="Q965">
        <f>'_live'!$C$21</f>
        <v/>
      </c>
      <c r="R965" t="inlineStr">
        <is>
          <t>shuffled: 1,085 of 10,000</t>
        </is>
      </c>
      <c r="S965" t="inlineStr">
        <is>
          <t>shuffled: 207 of 10,000</t>
        </is>
      </c>
      <c r="T965" t="n">
        <v>0.07615648488151645</v>
      </c>
      <c r="U965" t="n">
        <v>0.09044818792786839</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0.04741358366401843</v>
      </c>
      <c r="AI965">
        <f>IF($Y965="worse","Yes",IF($Y965="worse, not significant","Not sure",IF(OR($Y965="too few losses to test",$Y965="too few loans to test"),"Too few losses",IF($Y965="","","No"))))</f>
        <v/>
      </c>
      <c r="AJ965">
        <f>IF($AA965="yes","Yes",IF($AA965="","","No"))</f>
        <v/>
      </c>
    </row>
    <row r="966">
      <c r="A966" t="inlineStr">
        <is>
          <t>three-way</t>
        </is>
      </c>
      <c r="B966" t="inlineStr">
        <is>
          <t>ORIG_BAL x CHANNEL / REV_DEBT</t>
        </is>
      </c>
      <c r="C966" t="inlineStr">
        <is>
          <t>37,951 - 49,151</t>
        </is>
      </c>
      <c r="D966" t="inlineStr">
        <is>
          <t>Online / REV_DEBT low half</t>
        </is>
      </c>
      <c r="E966" t="inlineStr">
        <is>
          <t>gco_rate</t>
        </is>
      </c>
      <c r="F966" t="inlineStr">
        <is>
          <t>GCO per booked dollar</t>
        </is>
      </c>
      <c r="G966" t="n">
        <v>272</v>
      </c>
      <c r="H966" t="n">
        <v>11918308.77000001</v>
      </c>
      <c r="I966" t="b">
        <v>0</v>
      </c>
      <c r="J966" t="b">
        <v>0</v>
      </c>
      <c r="K966" t="n">
        <v>0.6102869778500337</v>
      </c>
      <c r="L966" t="n">
        <v>0.2305538676901541</v>
      </c>
      <c r="M966" t="n">
        <v>0.5061795891816719</v>
      </c>
      <c r="N966" t="n">
        <v>0.06093140685931407</v>
      </c>
      <c r="O966" t="n">
        <v>-196787.1362236183</v>
      </c>
      <c r="P966" t="n">
        <v>-300642.4475495072</v>
      </c>
      <c r="Q966">
        <f>'_live'!$C$22</f>
        <v/>
      </c>
      <c r="R966" t="inlineStr">
        <is>
          <t>shuffled: 1,047 of 10,000</t>
        </is>
      </c>
      <c r="S966" t="inlineStr">
        <is>
          <t>shuffled: 194 of 10,000</t>
        </is>
      </c>
      <c r="T966" t="n">
        <v>0.04236792115125056</v>
      </c>
      <c r="U966" t="n">
        <v>0.05108185140176619</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0.02585659055718522</v>
      </c>
      <c r="AI966">
        <f>IF($Y966="worse","Yes",IF($Y966="worse, not significant","Not sure",IF(OR($Y966="too few losses to test",$Y966="too few loans to test"),"Too few losses",IF($Y966="","","No"))))</f>
        <v/>
      </c>
      <c r="AJ966">
        <f>IF($AA966="yes","Yes",IF($AA966="","","No"))</f>
        <v/>
      </c>
    </row>
    <row r="967">
      <c r="A967" t="inlineStr">
        <is>
          <t>three-way</t>
        </is>
      </c>
      <c r="B967" t="inlineStr">
        <is>
          <t>ORIG_BAL x CHANNEL / REV_DEBT</t>
        </is>
      </c>
      <c r="C967" t="inlineStr">
        <is>
          <t>37,951 - 49,151</t>
        </is>
      </c>
      <c r="D967" t="inlineStr">
        <is>
          <t>Online / REV_DEBT low half</t>
        </is>
      </c>
      <c r="E967" t="inlineStr">
        <is>
          <t>ranr_rate</t>
        </is>
      </c>
      <c r="F967" t="inlineStr">
        <is>
          <t>Profit after losses: RANR per booked dollar</t>
        </is>
      </c>
      <c r="G967" t="n">
        <v>272</v>
      </c>
      <c r="H967" t="n">
        <v>11918308.77000001</v>
      </c>
      <c r="I967" t="b">
        <v>0</v>
      </c>
      <c r="J967" t="b">
        <v>0</v>
      </c>
      <c r="K967" t="n">
        <v>0.0005110798515059745</v>
      </c>
      <c r="L967" t="n">
        <v>0.9675032496750325</v>
      </c>
      <c r="M967" t="n">
        <v>0.007296803345330005</v>
      </c>
      <c r="N967" t="n">
        <v>0.7154284571542847</v>
      </c>
      <c r="O967" t="n">
        <v>-6091.207476373995</v>
      </c>
      <c r="P967" t="n">
        <v>-86965.55530361203</v>
      </c>
      <c r="Q967">
        <f>'_live'!$C$23</f>
        <v/>
      </c>
      <c r="R967" t="inlineStr">
        <is>
          <t>shuffled: 9,675 of 10,000</t>
        </is>
      </c>
      <c r="S967" t="inlineStr">
        <is>
          <t>shuffled: 5,723 of 10,000</t>
        </is>
      </c>
      <c r="T967" t="n">
        <v>0.1279664465786133</v>
      </c>
      <c r="U967" t="n">
        <v>0.1211807230847893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0.1284775264301193</v>
      </c>
      <c r="AI967">
        <f>IF($Y967="worse","Yes",IF($Y967="worse, not significant","Not sure",IF(OR($Y967="too few losses to test",$Y967="too few loans to test"),"Too few losses",IF($Y967="","","No"))))</f>
        <v/>
      </c>
      <c r="AJ967">
        <f>IF($AA967="yes","Yes",IF($AA967="","","No"))</f>
        <v/>
      </c>
    </row>
    <row r="968">
      <c r="A968" t="inlineStr">
        <is>
          <t>three-way</t>
        </is>
      </c>
      <c r="B968" t="inlineStr">
        <is>
          <t>ORIG_BAL x CHANNEL / REV_DEBT</t>
        </is>
      </c>
      <c r="C968" t="inlineStr">
        <is>
          <t>37,951 - 49,151</t>
        </is>
      </c>
      <c r="D968" t="inlineStr">
        <is>
          <t>Online / REV_DEBT low half</t>
        </is>
      </c>
      <c r="E968" t="inlineStr">
        <is>
          <t>contribution_rate</t>
        </is>
      </c>
      <c r="F968" t="inlineStr">
        <is>
          <t>Contribution before losses per booked dollar</t>
        </is>
      </c>
      <c r="G968" t="n">
        <v>272</v>
      </c>
      <c r="H968" t="n">
        <v>11918308.77000001</v>
      </c>
      <c r="I968" t="b">
        <v>0</v>
      </c>
      <c r="J968" t="b">
        <v>0</v>
      </c>
      <c r="K968" t="n">
        <v>-0.01599724922637033</v>
      </c>
      <c r="L968" t="n">
        <v>0.05745579288225023</v>
      </c>
      <c r="M968" t="n">
        <v>-0.01791100002768631</v>
      </c>
      <c r="N968" t="n">
        <v>0.02903281100461383</v>
      </c>
      <c r="O968" t="n">
        <v>190660.1557505252</v>
      </c>
      <c r="P968" t="n">
        <v>213468.828709444</v>
      </c>
      <c r="Q968">
        <f>'_live'!$C$24</f>
        <v/>
      </c>
      <c r="R968" t="inlineStr">
        <is>
          <t>shuffled: 497 of 10,000</t>
        </is>
      </c>
      <c r="S968" t="inlineStr">
        <is>
          <t>shuffled: 264 of 10,000</t>
        </is>
      </c>
      <c r="T968" t="n">
        <v>0.1703313662136749</v>
      </c>
      <c r="U968" t="n">
        <v>0.1722451170149909</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0.1543341169873046</v>
      </c>
      <c r="AI968">
        <f>IF($Y968="worse","Yes",IF($Y968="worse, not significant","Not sure",IF(OR($Y968="too few losses to test",$Y968="too few loans to test"),"Too few losses",IF($Y968="","","No"))))</f>
        <v/>
      </c>
      <c r="AJ968">
        <f>IF($AA968="yes","Yes",IF($AA968="","","No"))</f>
        <v/>
      </c>
    </row>
    <row r="969">
      <c r="A969" t="inlineStr">
        <is>
          <t>three-way</t>
        </is>
      </c>
      <c r="B969" t="inlineStr">
        <is>
          <t>ORIG_BAL x CHANNEL / REV_DEBT</t>
        </is>
      </c>
      <c r="C969" t="inlineStr">
        <is>
          <t>49,152 - 59,984</t>
        </is>
      </c>
      <c r="D969" t="inlineStr">
        <is>
          <t>Broker / REV_DEBT low half</t>
        </is>
      </c>
      <c r="E969" t="inlineStr">
        <is>
          <t>outcome_loans</t>
        </is>
      </c>
      <c r="F969" t="inlineStr">
        <is>
          <t>Outcome, share of loans</t>
        </is>
      </c>
      <c r="G969" t="n">
        <v>260</v>
      </c>
      <c r="H969" t="n">
        <v>260</v>
      </c>
      <c r="I969" t="b">
        <v>0</v>
      </c>
      <c r="J969" t="b">
        <v>0</v>
      </c>
      <c r="K969" t="n">
        <v>0.4887583680687129</v>
      </c>
      <c r="L969" t="n">
        <v>0.05294032936548819</v>
      </c>
      <c r="M969" t="n">
        <v>0.5541770057899091</v>
      </c>
      <c r="N969" t="n">
        <v>0.1067336075595416</v>
      </c>
      <c r="O969" t="n">
        <v>-10.46000775293966</v>
      </c>
      <c r="P969" t="n">
        <v>-8.044776119402982</v>
      </c>
      <c r="Q969">
        <f>'_live'!$C$20</f>
        <v/>
      </c>
      <c r="R969" t="inlineStr">
        <is>
          <t>z test</t>
        </is>
      </c>
      <c r="S969" t="inlineStr">
        <is>
          <t>z test</t>
        </is>
      </c>
      <c r="T969" t="n">
        <v>0.07869233751130637</v>
      </c>
      <c r="U969" t="n">
        <v>0.06940298507462686</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0.03846153846153846</v>
      </c>
      <c r="AI969">
        <f>IF($Y969="worse","Yes",IF($Y969="worse, not significant","Not sure",IF(OR($Y969="too few losses to test",$Y969="too few loans to test"),"Too few losses",IF($Y969="","","No"))))</f>
        <v/>
      </c>
      <c r="AJ969">
        <f>IF($AA969="yes","Yes",IF($AA969="","","No"))</f>
        <v/>
      </c>
    </row>
    <row r="970">
      <c r="A970" t="inlineStr">
        <is>
          <t>three-way</t>
        </is>
      </c>
      <c r="B970" t="inlineStr">
        <is>
          <t>ORIG_BAL x CHANNEL / REV_DEBT</t>
        </is>
      </c>
      <c r="C970" t="inlineStr">
        <is>
          <t>49,152 - 59,984</t>
        </is>
      </c>
      <c r="D970" t="inlineStr">
        <is>
          <t>Broker / REV_DEBT low half</t>
        </is>
      </c>
      <c r="E970" t="inlineStr">
        <is>
          <t>outcome_booked</t>
        </is>
      </c>
      <c r="F970" t="inlineStr">
        <is>
          <t>Outcome, share of booked dollars</t>
        </is>
      </c>
      <c r="G970" t="n">
        <v>260</v>
      </c>
      <c r="H970" t="n">
        <v>14255538.09</v>
      </c>
      <c r="I970" t="b">
        <v>0</v>
      </c>
      <c r="J970" t="b">
        <v>0</v>
      </c>
      <c r="K970" t="n">
        <v>0.5000453506486022</v>
      </c>
      <c r="L970" t="n">
        <v>0.09971225099712251</v>
      </c>
      <c r="M970" t="n">
        <v>0.5508617555963953</v>
      </c>
      <c r="N970" t="n">
        <v>0.1115273088075808</v>
      </c>
      <c r="O970" t="n">
        <v>-548463.7082354478</v>
      </c>
      <c r="P970" t="n">
        <v>-447264.153992792</v>
      </c>
      <c r="Q970">
        <f>'_live'!$C$21</f>
        <v/>
      </c>
      <c r="R970" t="inlineStr">
        <is>
          <t>shuffled: 358 of 10,000</t>
        </is>
      </c>
      <c r="S970" t="inlineStr">
        <is>
          <t>shuffled: 579 of 10,000</t>
        </is>
      </c>
      <c r="T970" t="n">
        <v>0.07695443772866015</v>
      </c>
      <c r="U970" t="n">
        <v>0.06985547355040543</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0.03848070879799389</v>
      </c>
      <c r="AI970">
        <f>IF($Y970="worse","Yes",IF($Y970="worse, not significant","Not sure",IF(OR($Y970="too few losses to test",$Y970="too few loans to test"),"Too few losses",IF($Y970="","","No"))))</f>
        <v/>
      </c>
      <c r="AJ970">
        <f>IF($AA970="yes","Yes",IF($AA970="","","No"))</f>
        <v/>
      </c>
    </row>
    <row r="971">
      <c r="A971" t="inlineStr">
        <is>
          <t>three-way</t>
        </is>
      </c>
      <c r="B971" t="inlineStr">
        <is>
          <t>ORIG_BAL x CHANNEL / REV_DEBT</t>
        </is>
      </c>
      <c r="C971" t="inlineStr">
        <is>
          <t>49,152 - 59,984</t>
        </is>
      </c>
      <c r="D971" t="inlineStr">
        <is>
          <t>Broker / REV_DEBT low half</t>
        </is>
      </c>
      <c r="E971" t="inlineStr">
        <is>
          <t>gco_rate</t>
        </is>
      </c>
      <c r="F971" t="inlineStr">
        <is>
          <t>GCO per booked dollar</t>
        </is>
      </c>
      <c r="G971" t="n">
        <v>260</v>
      </c>
      <c r="H971" t="n">
        <v>14255538.09</v>
      </c>
      <c r="I971" t="b">
        <v>0</v>
      </c>
      <c r="J971" t="b">
        <v>0</v>
      </c>
      <c r="K971" t="n">
        <v>0.5626069495246057</v>
      </c>
      <c r="L971" t="n">
        <v>0.190980901909809</v>
      </c>
      <c r="M971" t="n">
        <v>0.6344424517749507</v>
      </c>
      <c r="N971" t="n">
        <v>0.2051183770511838</v>
      </c>
      <c r="O971" t="n">
        <v>-265844.3366248555</v>
      </c>
      <c r="P971" t="n">
        <v>-197026.2755842843</v>
      </c>
      <c r="Q971">
        <f>'_live'!$C$22</f>
        <v/>
      </c>
      <c r="R971" t="inlineStr">
        <is>
          <t>shuffled: 763 of 10,000</t>
        </is>
      </c>
      <c r="S971" t="inlineStr">
        <is>
          <t>shuffled: 1,423 of 10,000</t>
        </is>
      </c>
      <c r="T971" t="n">
        <v>0.04263555488313774</v>
      </c>
      <c r="U971" t="n">
        <v>0.037808093400723</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0.02398705947409103</v>
      </c>
      <c r="AI971">
        <f>IF($Y971="worse","Yes",IF($Y971="worse, not significant","Not sure",IF(OR($Y971="too few losses to test",$Y971="too few loans to test"),"Too few losses",IF($Y971="","","No"))))</f>
        <v/>
      </c>
      <c r="AJ971">
        <f>IF($AA971="yes","Yes",IF($AA971="","","No"))</f>
        <v/>
      </c>
    </row>
    <row r="972">
      <c r="A972" t="inlineStr">
        <is>
          <t>three-way</t>
        </is>
      </c>
      <c r="B972" t="inlineStr">
        <is>
          <t>ORIG_BAL x CHANNEL / REV_DEBT</t>
        </is>
      </c>
      <c r="C972" t="inlineStr">
        <is>
          <t>49,152 - 59,984</t>
        </is>
      </c>
      <c r="D972" t="inlineStr">
        <is>
          <t>Broker / REV_DEBT low half</t>
        </is>
      </c>
      <c r="E972" t="inlineStr">
        <is>
          <t>ranr_rate</t>
        </is>
      </c>
      <c r="F972" t="inlineStr">
        <is>
          <t>Profit after losses: RANR per booked dollar</t>
        </is>
      </c>
      <c r="G972" t="n">
        <v>260</v>
      </c>
      <c r="H972" t="n">
        <v>14255538.09</v>
      </c>
      <c r="I972" t="b">
        <v>0</v>
      </c>
      <c r="J972" t="b">
        <v>0</v>
      </c>
      <c r="K972" t="n">
        <v>-0.03580522645564035</v>
      </c>
      <c r="L972" t="n">
        <v>0.0317968203179682</v>
      </c>
      <c r="M972" t="n">
        <v>-0.04333151348232792</v>
      </c>
      <c r="N972" t="n">
        <v>0.002999700029997001</v>
      </c>
      <c r="O972" t="n">
        <v>510422.7695594567</v>
      </c>
      <c r="P972" t="n">
        <v>617714.0409446741</v>
      </c>
      <c r="Q972">
        <f>'_live'!$C$23</f>
        <v/>
      </c>
      <c r="R972" t="inlineStr">
        <is>
          <t>shuffled: 48 of 10,000</t>
        </is>
      </c>
      <c r="S972" t="inlineStr">
        <is>
          <t>shuffled: 0 of 10,000</t>
        </is>
      </c>
      <c r="T972" t="n">
        <v>0.1299679077606433</v>
      </c>
      <c r="U972" t="n">
        <v>0.1374941947873308</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0.09416268130500291</v>
      </c>
      <c r="AI972">
        <f>IF($Y972="worse","Yes",IF($Y972="worse, not significant","Not sure",IF(OR($Y972="too few losses to test",$Y972="too few loans to test"),"Too few losses",IF($Y972="","","No"))))</f>
        <v/>
      </c>
      <c r="AJ972">
        <f>IF($AA972="yes","Yes",IF($AA972="","","No"))</f>
        <v/>
      </c>
    </row>
    <row r="973">
      <c r="A973" t="inlineStr">
        <is>
          <t>three-way</t>
        </is>
      </c>
      <c r="B973" t="inlineStr">
        <is>
          <t>ORIG_BAL x CHANNEL / REV_DEBT</t>
        </is>
      </c>
      <c r="C973" t="inlineStr">
        <is>
          <t>49,152 - 59,984</t>
        </is>
      </c>
      <c r="D973" t="inlineStr">
        <is>
          <t>Broker / REV_DEBT low half</t>
        </is>
      </c>
      <c r="E973" t="inlineStr">
        <is>
          <t>contribution_rate</t>
        </is>
      </c>
      <c r="F973" t="inlineStr">
        <is>
          <t>Contribution before losses per booked dollar</t>
        </is>
      </c>
      <c r="G973" t="n">
        <v>260</v>
      </c>
      <c r="H973" t="n">
        <v>14255538.09</v>
      </c>
      <c r="I973" t="b">
        <v>0</v>
      </c>
      <c r="J973" t="b">
        <v>0</v>
      </c>
      <c r="K973" t="n">
        <v>-0.05445101739348725</v>
      </c>
      <c r="L973" t="n">
        <v>0.000176452942941</v>
      </c>
      <c r="M973" t="n">
        <v>-0.05715254740895991</v>
      </c>
      <c r="N973" t="n">
        <v>0.0001578789489472106</v>
      </c>
      <c r="O973" t="n">
        <v>776228.5524921096</v>
      </c>
      <c r="P973" t="n">
        <v>814740.3165289587</v>
      </c>
      <c r="Q973">
        <f>'_live'!$C$24</f>
        <v/>
      </c>
      <c r="R973" t="inlineStr">
        <is>
          <t>shuffled: 0 of 10,000</t>
        </is>
      </c>
      <c r="S973" t="inlineStr">
        <is>
          <t>shuffled: 0 of 10,000</t>
        </is>
      </c>
      <c r="T973" t="n">
        <v>0.1726007581725812</v>
      </c>
      <c r="U973" t="n">
        <v>0.1753022881880538</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0.1181497407790939</v>
      </c>
      <c r="AI973">
        <f>IF($Y973="worse","Yes",IF($Y973="worse, not significant","Not sure",IF(OR($Y973="too few losses to test",$Y973="too few loans to test"),"Too few losses",IF($Y973="","","No"))))</f>
        <v/>
      </c>
      <c r="AJ973">
        <f>IF($AA973="yes","Yes",IF($AA973="","","No"))</f>
        <v/>
      </c>
    </row>
    <row r="974">
      <c r="A974" t="inlineStr">
        <is>
          <t>three-way</t>
        </is>
      </c>
      <c r="B974" t="inlineStr">
        <is>
          <t>ORIG_BAL x CHANNEL / REV_DEBT</t>
        </is>
      </c>
      <c r="C974" t="inlineStr">
        <is>
          <t>26,324 - 37,950</t>
        </is>
      </c>
      <c r="D974" t="inlineStr">
        <is>
          <t>Online / REV_DEBT high half</t>
        </is>
      </c>
      <c r="E974" t="inlineStr">
        <is>
          <t>outcome_loans</t>
        </is>
      </c>
      <c r="F974" t="inlineStr">
        <is>
          <t>Outcome, share of loans</t>
        </is>
      </c>
      <c r="G974" t="n">
        <v>264</v>
      </c>
      <c r="H974" t="n">
        <v>264</v>
      </c>
      <c r="I974" t="b">
        <v>0</v>
      </c>
      <c r="J974" t="b">
        <v>0</v>
      </c>
      <c r="K974" t="n">
        <v>1.440132254750899</v>
      </c>
      <c r="L974" t="n">
        <v>0.08595868254706537</v>
      </c>
      <c r="M974" t="n">
        <v>1.80910961466517</v>
      </c>
      <c r="N974" t="n">
        <v>0.01652992400505503</v>
      </c>
      <c r="O974" t="n">
        <v>8.862960568842919</v>
      </c>
      <c r="P974" t="n">
        <v>12.97001499250375</v>
      </c>
      <c r="Q974">
        <f>'_live'!$C$20</f>
        <v/>
      </c>
      <c r="R974" t="inlineStr">
        <is>
          <t>z test</t>
        </is>
      </c>
      <c r="S974" t="inlineStr">
        <is>
          <t>z test</t>
        </is>
      </c>
      <c r="T974" t="n">
        <v>0.07627666451195864</v>
      </c>
      <c r="U974" t="n">
        <v>0.06071964017991004</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0.1098484848484848</v>
      </c>
      <c r="AI974">
        <f>IF($Y974="worse","Yes",IF($Y974="worse, not significant","Not sure",IF(OR($Y974="too few losses to test",$Y974="too few loans to test"),"Too few losses",IF($Y974="","","No"))))</f>
        <v/>
      </c>
      <c r="AJ974">
        <f>IF($AA974="yes","Yes",IF($AA974="","","No"))</f>
        <v/>
      </c>
    </row>
    <row r="975">
      <c r="A975" t="inlineStr">
        <is>
          <t>three-way</t>
        </is>
      </c>
      <c r="B975" t="inlineStr">
        <is>
          <t>ORIG_BAL x CHANNEL / REV_DEBT</t>
        </is>
      </c>
      <c r="C975" t="inlineStr">
        <is>
          <t>26,324 - 37,950</t>
        </is>
      </c>
      <c r="D975" t="inlineStr">
        <is>
          <t>Online / REV_DEBT high half</t>
        </is>
      </c>
      <c r="E975" t="inlineStr">
        <is>
          <t>outcome_booked</t>
        </is>
      </c>
      <c r="F975" t="inlineStr">
        <is>
          <t>Outcome, share of booked dollars</t>
        </is>
      </c>
      <c r="G975" t="n">
        <v>264</v>
      </c>
      <c r="H975" t="n">
        <v>8450954.170000004</v>
      </c>
      <c r="I975" t="b">
        <v>0</v>
      </c>
      <c r="J975" t="b">
        <v>0</v>
      </c>
      <c r="K975" t="n">
        <v>1.481554167163814</v>
      </c>
      <c r="L975" t="n">
        <v>0.1282371762823718</v>
      </c>
      <c r="M975" t="n">
        <v>1.814363389126744</v>
      </c>
      <c r="N975" t="n">
        <v>0.0191647501916475</v>
      </c>
      <c r="O975" t="n">
        <v>299794.7103906105</v>
      </c>
      <c r="P975" t="n">
        <v>413990.4491281155</v>
      </c>
      <c r="Q975">
        <f>'_live'!$C$21</f>
        <v/>
      </c>
      <c r="R975" t="inlineStr">
        <is>
          <t>shuffled: 512 of 10,000</t>
        </is>
      </c>
      <c r="S975" t="inlineStr">
        <is>
          <t>shuffled: 45 of 10,000</t>
        </is>
      </c>
      <c r="T975" t="n">
        <v>0.07366701523709591</v>
      </c>
      <c r="U975" t="n">
        <v>0.06015425248388068</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0.1091416734070396</v>
      </c>
      <c r="AI975">
        <f>IF($Y975="worse","Yes",IF($Y975="worse, not significant","Not sure",IF(OR($Y975="too few losses to test",$Y975="too few loans to test"),"Too few losses",IF($Y975="","","No"))))</f>
        <v/>
      </c>
      <c r="AJ975">
        <f>IF($AA975="yes","Yes",IF($AA975="","","No"))</f>
        <v/>
      </c>
    </row>
    <row r="976">
      <c r="A976" t="inlineStr">
        <is>
          <t>three-way</t>
        </is>
      </c>
      <c r="B976" t="inlineStr">
        <is>
          <t>ORIG_BAL x CHANNEL / REV_DEBT</t>
        </is>
      </c>
      <c r="C976" t="inlineStr">
        <is>
          <t>26,324 - 37,950</t>
        </is>
      </c>
      <c r="D976" t="inlineStr">
        <is>
          <t>Online / REV_DEBT high half</t>
        </is>
      </c>
      <c r="E976" t="inlineStr">
        <is>
          <t>gco_rate</t>
        </is>
      </c>
      <c r="F976" t="inlineStr">
        <is>
          <t>GCO per booked dollar</t>
        </is>
      </c>
      <c r="G976" t="n">
        <v>264</v>
      </c>
      <c r="H976" t="n">
        <v>8450954.170000004</v>
      </c>
      <c r="I976" t="b">
        <v>0</v>
      </c>
      <c r="J976" t="b">
        <v>0</v>
      </c>
      <c r="K976" t="n">
        <v>1.392432516044403</v>
      </c>
      <c r="L976" t="n">
        <v>0.2305538676901541</v>
      </c>
      <c r="M976" t="n">
        <v>1.704238880815877</v>
      </c>
      <c r="N976" t="n">
        <v>0.04892367906066536</v>
      </c>
      <c r="O976" t="n">
        <v>136229.9611012149</v>
      </c>
      <c r="P976" t="n">
        <v>199742.8920400964</v>
      </c>
      <c r="Q976">
        <f>'_live'!$C$22</f>
        <v/>
      </c>
      <c r="R976" t="inlineStr">
        <is>
          <t>shuffled: 1,198 of 10,000</t>
        </is>
      </c>
      <c r="S976" t="inlineStr">
        <is>
          <t>shuffled: 136 of 10,000</t>
        </is>
      </c>
      <c r="T976" t="n">
        <v>0.04107730108525542</v>
      </c>
      <c r="U976" t="n">
        <v>0.03356182654105003</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0.05719736970245571</v>
      </c>
      <c r="AI976">
        <f>IF($Y976="worse","Yes",IF($Y976="worse, not significant","Not sure",IF(OR($Y976="too few losses to test",$Y976="too few loans to test"),"Too few losses",IF($Y976="","","No"))))</f>
        <v/>
      </c>
      <c r="AJ976">
        <f>IF($AA976="yes","Yes",IF($AA976="","","No"))</f>
        <v/>
      </c>
    </row>
    <row r="977">
      <c r="A977" t="inlineStr">
        <is>
          <t>three-way</t>
        </is>
      </c>
      <c r="B977" t="inlineStr">
        <is>
          <t>ORIG_BAL x CHANNEL / REV_DEBT</t>
        </is>
      </c>
      <c r="C977" t="inlineStr">
        <is>
          <t>26,324 - 37,950</t>
        </is>
      </c>
      <c r="D977" t="inlineStr">
        <is>
          <t>Online / REV_DEBT high half</t>
        </is>
      </c>
      <c r="E977" t="inlineStr">
        <is>
          <t>ranr_rate</t>
        </is>
      </c>
      <c r="F977" t="inlineStr">
        <is>
          <t>Profit after losses: RANR per booked dollar</t>
        </is>
      </c>
      <c r="G977" t="n">
        <v>264</v>
      </c>
      <c r="H977" t="n">
        <v>8450954.170000004</v>
      </c>
      <c r="I977" t="b">
        <v>0</v>
      </c>
      <c r="J977" t="b">
        <v>0</v>
      </c>
      <c r="K977" t="n">
        <v>0.0254600769339702</v>
      </c>
      <c r="L977" t="n">
        <v>0.08839116088391161</v>
      </c>
      <c r="M977" t="n">
        <v>0.02551510141301244</v>
      </c>
      <c r="N977" t="n">
        <v>0.09499050094990502</v>
      </c>
      <c r="O977" t="n">
        <v>-215161.9433336565</v>
      </c>
      <c r="P977" t="n">
        <v>-215626.9526842705</v>
      </c>
      <c r="Q977">
        <f>'_live'!$C$23</f>
        <v/>
      </c>
      <c r="R977" t="inlineStr">
        <is>
          <t>shuffled: 441 of 10,000</t>
        </is>
      </c>
      <c r="S977" t="inlineStr">
        <is>
          <t>shuffled: 379 of 10,000</t>
        </is>
      </c>
      <c r="T977" t="n">
        <v>0.1271563098142257</v>
      </c>
      <c r="U977" t="n">
        <v>0.1271012853351835</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0.1526163867481959</v>
      </c>
      <c r="AI977">
        <f>IF($Y977="worse","Yes",IF($Y977="worse, not significant","Not sure",IF(OR($Y977="too few losses to test",$Y977="too few loans to test"),"Too few losses",IF($Y977="","","No"))))</f>
        <v/>
      </c>
      <c r="AJ977">
        <f>IF($AA977="yes","Yes",IF($AA977="","","No"))</f>
        <v/>
      </c>
    </row>
    <row r="978">
      <c r="A978" t="inlineStr">
        <is>
          <t>three-way</t>
        </is>
      </c>
      <c r="B978" t="inlineStr">
        <is>
          <t>ORIG_BAL x CHANNEL / REV_DEBT</t>
        </is>
      </c>
      <c r="C978" t="inlineStr">
        <is>
          <t>26,324 - 37,950</t>
        </is>
      </c>
      <c r="D978" t="inlineStr">
        <is>
          <t>Online / REV_DEBT high half</t>
        </is>
      </c>
      <c r="E978" t="inlineStr">
        <is>
          <t>contribution_rate</t>
        </is>
      </c>
      <c r="F978" t="inlineStr">
        <is>
          <t>Contribution before losses per booked dollar</t>
        </is>
      </c>
      <c r="G978" t="n">
        <v>264</v>
      </c>
      <c r="H978" t="n">
        <v>8450954.170000004</v>
      </c>
      <c r="I978" t="b">
        <v>0</v>
      </c>
      <c r="J978" t="b">
        <v>0</v>
      </c>
      <c r="K978" t="n">
        <v>0.04158323418445933</v>
      </c>
      <c r="L978" t="n">
        <v>0.000176452942941</v>
      </c>
      <c r="M978" t="n">
        <v>0.0491506445744182</v>
      </c>
      <c r="N978" t="n">
        <v>0.0001578789489472106</v>
      </c>
      <c r="O978" t="n">
        <v>-351418.0063332433</v>
      </c>
      <c r="P978" t="n">
        <v>-415369.8447243676</v>
      </c>
      <c r="Q978">
        <f>'_live'!$C$24</f>
        <v/>
      </c>
      <c r="R978" t="inlineStr">
        <is>
          <t>shuffled: 0 of 10,000</t>
        </is>
      </c>
      <c r="S978" t="inlineStr">
        <is>
          <t>shuffled: 0 of 10,000</t>
        </is>
      </c>
      <c r="T978" t="n">
        <v>0.1682305222661924</v>
      </c>
      <c r="U978" t="n">
        <v>0.1606631118762336</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0.2098137564506518</v>
      </c>
      <c r="AI978">
        <f>IF($Y978="worse","Yes",IF($Y978="worse, not significant","Not sure",IF(OR($Y978="too few losses to test",$Y978="too few loans to test"),"Too few losses",IF($Y978="","","No"))))</f>
        <v/>
      </c>
      <c r="AJ978">
        <f>IF($AA978="yes","Yes",IF($AA978="","","No"))</f>
        <v/>
      </c>
    </row>
    <row r="979">
      <c r="A979" t="inlineStr">
        <is>
          <t>three-way</t>
        </is>
      </c>
      <c r="B979" t="inlineStr">
        <is>
          <t>ORIG_BAL x CHANNEL / REV_DEBT</t>
        </is>
      </c>
      <c r="C979" t="inlineStr">
        <is>
          <t>5,005 - 15,448</t>
        </is>
      </c>
      <c r="D979" t="inlineStr">
        <is>
          <t>Branch / REV_DEBT low half</t>
        </is>
      </c>
      <c r="E979" t="inlineStr">
        <is>
          <t>outcome_loans</t>
        </is>
      </c>
      <c r="F979" t="inlineStr">
        <is>
          <t>Outcome, share of loans</t>
        </is>
      </c>
      <c r="G979" t="n">
        <v>271</v>
      </c>
      <c r="H979" t="n">
        <v>271</v>
      </c>
      <c r="I979" t="b">
        <v>0</v>
      </c>
      <c r="J979" t="b">
        <v>0</v>
      </c>
      <c r="K979" t="n">
        <v>0.5637549620965732</v>
      </c>
      <c r="L979" t="n">
        <v>0.08595868254706537</v>
      </c>
      <c r="M979" t="n">
        <v>0.5301685449286925</v>
      </c>
      <c r="N979" t="n">
        <v>0.06267709946091593</v>
      </c>
      <c r="O979" t="n">
        <v>-9.285843685300208</v>
      </c>
      <c r="P979" t="n">
        <v>-10.63431151241535</v>
      </c>
      <c r="Q979">
        <f>'_live'!$C$20</f>
        <v/>
      </c>
      <c r="R979" t="inlineStr">
        <is>
          <t>z test</t>
        </is>
      </c>
      <c r="S979" t="inlineStr">
        <is>
          <t>z test</t>
        </is>
      </c>
      <c r="T979" t="n">
        <v>0.0785455486542443</v>
      </c>
      <c r="U979" t="n">
        <v>0.0835214446952596</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0.04428044280442804</v>
      </c>
      <c r="AI979">
        <f>IF($Y979="worse","Yes",IF($Y979="worse, not significant","Not sure",IF(OR($Y979="too few losses to test",$Y979="too few loans to test"),"Too few losses",IF($Y979="","","No"))))</f>
        <v/>
      </c>
      <c r="AJ979">
        <f>IF($AA979="yes","Yes",IF($AA979="","","No"))</f>
        <v/>
      </c>
    </row>
    <row r="980">
      <c r="A980" t="inlineStr">
        <is>
          <t>three-way</t>
        </is>
      </c>
      <c r="B980" t="inlineStr">
        <is>
          <t>ORIG_BAL x CHANNEL / REV_DEBT</t>
        </is>
      </c>
      <c r="C980" t="inlineStr">
        <is>
          <t>5,005 - 15,448</t>
        </is>
      </c>
      <c r="D980" t="inlineStr">
        <is>
          <t>Branch / REV_DEBT low half</t>
        </is>
      </c>
      <c r="E980" t="inlineStr">
        <is>
          <t>outcome_booked</t>
        </is>
      </c>
      <c r="F980" t="inlineStr">
        <is>
          <t>Outcome, share of booked dollars</t>
        </is>
      </c>
      <c r="G980" t="n">
        <v>271</v>
      </c>
      <c r="H980" t="n">
        <v>2751561.930000001</v>
      </c>
      <c r="I980" t="b">
        <v>0</v>
      </c>
      <c r="J980" t="b">
        <v>0</v>
      </c>
      <c r="K980" t="n">
        <v>0.6587536673715304</v>
      </c>
      <c r="L980" t="n">
        <v>0.2694730526947305</v>
      </c>
      <c r="M980" t="n">
        <v>0.6115303978786617</v>
      </c>
      <c r="N980" t="n">
        <v>0.1367050794920508</v>
      </c>
      <c r="O980" t="n">
        <v>-70517.9561390593</v>
      </c>
      <c r="P980" t="n">
        <v>-86475.63518740278</v>
      </c>
      <c r="Q980">
        <f>'_live'!$C$21</f>
        <v/>
      </c>
      <c r="R980" t="inlineStr">
        <is>
          <t>shuffled: 1,510 of 10,000</t>
        </is>
      </c>
      <c r="S980" t="inlineStr">
        <is>
          <t>shuffled: 874 of 10,000</t>
        </is>
      </c>
      <c r="T980" t="n">
        <v>0.07510216066227492</v>
      </c>
      <c r="U980" t="n">
        <v>0.08090165907601532</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0.04947382376379949</v>
      </c>
      <c r="AI980">
        <f>IF($Y980="worse","Yes",IF($Y980="worse, not significant","Not sure",IF(OR($Y980="too few losses to test",$Y980="too few loans to test"),"Too few losses",IF($Y980="","","No"))))</f>
        <v/>
      </c>
      <c r="AJ980">
        <f>IF($AA980="yes","Yes",IF($AA980="","","No"))</f>
        <v/>
      </c>
    </row>
    <row r="981">
      <c r="A981" t="inlineStr">
        <is>
          <t>three-way</t>
        </is>
      </c>
      <c r="B981" t="inlineStr">
        <is>
          <t>ORIG_BAL x CHANNEL / REV_DEBT</t>
        </is>
      </c>
      <c r="C981" t="inlineStr">
        <is>
          <t>5,005 - 15,448</t>
        </is>
      </c>
      <c r="D981" t="inlineStr">
        <is>
          <t>Branch / REV_DEBT low half</t>
        </is>
      </c>
      <c r="E981" t="inlineStr">
        <is>
          <t>gco_rate</t>
        </is>
      </c>
      <c r="F981" t="inlineStr">
        <is>
          <t>GCO per booked dollar</t>
        </is>
      </c>
      <c r="G981" t="n">
        <v>271</v>
      </c>
      <c r="H981" t="n">
        <v>2751561.930000001</v>
      </c>
      <c r="I981" t="b">
        <v>0</v>
      </c>
      <c r="J981" t="b">
        <v>0</v>
      </c>
      <c r="K981" t="n">
        <v>0.6364796913223028</v>
      </c>
      <c r="L981" t="n">
        <v>0.2440827345836845</v>
      </c>
      <c r="M981" t="n">
        <v>0.598456534589251</v>
      </c>
      <c r="N981" t="n">
        <v>0.1478185514781855</v>
      </c>
      <c r="O981" t="n">
        <v>-41777.56089425492</v>
      </c>
      <c r="P981" t="n">
        <v>-49079.36132300766</v>
      </c>
      <c r="Q981">
        <f>'_live'!$C$22</f>
        <v/>
      </c>
      <c r="R981" t="inlineStr">
        <is>
          <t>shuffled: 1,366 of 10,000</t>
        </is>
      </c>
      <c r="S981" t="inlineStr">
        <is>
          <t>shuffled: 886 of 10,000</t>
        </is>
      </c>
      <c r="T981" t="n">
        <v>0.04176717581430373</v>
      </c>
      <c r="U981" t="n">
        <v>0.04442086874018047</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0.02658395916969239</v>
      </c>
      <c r="AI981">
        <f>IF($Y981="worse","Yes",IF($Y981="worse, not significant","Not sure",IF(OR($Y981="too few losses to test",$Y981="too few loans to test"),"Too few losses",IF($Y981="","","No"))))</f>
        <v/>
      </c>
      <c r="AJ981">
        <f>IF($AA981="yes","Yes",IF($AA981="","","No"))</f>
        <v/>
      </c>
    </row>
    <row r="982">
      <c r="A982" t="inlineStr">
        <is>
          <t>three-way</t>
        </is>
      </c>
      <c r="B982" t="inlineStr">
        <is>
          <t>ORIG_BAL x CHANNEL / REV_DEBT</t>
        </is>
      </c>
      <c r="C982" t="inlineStr">
        <is>
          <t>5,005 - 15,448</t>
        </is>
      </c>
      <c r="D982" t="inlineStr">
        <is>
          <t>Branch / REV_DEBT low half</t>
        </is>
      </c>
      <c r="E982" t="inlineStr">
        <is>
          <t>ranr_rate</t>
        </is>
      </c>
      <c r="F982" t="inlineStr">
        <is>
          <t>Profit after losses: RANR per booked dollar</t>
        </is>
      </c>
      <c r="G982" t="n">
        <v>271</v>
      </c>
      <c r="H982" t="n">
        <v>2751561.930000001</v>
      </c>
      <c r="I982" t="b">
        <v>0</v>
      </c>
      <c r="J982" t="b">
        <v>0</v>
      </c>
      <c r="K982" t="n">
        <v>-0.008494622304322061</v>
      </c>
      <c r="L982" t="n">
        <v>0.6208179182081792</v>
      </c>
      <c r="M982" t="n">
        <v>-0.03262373234269157</v>
      </c>
      <c r="N982" t="n">
        <v>0.04199580041995801</v>
      </c>
      <c r="O982" t="n">
        <v>23373.47934230149</v>
      </c>
      <c r="P982" t="n">
        <v>89766.21992865985</v>
      </c>
      <c r="Q982">
        <f>'_live'!$C$23</f>
        <v/>
      </c>
      <c r="R982" t="inlineStr">
        <is>
          <t>shuffled: 5,050 of 10,000</t>
        </is>
      </c>
      <c r="S982" t="inlineStr">
        <is>
          <t>shuffled: 111 of 10,000</t>
        </is>
      </c>
      <c r="T982" t="n">
        <v>0.1280806205013534</v>
      </c>
      <c r="U982" t="n">
        <v>0.1522097305397229</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0.1195859981970313</v>
      </c>
      <c r="AI982">
        <f>IF($Y982="worse","Yes",IF($Y982="worse, not significant","Not sure",IF(OR($Y982="too few losses to test",$Y982="too few loans to test"),"Too few losses",IF($Y982="","","No"))))</f>
        <v/>
      </c>
      <c r="AJ982">
        <f>IF($AA982="yes","Yes",IF($AA982="","","No"))</f>
        <v/>
      </c>
    </row>
    <row r="983">
      <c r="A983" t="inlineStr">
        <is>
          <t>three-way</t>
        </is>
      </c>
      <c r="B983" t="inlineStr">
        <is>
          <t>ORIG_BAL x CHANNEL / REV_DEBT</t>
        </is>
      </c>
      <c r="C983" t="inlineStr">
        <is>
          <t>5,005 - 15,448</t>
        </is>
      </c>
      <c r="D983" t="inlineStr">
        <is>
          <t>Branch / REV_DEBT low half</t>
        </is>
      </c>
      <c r="E983" t="inlineStr">
        <is>
          <t>contribution_rate</t>
        </is>
      </c>
      <c r="F983" t="inlineStr">
        <is>
          <t>Contribution before losses per booked dollar</t>
        </is>
      </c>
      <c r="G983" t="n">
        <v>271</v>
      </c>
      <c r="H983" t="n">
        <v>2751561.930000001</v>
      </c>
      <c r="I983" t="b">
        <v>0</v>
      </c>
      <c r="J983" t="b">
        <v>0</v>
      </c>
      <c r="K983" t="n">
        <v>-0.02367496296321142</v>
      </c>
      <c r="L983" t="n">
        <v>0.006544800065448</v>
      </c>
      <c r="M983" t="n">
        <v>-0.05046064191317962</v>
      </c>
      <c r="N983" t="n">
        <v>0.0001578789489472106</v>
      </c>
      <c r="O983" t="n">
        <v>65143.12678373256</v>
      </c>
      <c r="P983" t="n">
        <v>138845.5812516674</v>
      </c>
      <c r="Q983">
        <f>'_live'!$C$24</f>
        <v/>
      </c>
      <c r="R983" t="inlineStr">
        <is>
          <t>shuffled: 47 of 10,000</t>
        </is>
      </c>
      <c r="S983" t="inlineStr">
        <is>
          <t>shuffled: 0 of 10,000</t>
        </is>
      </c>
      <c r="T983" t="n">
        <v>0.1698449203299351</v>
      </c>
      <c r="U983" t="n">
        <v>0.1966305992799033</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0.1461699573667237</v>
      </c>
      <c r="AI983">
        <f>IF($Y983="worse","Yes",IF($Y983="worse, not significant","Not sure",IF(OR($Y983="too few losses to test",$Y983="too few loans to test"),"Too few losses",IF($Y983="","","No"))))</f>
        <v/>
      </c>
      <c r="AJ983">
        <f>IF($AA983="yes","Yes",IF($AA983="","","No"))</f>
        <v/>
      </c>
    </row>
    <row r="984">
      <c r="A984" t="inlineStr">
        <is>
          <t>three-way</t>
        </is>
      </c>
      <c r="B984" t="inlineStr">
        <is>
          <t>ORIG_BAL x CHANNEL / REV_DEBT</t>
        </is>
      </c>
      <c r="C984" t="inlineStr">
        <is>
          <t>15,449 - 26,323</t>
        </is>
      </c>
      <c r="D984" t="inlineStr">
        <is>
          <t>Branch / REV_DEBT low half</t>
        </is>
      </c>
      <c r="E984" t="inlineStr">
        <is>
          <t>outcome_loans</t>
        </is>
      </c>
      <c r="F984" t="inlineStr">
        <is>
          <t>Outcome, share of loans</t>
        </is>
      </c>
      <c r="G984" t="n">
        <v>263</v>
      </c>
      <c r="H984" t="n">
        <v>263</v>
      </c>
      <c r="I984" t="b">
        <v>0</v>
      </c>
      <c r="J984" t="b">
        <v>0</v>
      </c>
      <c r="K984" t="n">
        <v>0.7304912748973887</v>
      </c>
      <c r="L984" t="n">
        <v>0.290461980355894</v>
      </c>
      <c r="M984" t="n">
        <v>0.5690653197888883</v>
      </c>
      <c r="N984" t="n">
        <v>0.06267709946091593</v>
      </c>
      <c r="O984" t="n">
        <v>-5.534126163391935</v>
      </c>
      <c r="P984" t="n">
        <v>-11.35901271503366</v>
      </c>
      <c r="Q984">
        <f>'_live'!$C$20</f>
        <v/>
      </c>
      <c r="R984" t="inlineStr">
        <is>
          <t>z test</t>
        </is>
      </c>
      <c r="S984" t="inlineStr">
        <is>
          <t>z test</t>
        </is>
      </c>
      <c r="T984" t="n">
        <v>0.07807652533609101</v>
      </c>
      <c r="U984" t="n">
        <v>0.100224382946896</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0.05703422053231939</v>
      </c>
      <c r="AI984">
        <f>IF($Y984="worse","Yes",IF($Y984="worse, not significant","Not sure",IF(OR($Y984="too few losses to test",$Y984="too few loans to test"),"Too few losses",IF($Y984="","","No"))))</f>
        <v/>
      </c>
      <c r="AJ984">
        <f>IF($AA984="yes","Yes",IF($AA984="","","No"))</f>
        <v/>
      </c>
    </row>
    <row r="985">
      <c r="A985" t="inlineStr">
        <is>
          <t>three-way</t>
        </is>
      </c>
      <c r="B985" t="inlineStr">
        <is>
          <t>ORIG_BAL x CHANNEL / REV_DEBT</t>
        </is>
      </c>
      <c r="C985" t="inlineStr">
        <is>
          <t>15,449 - 26,323</t>
        </is>
      </c>
      <c r="D985" t="inlineStr">
        <is>
          <t>Branch / REV_DEBT low half</t>
        </is>
      </c>
      <c r="E985" t="inlineStr">
        <is>
          <t>outcome_booked</t>
        </is>
      </c>
      <c r="F985" t="inlineStr">
        <is>
          <t>Outcome, share of booked dollars</t>
        </is>
      </c>
      <c r="G985" t="n">
        <v>263</v>
      </c>
      <c r="H985" t="n">
        <v>5467393.77</v>
      </c>
      <c r="I985" t="b">
        <v>0</v>
      </c>
      <c r="J985" t="b">
        <v>0</v>
      </c>
      <c r="K985" t="n">
        <v>0.784892347530638</v>
      </c>
      <c r="L985" t="n">
        <v>0.5288360052883601</v>
      </c>
      <c r="M985" t="n">
        <v>0.5865918489711386</v>
      </c>
      <c r="N985" t="n">
        <v>0.1064893510648935</v>
      </c>
      <c r="O985" t="n">
        <v>-88407.55562976492</v>
      </c>
      <c r="P985" t="n">
        <v>-227345.6392825958</v>
      </c>
      <c r="Q985">
        <f>'_live'!$C$21</f>
        <v/>
      </c>
      <c r="R985" t="inlineStr">
        <is>
          <t>shuffled: 3,807 of 10,000</t>
        </is>
      </c>
      <c r="S985" t="inlineStr">
        <is>
          <t>shuffled: 385 of 10,000</t>
        </is>
      </c>
      <c r="T985" t="n">
        <v>0.07517149174162463</v>
      </c>
      <c r="U985" t="n">
        <v>0.1005836148660271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0.05900152862046372</v>
      </c>
      <c r="AI985">
        <f>IF($Y985="worse","Yes",IF($Y985="worse, not significant","Not sure",IF(OR($Y985="too few losses to test",$Y985="too few loans to test"),"Too few losses",IF($Y985="","","No"))))</f>
        <v/>
      </c>
      <c r="AJ985">
        <f>IF($AA985="yes","Yes",IF($AA985="","","No"))</f>
        <v/>
      </c>
    </row>
    <row r="986">
      <c r="A986" t="inlineStr">
        <is>
          <t>three-way</t>
        </is>
      </c>
      <c r="B986" t="inlineStr">
        <is>
          <t>ORIG_BAL x CHANNEL / REV_DEBT</t>
        </is>
      </c>
      <c r="C986" t="inlineStr">
        <is>
          <t>15,449 - 26,323</t>
        </is>
      </c>
      <c r="D986" t="inlineStr">
        <is>
          <t>Branch / REV_DEBT low half</t>
        </is>
      </c>
      <c r="E986" t="inlineStr">
        <is>
          <t>gco_rate</t>
        </is>
      </c>
      <c r="F986" t="inlineStr">
        <is>
          <t>GCO per booked dollar</t>
        </is>
      </c>
      <c r="G986" t="n">
        <v>263</v>
      </c>
      <c r="H986" t="n">
        <v>5467393.77</v>
      </c>
      <c r="I986" t="b">
        <v>0</v>
      </c>
      <c r="J986" t="b">
        <v>0</v>
      </c>
      <c r="K986" t="n">
        <v>0.8040443806134783</v>
      </c>
      <c r="L986" t="n">
        <v>0.5786921307869213</v>
      </c>
      <c r="M986" t="n">
        <v>0.5894461820591808</v>
      </c>
      <c r="N986" t="n">
        <v>0.1008232510082325</v>
      </c>
      <c r="O986" t="n">
        <v>-44760.33918507583</v>
      </c>
      <c r="P986" t="n">
        <v>-127920.9287510435</v>
      </c>
      <c r="Q986">
        <f>'_live'!$C$22</f>
        <v/>
      </c>
      <c r="R986" t="inlineStr">
        <is>
          <t>shuffled: 4,436 of 10,000</t>
        </is>
      </c>
      <c r="S986" t="inlineStr">
        <is>
          <t>shuffled: 483 of 10,000</t>
        </is>
      </c>
      <c r="T986" t="n">
        <v>0.04177873568178643</v>
      </c>
      <c r="U986" t="n">
        <v>0.05698901558192388</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0.03359195765407619</v>
      </c>
      <c r="AI986">
        <f>IF($Y986="worse","Yes",IF($Y986="worse, not significant","Not sure",IF(OR($Y986="too few losses to test",$Y986="too few loans to test"),"Too few losses",IF($Y986="","","No"))))</f>
        <v/>
      </c>
      <c r="AJ986">
        <f>IF($AA986="yes","Yes",IF($AA986="","","No"))</f>
        <v/>
      </c>
    </row>
    <row r="987">
      <c r="A987" t="inlineStr">
        <is>
          <t>three-way</t>
        </is>
      </c>
      <c r="B987" t="inlineStr">
        <is>
          <t>ORIG_BAL x CHANNEL / REV_DEBT</t>
        </is>
      </c>
      <c r="C987" t="inlineStr">
        <is>
          <t>15,449 - 26,323</t>
        </is>
      </c>
      <c r="D987" t="inlineStr">
        <is>
          <t>Branch / REV_DEBT low half</t>
        </is>
      </c>
      <c r="E987" t="inlineStr">
        <is>
          <t>ranr_rate</t>
        </is>
      </c>
      <c r="F987" t="inlineStr">
        <is>
          <t>Profit after losses: RANR per booked dollar</t>
        </is>
      </c>
      <c r="G987" t="n">
        <v>263</v>
      </c>
      <c r="H987" t="n">
        <v>5467393.77</v>
      </c>
      <c r="I987" t="b">
        <v>0</v>
      </c>
      <c r="J987" t="b">
        <v>0</v>
      </c>
      <c r="K987" t="n">
        <v>-0.03545635875530463</v>
      </c>
      <c r="L987" t="n">
        <v>0.0317968203179682</v>
      </c>
      <c r="M987" t="n">
        <v>-0.0308181292891101</v>
      </c>
      <c r="N987" t="n">
        <v>0.077992200779922</v>
      </c>
      <c r="O987" t="n">
        <v>193853.8749656375</v>
      </c>
      <c r="P987" t="n">
        <v>168494.8480783351</v>
      </c>
      <c r="Q987">
        <f>'_live'!$C$23</f>
        <v/>
      </c>
      <c r="R987" t="inlineStr">
        <is>
          <t>shuffled: 52 of 10,000</t>
        </is>
      </c>
      <c r="S987" t="inlineStr">
        <is>
          <t>shuffled: 259 of 10,000</t>
        </is>
      </c>
      <c r="T987" t="n">
        <v>0.1287412219745127</v>
      </c>
      <c r="U987" t="n">
        <v>0.1241029925083181</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0.09328486321920802</v>
      </c>
      <c r="AI987">
        <f>IF($Y987="worse","Yes",IF($Y987="worse, not significant","Not sure",IF(OR($Y987="too few losses to test",$Y987="too few loans to test"),"Too few losses",IF($Y987="","","No"))))</f>
        <v/>
      </c>
      <c r="AJ987">
        <f>IF($AA987="yes","Yes",IF($AA987="","","No"))</f>
        <v/>
      </c>
    </row>
    <row r="988">
      <c r="A988" t="inlineStr">
        <is>
          <t>three-way</t>
        </is>
      </c>
      <c r="B988" t="inlineStr">
        <is>
          <t>ORIG_BAL x CHANNEL / REV_DEBT</t>
        </is>
      </c>
      <c r="C988" t="inlineStr">
        <is>
          <t>15,449 - 26,323</t>
        </is>
      </c>
      <c r="D988" t="inlineStr">
        <is>
          <t>Branch / REV_DEBT low half</t>
        </is>
      </c>
      <c r="E988" t="inlineStr">
        <is>
          <t>contribution_rate</t>
        </is>
      </c>
      <c r="F988" t="inlineStr">
        <is>
          <t>Contribution before losses per booked dollar</t>
        </is>
      </c>
      <c r="G988" t="n">
        <v>263</v>
      </c>
      <c r="H988" t="n">
        <v>5467393.77</v>
      </c>
      <c r="I988" t="b">
        <v>0</v>
      </c>
      <c r="J988" t="b">
        <v>0</v>
      </c>
      <c r="K988" t="n">
        <v>-0.04364033367027217</v>
      </c>
      <c r="L988" t="n">
        <v>0.000176452942941</v>
      </c>
      <c r="M988" t="n">
        <v>-0.05421518721695778</v>
      </c>
      <c r="N988" t="n">
        <v>0.0001578789489472106</v>
      </c>
      <c r="O988" t="n">
        <v>238598.8884295673</v>
      </c>
      <c r="P988" t="n">
        <v>296415.7768293786</v>
      </c>
      <c r="Q988">
        <f>'_live'!$C$24</f>
        <v/>
      </c>
      <c r="R988" t="inlineStr">
        <is>
          <t>shuffled: 0 of 10,000</t>
        </is>
      </c>
      <c r="S988" t="inlineStr">
        <is>
          <t>shuffled: 0 of 10,000</t>
        </is>
      </c>
      <c r="T988" t="n">
        <v>0.1705171545435564</v>
      </c>
      <c r="U988" t="n">
        <v>0.181092008090242</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0.1268768208732842</v>
      </c>
      <c r="AI988">
        <f>IF($Y988="worse","Yes",IF($Y988="worse, not significant","Not sure",IF(OR($Y988="too few losses to test",$Y988="too few loans to test"),"Too few losses",IF($Y988="","","No"))))</f>
        <v/>
      </c>
      <c r="AJ988">
        <f>IF($AA988="yes","Yes",IF($AA988="","","No"))</f>
        <v/>
      </c>
    </row>
    <row r="989">
      <c r="A989" t="inlineStr">
        <is>
          <t>three-way</t>
        </is>
      </c>
      <c r="B989" t="inlineStr">
        <is>
          <t>ORIG_BAL x CHANNEL / REV_DEBT</t>
        </is>
      </c>
      <c r="C989" t="inlineStr">
        <is>
          <t>49,152 - 59,984</t>
        </is>
      </c>
      <c r="D989" t="inlineStr">
        <is>
          <t>Broker / REV_DEBT high half</t>
        </is>
      </c>
      <c r="E989" t="inlineStr">
        <is>
          <t>outcome_loans</t>
        </is>
      </c>
      <c r="F989" t="inlineStr">
        <is>
          <t>Outcome, share of loans</t>
        </is>
      </c>
      <c r="G989" t="n">
        <v>260</v>
      </c>
      <c r="H989" t="n">
        <v>260</v>
      </c>
      <c r="I989" t="b">
        <v>0</v>
      </c>
      <c r="J989" t="b">
        <v>0</v>
      </c>
      <c r="K989" t="n">
        <v>1.729953977646286</v>
      </c>
      <c r="L989" t="n">
        <v>0.00659882717191438</v>
      </c>
      <c r="M989" t="n">
        <v>2.539576365663323</v>
      </c>
      <c r="N989" t="n">
        <v>2.341197124887361e-05</v>
      </c>
      <c r="O989" t="n">
        <v>14.34629797131413</v>
      </c>
      <c r="P989" t="n">
        <v>20.61194029850746</v>
      </c>
      <c r="Q989">
        <f>'_live'!$C$20</f>
        <v/>
      </c>
      <c r="R989" t="inlineStr">
        <is>
          <t>z test</t>
        </is>
      </c>
      <c r="S989" t="inlineStr">
        <is>
          <t>z test</t>
        </is>
      </c>
      <c r="T989" t="n">
        <v>0.07559116164879183</v>
      </c>
      <c r="U989" t="n">
        <v>0.05149253731343283</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0.1307692307692308</v>
      </c>
      <c r="AI989">
        <f>IF($Y989="worse","Yes",IF($Y989="worse, not significant","Not sure",IF(OR($Y989="too few losses to test",$Y989="too few loans to test"),"Too few losses",IF($Y989="","","No"))))</f>
        <v/>
      </c>
      <c r="AJ989">
        <f>IF($AA989="yes","Yes",IF($AA989="","","No"))</f>
        <v/>
      </c>
    </row>
    <row r="990">
      <c r="A990" t="inlineStr">
        <is>
          <t>three-way</t>
        </is>
      </c>
      <c r="B990" t="inlineStr">
        <is>
          <t>ORIG_BAL x CHANNEL / REV_DEBT</t>
        </is>
      </c>
      <c r="C990" t="inlineStr">
        <is>
          <t>49,152 - 59,984</t>
        </is>
      </c>
      <c r="D990" t="inlineStr">
        <is>
          <t>Broker / REV_DEBT high half</t>
        </is>
      </c>
      <c r="E990" t="inlineStr">
        <is>
          <t>outcome_booked</t>
        </is>
      </c>
      <c r="F990" t="inlineStr">
        <is>
          <t>Outcome, share of booked dollars</t>
        </is>
      </c>
      <c r="G990" t="n">
        <v>260</v>
      </c>
      <c r="H990" t="n">
        <v>14242330</v>
      </c>
      <c r="I990" t="b">
        <v>0</v>
      </c>
      <c r="J990" t="b">
        <v>0</v>
      </c>
      <c r="K990" t="n">
        <v>1.85198270982314</v>
      </c>
      <c r="L990" t="n">
        <v>0.0124987501249875</v>
      </c>
      <c r="M990" t="n">
        <v>2.566798020331331</v>
      </c>
      <c r="N990" t="n">
        <v>0.00124987501249875</v>
      </c>
      <c r="O990" t="n">
        <v>867208.4225225785</v>
      </c>
      <c r="P990" t="n">
        <v>1150670.428559174</v>
      </c>
      <c r="Q990">
        <f>'_live'!$C$21</f>
        <v/>
      </c>
      <c r="R990" t="inlineStr">
        <is>
          <t>shuffled: 10 of 10,000</t>
        </is>
      </c>
      <c r="S990" t="inlineStr">
        <is>
          <t>shuffled: 0 of 10,000</t>
        </is>
      </c>
      <c r="T990" t="n">
        <v>0.07146800540904624</v>
      </c>
      <c r="U990" t="n">
        <v>0.05156522222423059</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0.1323575103231003</v>
      </c>
      <c r="AI990">
        <f>IF($Y990="worse","Yes",IF($Y990="worse, not significant","Not sure",IF(OR($Y990="too few losses to test",$Y990="too few loans to test"),"Too few losses",IF($Y990="","","No"))))</f>
        <v/>
      </c>
      <c r="AJ990">
        <f>IF($AA990="yes","Yes",IF($AA990="","","No"))</f>
        <v/>
      </c>
    </row>
    <row r="991">
      <c r="A991" t="inlineStr">
        <is>
          <t>three-way</t>
        </is>
      </c>
      <c r="B991" t="inlineStr">
        <is>
          <t>ORIG_BAL x CHANNEL / REV_DEBT</t>
        </is>
      </c>
      <c r="C991" t="inlineStr">
        <is>
          <t>49,152 - 59,984</t>
        </is>
      </c>
      <c r="D991" t="inlineStr">
        <is>
          <t>Broker / REV_DEBT high half</t>
        </is>
      </c>
      <c r="E991" t="inlineStr">
        <is>
          <t>gco_rate</t>
        </is>
      </c>
      <c r="F991" t="inlineStr">
        <is>
          <t>GCO per booked dollar</t>
        </is>
      </c>
      <c r="G991" t="n">
        <v>260</v>
      </c>
      <c r="H991" t="n">
        <v>14242330</v>
      </c>
      <c r="I991" t="b">
        <v>0</v>
      </c>
      <c r="J991" t="b">
        <v>0</v>
      </c>
      <c r="K991" t="n">
        <v>1.872636101014006</v>
      </c>
      <c r="L991" t="n">
        <v>0.013998600139986</v>
      </c>
      <c r="M991" t="n">
        <v>2.654691402770074</v>
      </c>
      <c r="N991" t="n">
        <v>0.00124987501249875</v>
      </c>
      <c r="O991" t="n">
        <v>493323.943339</v>
      </c>
      <c r="P991" t="n">
        <v>659865.43099077</v>
      </c>
      <c r="Q991">
        <f>'_live'!$C$22</f>
        <v/>
      </c>
      <c r="R991" t="inlineStr">
        <is>
          <t>shuffled: 18 of 10,000</t>
        </is>
      </c>
      <c r="S991" t="inlineStr">
        <is>
          <t>shuffled: 0 of 10,000</t>
        </is>
      </c>
      <c r="T991" t="n">
        <v>0.03969337016211533</v>
      </c>
      <c r="U991" t="n">
        <v>0.02799995429183497</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0.07433123793648932</v>
      </c>
      <c r="AI991">
        <f>IF($Y991="worse","Yes",IF($Y991="worse, not significant","Not sure",IF(OR($Y991="too few losses to test",$Y991="too few loans to test"),"Too few losses",IF($Y991="","","No"))))</f>
        <v/>
      </c>
      <c r="AJ991">
        <f>IF($AA991="yes","Yes",IF($AA991="","","No"))</f>
        <v/>
      </c>
    </row>
    <row r="992">
      <c r="A992" t="inlineStr">
        <is>
          <t>three-way</t>
        </is>
      </c>
      <c r="B992" t="inlineStr">
        <is>
          <t>ORIG_BAL x CHANNEL / REV_DEBT</t>
        </is>
      </c>
      <c r="C992" t="inlineStr">
        <is>
          <t>49,152 - 59,984</t>
        </is>
      </c>
      <c r="D992" t="inlineStr">
        <is>
          <t>Broker / REV_DEBT high half</t>
        </is>
      </c>
      <c r="E992" t="inlineStr">
        <is>
          <t>ranr_rate</t>
        </is>
      </c>
      <c r="F992" t="inlineStr">
        <is>
          <t>Profit after losses: RANR per booked dollar</t>
        </is>
      </c>
      <c r="G992" t="n">
        <v>260</v>
      </c>
      <c r="H992" t="n">
        <v>14242330</v>
      </c>
      <c r="I992" t="b">
        <v>0</v>
      </c>
      <c r="J992" t="b">
        <v>0</v>
      </c>
      <c r="K992" t="n">
        <v>-0.003374831185090049</v>
      </c>
      <c r="L992" t="n">
        <v>0.878689908786899</v>
      </c>
      <c r="M992" t="n">
        <v>-0.00671731675489276</v>
      </c>
      <c r="N992" t="n">
        <v>0.7154284571542847</v>
      </c>
      <c r="O992" t="n">
        <v>48065.45943234349</v>
      </c>
      <c r="P992" t="n">
        <v>95670.24193771183</v>
      </c>
      <c r="Q992">
        <f>'_live'!$C$23</f>
        <v/>
      </c>
      <c r="R992" t="inlineStr">
        <is>
          <t>shuffled: 7,908 of 10,000</t>
        </is>
      </c>
      <c r="S992" t="inlineStr">
        <is>
          <t>shuffled: 5,717 of 10,000</t>
        </is>
      </c>
      <c r="T992" t="n">
        <v>0.1281763004671527</v>
      </c>
      <c r="U992" t="n">
        <v>0.1315187860369554</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0.1248014692820627</v>
      </c>
      <c r="AI992">
        <f>IF($Y992="worse","Yes",IF($Y992="worse, not significant","Not sure",IF(OR($Y992="too few losses to test",$Y992="too few loans to test"),"Too few losses",IF($Y992="","","No"))))</f>
        <v/>
      </c>
      <c r="AJ992">
        <f>IF($AA992="yes","Yes",IF($AA992="","","No"))</f>
        <v/>
      </c>
    </row>
    <row r="993">
      <c r="A993" t="inlineStr">
        <is>
          <t>three-way</t>
        </is>
      </c>
      <c r="B993" t="inlineStr">
        <is>
          <t>ORIG_BAL x CHANNEL / REV_DEBT</t>
        </is>
      </c>
      <c r="C993" t="inlineStr">
        <is>
          <t>49,152 - 59,984</t>
        </is>
      </c>
      <c r="D993" t="inlineStr">
        <is>
          <t>Broker / REV_DEBT high half</t>
        </is>
      </c>
      <c r="E993" t="inlineStr">
        <is>
          <t>contribution_rate</t>
        </is>
      </c>
      <c r="F993" t="inlineStr">
        <is>
          <t>Contribution before losses per booked dollar</t>
        </is>
      </c>
      <c r="G993" t="n">
        <v>260</v>
      </c>
      <c r="H993" t="n">
        <v>14242330</v>
      </c>
      <c r="I993" t="b">
        <v>0</v>
      </c>
      <c r="J993" t="b">
        <v>0</v>
      </c>
      <c r="K993" t="n">
        <v>0.03126603255822177</v>
      </c>
      <c r="L993" t="n">
        <v>0.0003333000033330001</v>
      </c>
      <c r="M993" t="n">
        <v>0.03961396688976179</v>
      </c>
      <c r="N993" t="n">
        <v>0.0001578789489472106</v>
      </c>
      <c r="O993" t="n">
        <v>-445301.1534849387</v>
      </c>
      <c r="P993" t="n">
        <v>-564195.189053061</v>
      </c>
      <c r="Q993">
        <f>'_live'!$C$24</f>
        <v/>
      </c>
      <c r="R993" t="inlineStr">
        <is>
          <t>shuffled: 1 of 10,000</t>
        </is>
      </c>
      <c r="S993" t="inlineStr">
        <is>
          <t>shuffled: 0 of 10,000</t>
        </is>
      </c>
      <c r="T993" t="n">
        <v>0.1678666746603304</v>
      </c>
      <c r="U993" t="n">
        <v>0.1595187403287904</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0.1991327072185522</v>
      </c>
      <c r="AI993">
        <f>IF($Y993="worse","Yes",IF($Y993="worse, not significant","Not sure",IF(OR($Y993="too few losses to test",$Y993="too few loans to test"),"Too few losses",IF($Y993="","","No"))))</f>
        <v/>
      </c>
      <c r="AJ993">
        <f>IF($AA993="yes","Yes",IF($AA993="","","No"))</f>
        <v/>
      </c>
    </row>
    <row r="994">
      <c r="A994" t="inlineStr">
        <is>
          <t>three-way</t>
        </is>
      </c>
      <c r="B994" t="inlineStr">
        <is>
          <t>ORIG_BAL x ASSET_CLASS / REV_DEBT</t>
        </is>
      </c>
      <c r="C994" t="inlineStr">
        <is>
          <t>5,005 - 15,448</t>
        </is>
      </c>
      <c r="D994" t="inlineStr">
        <is>
          <t>1 / REV_DEBT high half</t>
        </is>
      </c>
      <c r="E994" t="inlineStr">
        <is>
          <t>outcome_loans</t>
        </is>
      </c>
      <c r="F994" t="inlineStr">
        <is>
          <t>Outcome, share of loans</t>
        </is>
      </c>
      <c r="G994" t="n">
        <v>208</v>
      </c>
      <c r="H994" t="n">
        <v>208</v>
      </c>
      <c r="I994" t="b">
        <v>0</v>
      </c>
      <c r="J994" t="b">
        <v>0</v>
      </c>
      <c r="K994" t="n">
        <v>1.250642095800694</v>
      </c>
      <c r="L994" t="n">
        <v>0.6093090536368873</v>
      </c>
      <c r="M994" t="n">
        <v>1.299477221807319</v>
      </c>
      <c r="N994" t="n">
        <v>0.4210239206875348</v>
      </c>
      <c r="O994" t="n">
        <v>4.008214606597358</v>
      </c>
      <c r="P994" t="n">
        <v>4.60919540229885</v>
      </c>
      <c r="Q994">
        <f>'_live'!$C$20</f>
        <v/>
      </c>
      <c r="R994" t="inlineStr">
        <is>
          <t>z test</t>
        </is>
      </c>
      <c r="S994" t="inlineStr">
        <is>
          <t>z test</t>
        </is>
      </c>
      <c r="T994" t="n">
        <v>0.07688358362212809</v>
      </c>
      <c r="U994" t="n">
        <v>0.07399425287356322</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0.09615384615384616</v>
      </c>
      <c r="AI994">
        <f>IF($Y994="worse","Yes",IF($Y994="worse, not significant","Not sure",IF(OR($Y994="too few losses to test",$Y994="too few loans to test"),"Too few losses",IF($Y994="","","No"))))</f>
        <v/>
      </c>
      <c r="AJ994">
        <f>IF($AA994="yes","Yes",IF($AA994="","","No"))</f>
        <v/>
      </c>
    </row>
    <row r="995">
      <c r="A995" t="inlineStr">
        <is>
          <t>three-way</t>
        </is>
      </c>
      <c r="B995" t="inlineStr">
        <is>
          <t>ORIG_BAL x ASSET_CLASS / REV_DEBT</t>
        </is>
      </c>
      <c r="C995" t="inlineStr">
        <is>
          <t>5,005 - 15,448</t>
        </is>
      </c>
      <c r="D995" t="inlineStr">
        <is>
          <t>1 / REV_DEBT high half</t>
        </is>
      </c>
      <c r="E995" t="inlineStr">
        <is>
          <t>outcome_booked</t>
        </is>
      </c>
      <c r="F995" t="inlineStr">
        <is>
          <t>Outcome, share of booked dollars</t>
        </is>
      </c>
      <c r="G995" t="n">
        <v>208</v>
      </c>
      <c r="H995" t="n">
        <v>2150732.31</v>
      </c>
      <c r="I995" t="b">
        <v>0</v>
      </c>
      <c r="J995" t="b">
        <v>0</v>
      </c>
      <c r="K995" t="n">
        <v>1.24409283857338</v>
      </c>
      <c r="L995" t="n">
        <v>0.7003607331574535</v>
      </c>
      <c r="M995" t="n">
        <v>1.273933055492068</v>
      </c>
      <c r="N995" t="n">
        <v>0.4579306775204832</v>
      </c>
      <c r="O995" t="n">
        <v>39203.77418984353</v>
      </c>
      <c r="P995" t="n">
        <v>42965.85578247099</v>
      </c>
      <c r="Q995">
        <f>'_live'!$C$21</f>
        <v/>
      </c>
      <c r="R995" t="inlineStr">
        <is>
          <t>shuffled: 3,721 of 10,000</t>
        </is>
      </c>
      <c r="S995" t="inlineStr">
        <is>
          <t>shuffled: 3,243 of 10,000</t>
        </is>
      </c>
      <c r="T995" t="n">
        <v>0.07467693448570384</v>
      </c>
      <c r="U995" t="n">
        <v>0.07292772489084383</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0.09290503940027758</v>
      </c>
      <c r="AI995">
        <f>IF($Y995="worse","Yes",IF($Y995="worse, not significant","Not sure",IF(OR($Y995="too few losses to test",$Y995="too few loans to test"),"Too few losses",IF($Y995="","","No"))))</f>
        <v/>
      </c>
      <c r="AJ995">
        <f>IF($AA995="yes","Yes",IF($AA995="","","No"))</f>
        <v/>
      </c>
    </row>
    <row r="996">
      <c r="A996" t="inlineStr">
        <is>
          <t>three-way</t>
        </is>
      </c>
      <c r="B996" t="inlineStr">
        <is>
          <t>ORIG_BAL x ASSET_CLASS / REV_DEBT</t>
        </is>
      </c>
      <c r="C996" t="inlineStr">
        <is>
          <t>5,005 - 15,448</t>
        </is>
      </c>
      <c r="D996" t="inlineStr">
        <is>
          <t>1 / REV_DEBT high half</t>
        </is>
      </c>
      <c r="E996" t="inlineStr">
        <is>
          <t>gco_rate</t>
        </is>
      </c>
      <c r="F996" t="inlineStr">
        <is>
          <t>GCO per booked dollar</t>
        </is>
      </c>
      <c r="G996" t="n">
        <v>208</v>
      </c>
      <c r="H996" t="n">
        <v>2150732.31</v>
      </c>
      <c r="I996" t="b">
        <v>0</v>
      </c>
      <c r="J996" t="b">
        <v>0</v>
      </c>
      <c r="K996" t="n">
        <v>1.176106856380698</v>
      </c>
      <c r="L996" t="n">
        <v>0.8043430951022545</v>
      </c>
      <c r="M996" t="n">
        <v>1.213695117847149</v>
      </c>
      <c r="N996" t="n">
        <v>0.5739026097390261</v>
      </c>
      <c r="O996" t="n">
        <v>15735.25877981744</v>
      </c>
      <c r="P996" t="n">
        <v>18502.45693288735</v>
      </c>
      <c r="Q996">
        <f>'_live'!$C$22</f>
        <v/>
      </c>
      <c r="R996" t="inlineStr">
        <is>
          <t>shuffled: 5,350 of 10,000</t>
        </is>
      </c>
      <c r="S996" t="inlineStr">
        <is>
          <t>shuffled: 4,620 of 10,000</t>
        </is>
      </c>
      <c r="T996" t="n">
        <v>0.04154428275650101</v>
      </c>
      <c r="U996" t="n">
        <v>0.04025765208647127</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0.04886051579333926</v>
      </c>
      <c r="AI996">
        <f>IF($Y996="worse","Yes",IF($Y996="worse, not significant","Not sure",IF(OR($Y996="too few losses to test",$Y996="too few loans to test"),"Too few losses",IF($Y996="","","No"))))</f>
        <v/>
      </c>
      <c r="AJ996">
        <f>IF($AA996="yes","Yes",IF($AA996="","","No"))</f>
        <v/>
      </c>
    </row>
    <row r="997">
      <c r="A997" t="inlineStr">
        <is>
          <t>three-way</t>
        </is>
      </c>
      <c r="B997" t="inlineStr">
        <is>
          <t>ORIG_BAL x ASSET_CLASS / REV_DEBT</t>
        </is>
      </c>
      <c r="C997" t="inlineStr">
        <is>
          <t>5,005 - 15,448</t>
        </is>
      </c>
      <c r="D997" t="inlineStr">
        <is>
          <t>1 / REV_DEBT high half</t>
        </is>
      </c>
      <c r="E997" t="inlineStr">
        <is>
          <t>ranr_rate</t>
        </is>
      </c>
      <c r="F997" t="inlineStr">
        <is>
          <t>Profit after losses: RANR per booked dollar</t>
        </is>
      </c>
      <c r="G997" t="n">
        <v>208</v>
      </c>
      <c r="H997" t="n">
        <v>2150732.31</v>
      </c>
      <c r="I997" t="b">
        <v>0</v>
      </c>
      <c r="J997" t="b">
        <v>0</v>
      </c>
      <c r="K997" t="n">
        <v>0.05128708962737077</v>
      </c>
      <c r="L997" t="n">
        <v>0.011998800119988</v>
      </c>
      <c r="M997" t="n">
        <v>0.03708296742426129</v>
      </c>
      <c r="N997" t="n">
        <v>0.151984801519848</v>
      </c>
      <c r="O997" t="n">
        <v>-110304.8007474521</v>
      </c>
      <c r="P997" t="n">
        <v>-79755.53619003622</v>
      </c>
      <c r="Q997">
        <f>'_live'!$C$23</f>
        <v/>
      </c>
      <c r="R997" t="inlineStr">
        <is>
          <t>shuffled: 2 of 10,000</t>
        </is>
      </c>
      <c r="S997" t="inlineStr">
        <is>
          <t>shuffled: 87 of 10,000</t>
        </is>
      </c>
      <c r="T997" t="n">
        <v>0.12756262505423</v>
      </c>
      <c r="U997" t="n">
        <v>0.1417667472573395</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0.1788497146816007</v>
      </c>
      <c r="AI997">
        <f>IF($Y997="worse","Yes",IF($Y997="worse, not significant","Not sure",IF(OR($Y997="too few losses to test",$Y997="too few loans to test"),"Too few losses",IF($Y997="","","No"))))</f>
        <v/>
      </c>
      <c r="AJ997">
        <f>IF($AA997="yes","Yes",IF($AA997="","","No"))</f>
        <v/>
      </c>
    </row>
    <row r="998">
      <c r="A998" t="inlineStr">
        <is>
          <t>three-way</t>
        </is>
      </c>
      <c r="B998" t="inlineStr">
        <is>
          <t>ORIG_BAL x ASSET_CLASS / REV_DEBT</t>
        </is>
      </c>
      <c r="C998" t="inlineStr">
        <is>
          <t>5,005 - 15,448</t>
        </is>
      </c>
      <c r="D998" t="inlineStr">
        <is>
          <t>1 / REV_DEBT high half</t>
        </is>
      </c>
      <c r="E998" t="inlineStr">
        <is>
          <t>contribution_rate</t>
        </is>
      </c>
      <c r="F998" t="inlineStr">
        <is>
          <t>Contribution before losses per booked dollar</t>
        </is>
      </c>
      <c r="G998" t="n">
        <v>208</v>
      </c>
      <c r="H998" t="n">
        <v>2150732.31</v>
      </c>
      <c r="I998" t="b">
        <v>0</v>
      </c>
      <c r="J998" t="b">
        <v>0</v>
      </c>
      <c r="K998" t="n">
        <v>0.05860627223333595</v>
      </c>
      <c r="L998" t="n">
        <v>0.0003076615415381539</v>
      </c>
      <c r="M998" t="n">
        <v>0.04568583113112926</v>
      </c>
      <c r="N998" t="n">
        <v>0.000222200002222</v>
      </c>
      <c r="O998" t="n">
        <v>-126046.4032608915</v>
      </c>
      <c r="P998" t="n">
        <v>-98257.99312292354</v>
      </c>
      <c r="Q998">
        <f>'_live'!$C$24</f>
        <v/>
      </c>
      <c r="R998" t="inlineStr">
        <is>
          <t>shuffled: 0 of 10,000</t>
        </is>
      </c>
      <c r="S998" t="inlineStr">
        <is>
          <t>shuffled: 0 of 10,000</t>
        </is>
      </c>
      <c r="T998" t="n">
        <v>0.169103958241604</v>
      </c>
      <c r="U998" t="n">
        <v>0.1820243993438107</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0.22771023047494</v>
      </c>
      <c r="AI998">
        <f>IF($Y998="worse","Yes",IF($Y998="worse, not significant","Not sure",IF(OR($Y998="too few losses to test",$Y998="too few loans to test"),"Too few losses",IF($Y998="","","No"))))</f>
        <v/>
      </c>
      <c r="AJ998">
        <f>IF($AA998="yes","Yes",IF($AA998="","","No"))</f>
        <v/>
      </c>
    </row>
    <row r="999">
      <c r="A999" t="inlineStr">
        <is>
          <t>three-way</t>
        </is>
      </c>
      <c r="B999" t="inlineStr">
        <is>
          <t>ORIG_BAL x ASSET_CLASS / REV_DEBT</t>
        </is>
      </c>
      <c r="C999" t="inlineStr">
        <is>
          <t>26,324 - 37,950</t>
        </is>
      </c>
      <c r="D999" t="inlineStr">
        <is>
          <t>2 / REV_DEBT high half</t>
        </is>
      </c>
      <c r="E999" t="inlineStr">
        <is>
          <t>outcome_loans</t>
        </is>
      </c>
      <c r="F999" t="inlineStr">
        <is>
          <t>Outcome, share of loans</t>
        </is>
      </c>
      <c r="G999" t="n">
        <v>215</v>
      </c>
      <c r="H999" t="n">
        <v>215</v>
      </c>
      <c r="I999" t="b">
        <v>0</v>
      </c>
      <c r="J999" t="b">
        <v>0</v>
      </c>
      <c r="K999" t="n">
        <v>1.022390481341265</v>
      </c>
      <c r="L999" t="n">
        <v>0.9253161866229574</v>
      </c>
      <c r="M999" t="n">
        <v>1.175843960990248</v>
      </c>
      <c r="N999" t="n">
        <v>0.661968322919812</v>
      </c>
      <c r="O999" t="n">
        <v>0.3723021582733814</v>
      </c>
      <c r="P999" t="n">
        <v>2.542299349240782</v>
      </c>
      <c r="Q999">
        <f>'_live'!$C$20</f>
        <v/>
      </c>
      <c r="R999" t="inlineStr">
        <is>
          <t>z test</t>
        </is>
      </c>
      <c r="S999" t="inlineStr">
        <is>
          <t>z test</t>
        </is>
      </c>
      <c r="T999" t="n">
        <v>0.07733812949640288</v>
      </c>
      <c r="U999" t="n">
        <v>0.06724511930585683</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0.07906976744186046</v>
      </c>
      <c r="AI999">
        <f>IF($Y999="worse","Yes",IF($Y999="worse, not significant","Not sure",IF(OR($Y999="too few losses to test",$Y999="too few loans to test"),"Too few losses",IF($Y999="","","No"))))</f>
        <v/>
      </c>
      <c r="AJ999">
        <f>IF($AA999="yes","Yes",IF($AA999="","","No"))</f>
        <v/>
      </c>
    </row>
    <row r="1000">
      <c r="A1000" t="inlineStr">
        <is>
          <t>three-way</t>
        </is>
      </c>
      <c r="B1000" t="inlineStr">
        <is>
          <t>ORIG_BAL x ASSET_CLASS / REV_DEBT</t>
        </is>
      </c>
      <c r="C1000" t="inlineStr">
        <is>
          <t>26,324 - 37,950</t>
        </is>
      </c>
      <c r="D1000" t="inlineStr">
        <is>
          <t>2 / REV_DEBT high half</t>
        </is>
      </c>
      <c r="E1000" t="inlineStr">
        <is>
          <t>outcome_booked</t>
        </is>
      </c>
      <c r="F1000" t="inlineStr">
        <is>
          <t>Outcome, share of booked dollars</t>
        </is>
      </c>
      <c r="G1000" t="n">
        <v>215</v>
      </c>
      <c r="H1000" t="n">
        <v>6934074.440000001</v>
      </c>
      <c r="I1000" t="b">
        <v>0</v>
      </c>
      <c r="J1000" t="b">
        <v>0</v>
      </c>
      <c r="K1000" t="n">
        <v>1.058594712991534</v>
      </c>
      <c r="L1000" t="n">
        <v>0.8376162383761624</v>
      </c>
      <c r="M1000" t="n">
        <v>1.188903876168565</v>
      </c>
      <c r="N1000" t="n">
        <v>0.625074334671796</v>
      </c>
      <c r="O1000" t="n">
        <v>30355.17920110404</v>
      </c>
      <c r="P1000" t="n">
        <v>87136.11980828812</v>
      </c>
      <c r="Q1000">
        <f>'_live'!$C$21</f>
        <v/>
      </c>
      <c r="R1000" t="inlineStr">
        <is>
          <t>shuffled: 8,376 of 10,000</t>
        </is>
      </c>
      <c r="S1000" t="inlineStr">
        <is>
          <t>shuffled: 4,948 of 10,000</t>
        </is>
      </c>
      <c r="T1000" t="n">
        <v>0.0747112271841858</v>
      </c>
      <c r="U1000" t="n">
        <v>0.06652254373428847</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0.07908891009828846</v>
      </c>
      <c r="AI1000">
        <f>IF($Y1000="worse","Yes",IF($Y1000="worse, not significant","Not sure",IF(OR($Y1000="too few losses to test",$Y1000="too few loans to test"),"Too few losses",IF($Y1000="","","No"))))</f>
        <v/>
      </c>
      <c r="AJ1000">
        <f>IF($AA1000="yes","Yes",IF($AA1000="","","No"))</f>
        <v/>
      </c>
    </row>
    <row r="1001">
      <c r="A1001" t="inlineStr">
        <is>
          <t>three-way</t>
        </is>
      </c>
      <c r="B1001" t="inlineStr">
        <is>
          <t>ORIG_BAL x ASSET_CLASS / REV_DEBT</t>
        </is>
      </c>
      <c r="C1001" t="inlineStr">
        <is>
          <t>26,324 - 37,950</t>
        </is>
      </c>
      <c r="D1001" t="inlineStr">
        <is>
          <t>2 / REV_DEBT high half</t>
        </is>
      </c>
      <c r="E1001" t="inlineStr">
        <is>
          <t>gco_rate</t>
        </is>
      </c>
      <c r="F1001" t="inlineStr">
        <is>
          <t>GCO per booked dollar</t>
        </is>
      </c>
      <c r="G1001" t="n">
        <v>216</v>
      </c>
      <c r="H1001" t="n">
        <v>6971062.450000002</v>
      </c>
      <c r="I1001" t="b">
        <v>0</v>
      </c>
      <c r="J1001" t="b">
        <v>0</v>
      </c>
      <c r="K1001" t="n">
        <v>0.9928551961488586</v>
      </c>
      <c r="L1001" t="n">
        <v>0.9792020797920208</v>
      </c>
      <c r="M1001" t="n">
        <v>1.121383878927023</v>
      </c>
      <c r="N1001" t="n">
        <v>0.7306178473061784</v>
      </c>
      <c r="O1001" t="n">
        <v>-2072.628277587064</v>
      </c>
      <c r="P1001" t="n">
        <v>31176.23920199758</v>
      </c>
      <c r="Q1001">
        <f>'_live'!$C$22</f>
        <v/>
      </c>
      <c r="R1001" t="inlineStr">
        <is>
          <t>shuffled: 9,792 of 10,000</t>
        </is>
      </c>
      <c r="S1001" t="inlineStr">
        <is>
          <t>shuffled: 6,697 of 10,000</t>
        </is>
      </c>
      <c r="T1001" t="n">
        <v>0.04161329788081111</v>
      </c>
      <c r="U1001" t="n">
        <v>0.03684374263466859</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0.0413159790298536</v>
      </c>
      <c r="AI1001">
        <f>IF($Y1001="worse","Yes",IF($Y1001="worse, not significant","Not sure",IF(OR($Y1001="too few losses to test",$Y1001="too few loans to test"),"Too few losses",IF($Y1001="","","No"))))</f>
        <v/>
      </c>
      <c r="AJ1001">
        <f>IF($AA1001="yes","Yes",IF($AA1001="","","No"))</f>
        <v/>
      </c>
    </row>
    <row r="1002">
      <c r="A1002" t="inlineStr">
        <is>
          <t>three-way</t>
        </is>
      </c>
      <c r="B1002" t="inlineStr">
        <is>
          <t>ORIG_BAL x ASSET_CLASS / REV_DEBT</t>
        </is>
      </c>
      <c r="C1002" t="inlineStr">
        <is>
          <t>26,324 - 37,950</t>
        </is>
      </c>
      <c r="D1002" t="inlineStr">
        <is>
          <t>2 / REV_DEBT high half</t>
        </is>
      </c>
      <c r="E1002" t="inlineStr">
        <is>
          <t>ranr_rate</t>
        </is>
      </c>
      <c r="F1002" t="inlineStr">
        <is>
          <t>Profit after losses: RANR per booked dollar</t>
        </is>
      </c>
      <c r="G1002" t="n">
        <v>216</v>
      </c>
      <c r="H1002" t="n">
        <v>6971062.450000002</v>
      </c>
      <c r="I1002" t="b">
        <v>0</v>
      </c>
      <c r="J1002" t="b">
        <v>0</v>
      </c>
      <c r="K1002" t="n">
        <v>0.008299432143172608</v>
      </c>
      <c r="L1002" t="n">
        <v>0.7949205079492051</v>
      </c>
      <c r="M1002" t="n">
        <v>0.005514264494529048</v>
      </c>
      <c r="N1002" t="n">
        <v>0.8601564086015639</v>
      </c>
      <c r="O1002" t="n">
        <v>-57855.85976959358</v>
      </c>
      <c r="P1002" t="n">
        <v>-38440.28215717967</v>
      </c>
      <c r="Q1002">
        <f>'_live'!$C$23</f>
        <v/>
      </c>
      <c r="R1002" t="inlineStr">
        <is>
          <t>shuffled: 5,564 of 10,000</t>
        </is>
      </c>
      <c r="S1002" t="inlineStr">
        <is>
          <t>shuffled: 6,776 of 10,000</t>
        </is>
      </c>
      <c r="T1002" t="n">
        <v>0.1277658616055585</v>
      </c>
      <c r="U1002" t="n">
        <v>0.1305510292542021</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0.1360652937487311</v>
      </c>
      <c r="AI1002">
        <f>IF($Y1002="worse","Yes",IF($Y1002="worse, not significant","Not sure",IF(OR($Y1002="too few losses to test",$Y1002="too few loans to test"),"Too few losses",IF($Y1002="","","No"))))</f>
        <v/>
      </c>
      <c r="AJ1002">
        <f>IF($AA1002="yes","Yes",IF($AA1002="","","No"))</f>
        <v/>
      </c>
    </row>
    <row r="1003">
      <c r="A1003" t="inlineStr">
        <is>
          <t>three-way</t>
        </is>
      </c>
      <c r="B1003" t="inlineStr">
        <is>
          <t>ORIG_BAL x ASSET_CLASS / REV_DEBT</t>
        </is>
      </c>
      <c r="C1003" t="inlineStr">
        <is>
          <t>26,324 - 37,950</t>
        </is>
      </c>
      <c r="D1003" t="inlineStr">
        <is>
          <t>2 / REV_DEBT high half</t>
        </is>
      </c>
      <c r="E1003" t="inlineStr">
        <is>
          <t>contribution_rate</t>
        </is>
      </c>
      <c r="F1003" t="inlineStr">
        <is>
          <t>Contribution before losses per booked dollar</t>
        </is>
      </c>
      <c r="G1003" t="n">
        <v>216</v>
      </c>
      <c r="H1003" t="n">
        <v>6971062.450000002</v>
      </c>
      <c r="I1003" t="b">
        <v>0</v>
      </c>
      <c r="J1003" t="b">
        <v>0</v>
      </c>
      <c r="K1003" t="n">
        <v>0.008005087367940755</v>
      </c>
      <c r="L1003" t="n">
        <v>0.3980654566122335</v>
      </c>
      <c r="M1003" t="n">
        <v>0.009986500889714117</v>
      </c>
      <c r="N1003" t="n">
        <v>0.257974202579742</v>
      </c>
      <c r="O1003" t="n">
        <v>-55803.96395962127</v>
      </c>
      <c r="P1003" t="n">
        <v>-69616.52135917777</v>
      </c>
      <c r="Q1003">
        <f>'_live'!$C$24</f>
        <v/>
      </c>
      <c r="R1003" t="inlineStr">
        <is>
          <t>shuffled: 3,781 of 10,000</t>
        </is>
      </c>
      <c r="S1003" t="inlineStr">
        <is>
          <t>shuffled: 2,579 of 10,000</t>
        </is>
      </c>
      <c r="T1003" t="n">
        <v>0.169376185410644</v>
      </c>
      <c r="U1003" t="n">
        <v>0.1673947718888707</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0.1773812727785848</v>
      </c>
      <c r="AI1003">
        <f>IF($Y1003="worse","Yes",IF($Y1003="worse, not significant","Not sure",IF(OR($Y1003="too few losses to test",$Y1003="too few loans to test"),"Too few losses",IF($Y1003="","","No"))))</f>
        <v/>
      </c>
      <c r="AJ1003">
        <f>IF($AA1003="yes","Yes",IF($AA1003="","","No"))</f>
        <v/>
      </c>
    </row>
    <row r="1004">
      <c r="A1004" t="inlineStr">
        <is>
          <t>three-way</t>
        </is>
      </c>
      <c r="B1004" t="inlineStr">
        <is>
          <t>ORIG_BAL x ASSET_CLASS / REV_DEBT</t>
        </is>
      </c>
      <c r="C1004" t="inlineStr">
        <is>
          <t>37,951 - 49,151</t>
        </is>
      </c>
      <c r="D1004" t="inlineStr">
        <is>
          <t>1 / REV_DEBT low half</t>
        </is>
      </c>
      <c r="E1004" t="inlineStr">
        <is>
          <t>outcome_loans</t>
        </is>
      </c>
      <c r="F1004" t="inlineStr">
        <is>
          <t>Outcome, share of loans</t>
        </is>
      </c>
      <c r="G1004" t="n">
        <v>192</v>
      </c>
      <c r="H1004" t="n">
        <v>192</v>
      </c>
      <c r="I1004" t="b">
        <v>1</v>
      </c>
      <c r="J1004" t="b">
        <v>0</v>
      </c>
      <c r="K1004" t="n">
        <v>0.1980265827922078</v>
      </c>
      <c r="M1004" t="n">
        <v>0.1679389312977099</v>
      </c>
      <c r="O1004" t="n">
        <v>-12.14948123478929</v>
      </c>
      <c r="P1004" t="n">
        <v>-14.86363636363636</v>
      </c>
      <c r="Q1004">
        <f>'_live'!$C$20</f>
        <v/>
      </c>
      <c r="T1004" t="n">
        <v>0.07890354809786089</v>
      </c>
      <c r="U1004" t="n">
        <v>0.09303977272727272</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0.015625</v>
      </c>
      <c r="AI1004">
        <f>IF($Y1004="worse","Yes",IF($Y1004="worse, not significant","Not sure",IF(OR($Y1004="too few losses to test",$Y1004="too few loans to test"),"Too few losses",IF($Y1004="","","No"))))</f>
        <v/>
      </c>
      <c r="AJ1004">
        <f>IF($AA1004="yes","Yes",IF($AA1004="","","No"))</f>
        <v/>
      </c>
    </row>
    <row r="1005">
      <c r="A1005" t="inlineStr">
        <is>
          <t>three-way</t>
        </is>
      </c>
      <c r="B1005" t="inlineStr">
        <is>
          <t>ORIG_BAL x ASSET_CLASS / REV_DEBT</t>
        </is>
      </c>
      <c r="C1005" t="inlineStr">
        <is>
          <t>37,951 - 49,151</t>
        </is>
      </c>
      <c r="D1005" t="inlineStr">
        <is>
          <t>1 / REV_DEBT low half</t>
        </is>
      </c>
      <c r="E1005" t="inlineStr">
        <is>
          <t>outcome_booked</t>
        </is>
      </c>
      <c r="F1005" t="inlineStr">
        <is>
          <t>Outcome, share of booked dollars</t>
        </is>
      </c>
      <c r="G1005" t="n">
        <v>192</v>
      </c>
      <c r="H1005" t="n">
        <v>8407126.180000002</v>
      </c>
      <c r="I1005" t="b">
        <v>1</v>
      </c>
      <c r="J1005" t="b">
        <v>0</v>
      </c>
      <c r="K1005" t="n">
        <v>0.2001701067562934</v>
      </c>
      <c r="M1005" t="n">
        <v>0.1664840452738813</v>
      </c>
      <c r="O1005" t="n">
        <v>-516632.9759342584</v>
      </c>
      <c r="P1005" t="n">
        <v>-647328.9194975743</v>
      </c>
      <c r="Q1005">
        <f>'_live'!$C$21</f>
        <v/>
      </c>
      <c r="T1005" t="n">
        <v>0.07683107783856984</v>
      </c>
      <c r="U1005" t="n">
        <v>0.09237693034096631</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0.01537928505314761</v>
      </c>
      <c r="AI1005">
        <f>IF($Y1005="worse","Yes",IF($Y1005="worse, not significant","Not sure",IF(OR($Y1005="too few losses to test",$Y1005="too few loans to test"),"Too few losses",IF($Y1005="","","No"))))</f>
        <v/>
      </c>
      <c r="AJ1005">
        <f>IF($AA1005="yes","Yes",IF($AA1005="","","No"))</f>
        <v/>
      </c>
    </row>
    <row r="1006">
      <c r="A1006" t="inlineStr">
        <is>
          <t>three-way</t>
        </is>
      </c>
      <c r="B1006" t="inlineStr">
        <is>
          <t>ORIG_BAL x ASSET_CLASS / REV_DEBT</t>
        </is>
      </c>
      <c r="C1006" t="inlineStr">
        <is>
          <t>37,951 - 49,151</t>
        </is>
      </c>
      <c r="D1006" t="inlineStr">
        <is>
          <t>1 / REV_DEBT low half</t>
        </is>
      </c>
      <c r="E1006" t="inlineStr">
        <is>
          <t>gco_rate</t>
        </is>
      </c>
      <c r="F1006" t="inlineStr">
        <is>
          <t>GCO per booked dollar</t>
        </is>
      </c>
      <c r="G1006" t="n">
        <v>191</v>
      </c>
      <c r="H1006" t="n">
        <v>8367441.750000002</v>
      </c>
      <c r="I1006" t="b">
        <v>1</v>
      </c>
      <c r="J1006" t="b">
        <v>0</v>
      </c>
      <c r="K1006" t="n">
        <v>0.1422407968633829</v>
      </c>
      <c r="M1006" t="n">
        <v>0.1163487076677076</v>
      </c>
      <c r="O1006" t="n">
        <v>-307155.1320575231</v>
      </c>
      <c r="P1006" t="n">
        <v>-386844.0482642011</v>
      </c>
      <c r="Q1006">
        <f>'_live'!$C$22</f>
        <v/>
      </c>
      <c r="T1006" t="n">
        <v>0.042795656397312</v>
      </c>
      <c r="U1006" t="n">
        <v>0.05231934578620771</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0.006087288268245188</v>
      </c>
      <c r="AI1006">
        <f>IF($Y1006="worse","Yes",IF($Y1006="worse, not significant","Not sure",IF(OR($Y1006="too few losses to test",$Y1006="too few loans to test"),"Too few losses",IF($Y1006="","","No"))))</f>
        <v/>
      </c>
      <c r="AJ1006">
        <f>IF($AA1006="yes","Yes",IF($AA1006="","","No"))</f>
        <v/>
      </c>
    </row>
    <row r="1007">
      <c r="A1007" t="inlineStr">
        <is>
          <t>three-way</t>
        </is>
      </c>
      <c r="B1007" t="inlineStr">
        <is>
          <t>ORIG_BAL x ASSET_CLASS / REV_DEBT</t>
        </is>
      </c>
      <c r="C1007" t="inlineStr">
        <is>
          <t>37,951 - 49,151</t>
        </is>
      </c>
      <c r="D1007" t="inlineStr">
        <is>
          <t>1 / REV_DEBT low half</t>
        </is>
      </c>
      <c r="E1007" t="inlineStr">
        <is>
          <t>ranr_rate</t>
        </is>
      </c>
      <c r="F1007" t="inlineStr">
        <is>
          <t>Profit after losses: RANR per booked dollar</t>
        </is>
      </c>
      <c r="G1007" t="n">
        <v>192</v>
      </c>
      <c r="H1007" t="n">
        <v>8407126.180000002</v>
      </c>
      <c r="I1007" t="b">
        <v>0</v>
      </c>
      <c r="J1007" t="b">
        <v>0</v>
      </c>
      <c r="K1007" t="n">
        <v>-0.0004018453493409846</v>
      </c>
      <c r="L1007" t="n">
        <v>0.9959004099590041</v>
      </c>
      <c r="M1007" t="n">
        <v>0.005882366922269275</v>
      </c>
      <c r="N1007" t="n">
        <v>0.8601564086015639</v>
      </c>
      <c r="O1007" t="n">
        <v>3378.364556755638</v>
      </c>
      <c r="P1007" t="n">
        <v>-49453.8009525761</v>
      </c>
      <c r="Q1007">
        <f>'_live'!$C$23</f>
        <v/>
      </c>
      <c r="R1007" t="inlineStr">
        <is>
          <t>shuffled: 9,785 of 10,000</t>
        </is>
      </c>
      <c r="S1007" t="inlineStr">
        <is>
          <t>shuffled: 6,926 of 10,000</t>
        </is>
      </c>
      <c r="T1007" t="n">
        <v>0.1280031406114515</v>
      </c>
      <c r="U1007" t="n">
        <v>0.1217189283398413</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0.1276012952621106</v>
      </c>
      <c r="AI1007">
        <f>IF($Y1007="worse","Yes",IF($Y1007="worse, not significant","Not sure",IF(OR($Y1007="too few losses to test",$Y1007="too few loans to test"),"Too few losses",IF($Y1007="","","No"))))</f>
        <v/>
      </c>
      <c r="AJ1007">
        <f>IF($AA1007="yes","Yes",IF($AA1007="","","No"))</f>
        <v/>
      </c>
    </row>
    <row r="1008">
      <c r="A1008" t="inlineStr">
        <is>
          <t>three-way</t>
        </is>
      </c>
      <c r="B1008" t="inlineStr">
        <is>
          <t>ORIG_BAL x ASSET_CLASS / REV_DEBT</t>
        </is>
      </c>
      <c r="C1008" t="inlineStr">
        <is>
          <t>37,951 - 49,151</t>
        </is>
      </c>
      <c r="D1008" t="inlineStr">
        <is>
          <t>1 / REV_DEBT low half</t>
        </is>
      </c>
      <c r="E1008" t="inlineStr">
        <is>
          <t>contribution_rate</t>
        </is>
      </c>
      <c r="F1008" t="inlineStr">
        <is>
          <t>Contribution before losses per booked dollar</t>
        </is>
      </c>
      <c r="G1008" t="n">
        <v>191</v>
      </c>
      <c r="H1008" t="n">
        <v>8367441.750000002</v>
      </c>
      <c r="I1008" t="b">
        <v>0</v>
      </c>
      <c r="J1008" t="b">
        <v>0</v>
      </c>
      <c r="K1008" t="n">
        <v>-0.03720022848571394</v>
      </c>
      <c r="L1008" t="n">
        <v>0.0003076615415381539</v>
      </c>
      <c r="M1008" t="n">
        <v>-0.04043970560299959</v>
      </c>
      <c r="N1008" t="n">
        <v>0.000222200002222</v>
      </c>
      <c r="O1008" t="n">
        <v>311270.7449409021</v>
      </c>
      <c r="P1008" t="n">
        <v>338376.8810202477</v>
      </c>
      <c r="Q1008">
        <f>'_live'!$C$24</f>
        <v/>
      </c>
      <c r="R1008" t="inlineStr">
        <is>
          <t>shuffled: 0 of 10,000</t>
        </is>
      </c>
      <c r="S1008" t="inlineStr">
        <is>
          <t>shuffled: 0 of 10,000</t>
        </is>
      </c>
      <c r="T1008" t="n">
        <v>0.1707987970087634</v>
      </c>
      <c r="U1008" t="n">
        <v>0.174038274126049</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0.1335985685230494</v>
      </c>
      <c r="AI1008">
        <f>IF($Y1008="worse","Yes",IF($Y1008="worse, not significant","Not sure",IF(OR($Y1008="too few losses to test",$Y1008="too few loans to test"),"Too few losses",IF($Y1008="","","No"))))</f>
        <v/>
      </c>
      <c r="AJ1008">
        <f>IF($AA1008="yes","Yes",IF($AA1008="","","No"))</f>
        <v/>
      </c>
    </row>
    <row r="1009">
      <c r="A1009" t="inlineStr">
        <is>
          <t>three-way</t>
        </is>
      </c>
      <c r="B1009" t="inlineStr">
        <is>
          <t>ORIG_BAL x ASSET_CLASS / REV_DEBT</t>
        </is>
      </c>
      <c r="C1009" t="inlineStr">
        <is>
          <t>(blank)</t>
        </is>
      </c>
      <c r="D1009" t="inlineStr">
        <is>
          <t>2 / REV_DEBT low half</t>
        </is>
      </c>
      <c r="E1009" t="inlineStr">
        <is>
          <t>outcome_loans</t>
        </is>
      </c>
      <c r="F1009" t="inlineStr">
        <is>
          <t>Outcome, share of loans</t>
        </is>
      </c>
      <c r="G1009" t="n">
        <v>1</v>
      </c>
      <c r="H1009" t="n">
        <v>1</v>
      </c>
      <c r="I1009" t="b">
        <v>1</v>
      </c>
      <c r="J1009" t="b">
        <v>1</v>
      </c>
      <c r="K1009" t="n">
        <v>0</v>
      </c>
      <c r="O1009" t="n">
        <v>-0.07739434858714679</v>
      </c>
      <c r="Q1009">
        <f>'_live'!$C$20</f>
        <v/>
      </c>
      <c r="T1009" t="n">
        <v>0.07739434858714679</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row>
    <row r="1010">
      <c r="A1010" t="inlineStr">
        <is>
          <t>three-way</t>
        </is>
      </c>
      <c r="B1010" t="inlineStr">
        <is>
          <t>ORIG_BAL x ASSET_CLASS / REV_DEBT</t>
        </is>
      </c>
      <c r="C1010" t="inlineStr">
        <is>
          <t>(blank)</t>
        </is>
      </c>
      <c r="D1010" t="inlineStr">
        <is>
          <t>2 / REV_DEBT low half</t>
        </is>
      </c>
      <c r="E1010" t="inlineStr">
        <is>
          <t>outcome_booked</t>
        </is>
      </c>
      <c r="F1010" t="inlineStr">
        <is>
          <t>Outcome, share of booked dollars</t>
        </is>
      </c>
      <c r="G1010" t="n">
        <v>0</v>
      </c>
      <c r="H1010" t="n">
        <v>0</v>
      </c>
      <c r="I1010" t="b">
        <v>1</v>
      </c>
      <c r="J1010" t="b">
        <v>1</v>
      </c>
      <c r="O1010" t="n">
        <v>0</v>
      </c>
      <c r="Q1010">
        <f>'_live'!$C$21</f>
        <v/>
      </c>
      <c r="R1010" t="inlineStr"/>
      <c r="S1010" t="inlineStr"/>
      <c r="T1010" t="n">
        <v>0.07482886857347235</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I1010">
        <f>IF($Y1010="worse","Yes",IF($Y1010="worse, not significant","Not sure",IF(OR($Y1010="too few losses to test",$Y1010="too few loans to test"),"Too few losses",IF($Y1010="","","No"))))</f>
        <v/>
      </c>
      <c r="AJ1010">
        <f>IF($AA1010="yes","Yes",IF($AA1010="","","No"))</f>
        <v/>
      </c>
    </row>
    <row r="1011">
      <c r="A1011" t="inlineStr">
        <is>
          <t>three-way</t>
        </is>
      </c>
      <c r="B1011" t="inlineStr">
        <is>
          <t>ORIG_BAL x ASSET_CLASS / REV_DEBT</t>
        </is>
      </c>
      <c r="C1011" t="inlineStr">
        <is>
          <t>(blank)</t>
        </is>
      </c>
      <c r="D1011" t="inlineStr">
        <is>
          <t>2 / REV_DEBT low half</t>
        </is>
      </c>
      <c r="E1011" t="inlineStr">
        <is>
          <t>gco_rate</t>
        </is>
      </c>
      <c r="F1011" t="inlineStr">
        <is>
          <t>GCO per booked dollar</t>
        </is>
      </c>
      <c r="G1011" t="n">
        <v>0</v>
      </c>
      <c r="H1011" t="n">
        <v>0</v>
      </c>
      <c r="I1011" t="b">
        <v>1</v>
      </c>
      <c r="J1011" t="b">
        <v>1</v>
      </c>
      <c r="O1011" t="n">
        <v>0</v>
      </c>
      <c r="Q1011">
        <f>'_live'!$C$22</f>
        <v/>
      </c>
      <c r="R1011" t="inlineStr"/>
      <c r="S1011" t="inlineStr"/>
      <c r="T1011" t="n">
        <v>0.04160526533333565</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I1011">
        <f>IF($Y1011="worse","Yes",IF($Y1011="worse, not significant","Not sure",IF(OR($Y1011="too few losses to test",$Y1011="too few loans to test"),"Too few losses",IF($Y1011="","","No"))))</f>
        <v/>
      </c>
      <c r="AJ1011">
        <f>IF($AA1011="yes","Yes",IF($AA1011="","","No"))</f>
        <v/>
      </c>
    </row>
    <row r="1012">
      <c r="A1012" t="inlineStr">
        <is>
          <t>three-way</t>
        </is>
      </c>
      <c r="B1012" t="inlineStr">
        <is>
          <t>ORIG_BAL x ASSET_CLASS / REV_DEBT</t>
        </is>
      </c>
      <c r="C1012" t="inlineStr">
        <is>
          <t>(blank)</t>
        </is>
      </c>
      <c r="D1012" t="inlineStr">
        <is>
          <t>2 / REV_DEBT low half</t>
        </is>
      </c>
      <c r="E1012" t="inlineStr">
        <is>
          <t>ranr_rate</t>
        </is>
      </c>
      <c r="F1012" t="inlineStr">
        <is>
          <t>Profit after losses: RANR per booked dollar</t>
        </is>
      </c>
      <c r="G1012" t="n">
        <v>0</v>
      </c>
      <c r="H1012" t="n">
        <v>0</v>
      </c>
      <c r="I1012" t="b">
        <v>0</v>
      </c>
      <c r="J1012" t="b">
        <v>1</v>
      </c>
      <c r="O1012" t="n">
        <v>0</v>
      </c>
      <c r="Q1012">
        <f>'_live'!$C$23</f>
        <v/>
      </c>
      <c r="R1012" t="inlineStr"/>
      <c r="S1012" t="inlineStr"/>
      <c r="T1012" t="n">
        <v>0.1279900496481481</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I1012">
        <f>IF($Y1012="worse","Yes",IF($Y1012="worse, not significant","Not sure",IF(OR($Y1012="too few losses to test",$Y1012="too few loans to test"),"Too few losses",IF($Y1012="","","No"))))</f>
        <v/>
      </c>
      <c r="AJ1012">
        <f>IF($AA1012="yes","Yes",IF($AA1012="","","No"))</f>
        <v/>
      </c>
    </row>
    <row r="1013">
      <c r="A1013" t="inlineStr">
        <is>
          <t>three-way</t>
        </is>
      </c>
      <c r="B1013" t="inlineStr">
        <is>
          <t>ORIG_BAL x ASSET_CLASS / REV_DEBT</t>
        </is>
      </c>
      <c r="C1013" t="inlineStr">
        <is>
          <t>(blank)</t>
        </is>
      </c>
      <c r="D1013" t="inlineStr">
        <is>
          <t>2 / REV_DEBT low half</t>
        </is>
      </c>
      <c r="E1013" t="inlineStr">
        <is>
          <t>contribution_rate</t>
        </is>
      </c>
      <c r="F1013" t="inlineStr">
        <is>
          <t>Contribution before losses per booked dollar</t>
        </is>
      </c>
      <c r="G1013" t="n">
        <v>0</v>
      </c>
      <c r="H1013" t="n">
        <v>0</v>
      </c>
      <c r="I1013" t="b">
        <v>0</v>
      </c>
      <c r="J1013" t="b">
        <v>1</v>
      </c>
      <c r="O1013" t="n">
        <v>0</v>
      </c>
      <c r="Q1013">
        <f>'_live'!$C$24</f>
        <v/>
      </c>
      <c r="R1013" t="inlineStr"/>
      <c r="S1013" t="inlineStr"/>
      <c r="T1013" t="n">
        <v>0.1695924557349815</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I1013">
        <f>IF($Y1013="worse","Yes",IF($Y1013="worse, not significant","Not sure",IF(OR($Y1013="too few losses to test",$Y1013="too few loans to test"),"Too few losses",IF($Y1013="","","No"))))</f>
        <v/>
      </c>
      <c r="AJ1013">
        <f>IF($AA1013="yes","Yes",IF($AA1013="","","No"))</f>
        <v/>
      </c>
    </row>
    <row r="1014">
      <c r="A1014" t="inlineStr">
        <is>
          <t>three-way</t>
        </is>
      </c>
      <c r="B1014" t="inlineStr">
        <is>
          <t>ORIG_BAL x ASSET_CLASS / REV_DEBT</t>
        </is>
      </c>
      <c r="C1014" t="inlineStr">
        <is>
          <t>26,324 - 37,950</t>
        </is>
      </c>
      <c r="D1014" t="inlineStr">
        <is>
          <t>4 / REV_DEBT low half</t>
        </is>
      </c>
      <c r="E1014" t="inlineStr">
        <is>
          <t>outcome_loans</t>
        </is>
      </c>
      <c r="F1014" t="inlineStr">
        <is>
          <t>Outcome, share of loans</t>
        </is>
      </c>
      <c r="G1014" t="n">
        <v>206</v>
      </c>
      <c r="H1014" t="n">
        <v>206</v>
      </c>
      <c r="I1014" t="b">
        <v>1</v>
      </c>
      <c r="J1014" t="b">
        <v>0</v>
      </c>
      <c r="K1014" t="n">
        <v>0.5581489734203406</v>
      </c>
      <c r="M1014" t="n">
        <v>0.6021339998077477</v>
      </c>
      <c r="O1014" t="n">
        <v>-7.124727319389198</v>
      </c>
      <c r="P1014" t="n">
        <v>-5.946839080459771</v>
      </c>
      <c r="Q1014">
        <f>'_live'!$C$20</f>
        <v/>
      </c>
      <c r="T1014" t="n">
        <v>0.07827537533684076</v>
      </c>
      <c r="U1014" t="n">
        <v>0.07255747126436782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0.04368932038834952</v>
      </c>
      <c r="AI1014">
        <f>IF($Y1014="worse","Yes",IF($Y1014="worse, not significant","Not sure",IF(OR($Y1014="too few losses to test",$Y1014="too few loans to test"),"Too few losses",IF($Y1014="","","No"))))</f>
        <v/>
      </c>
      <c r="AJ1014">
        <f>IF($AA1014="yes","Yes",IF($AA1014="","","No"))</f>
        <v/>
      </c>
    </row>
    <row r="1015">
      <c r="A1015" t="inlineStr">
        <is>
          <t>three-way</t>
        </is>
      </c>
      <c r="B1015" t="inlineStr">
        <is>
          <t>ORIG_BAL x ASSET_CLASS / REV_DEBT</t>
        </is>
      </c>
      <c r="C1015" t="inlineStr">
        <is>
          <t>26,324 - 37,950</t>
        </is>
      </c>
      <c r="D1015" t="inlineStr">
        <is>
          <t>4 / REV_DEBT low half</t>
        </is>
      </c>
      <c r="E1015" t="inlineStr">
        <is>
          <t>outcome_booked</t>
        </is>
      </c>
      <c r="F1015" t="inlineStr">
        <is>
          <t>Outcome, share of booked dollars</t>
        </is>
      </c>
      <c r="G1015" t="n">
        <v>206</v>
      </c>
      <c r="H1015" t="n">
        <v>6529496.709999999</v>
      </c>
      <c r="I1015" t="b">
        <v>1</v>
      </c>
      <c r="J1015" t="b">
        <v>0</v>
      </c>
      <c r="K1015" t="n">
        <v>0.5492571046588585</v>
      </c>
      <c r="M1015" t="n">
        <v>0.5765890616836326</v>
      </c>
      <c r="O1015" t="n">
        <v>-222771.6058571907</v>
      </c>
      <c r="P1015" t="n">
        <v>-199343.6026189943</v>
      </c>
      <c r="Q1015">
        <f>'_live'!$C$21</f>
        <v/>
      </c>
      <c r="T1015" t="n">
        <v>0.07569221914152566</v>
      </c>
      <c r="U1015" t="n">
        <v>0.07210419325243743</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0.04157448913087821</v>
      </c>
      <c r="AI1015">
        <f>IF($Y1015="worse","Yes",IF($Y1015="worse, not significant","Not sure",IF(OR($Y1015="too few losses to test",$Y1015="too few loans to test"),"Too few losses",IF($Y1015="","","No"))))</f>
        <v/>
      </c>
      <c r="AJ1015">
        <f>IF($AA1015="yes","Yes",IF($AA1015="","","No"))</f>
        <v/>
      </c>
    </row>
    <row r="1016">
      <c r="A1016" t="inlineStr">
        <is>
          <t>three-way</t>
        </is>
      </c>
      <c r="B1016" t="inlineStr">
        <is>
          <t>ORIG_BAL x ASSET_CLASS / REV_DEBT</t>
        </is>
      </c>
      <c r="C1016" t="inlineStr">
        <is>
          <t>26,324 - 37,950</t>
        </is>
      </c>
      <c r="D1016" t="inlineStr">
        <is>
          <t>4 / REV_DEBT low half</t>
        </is>
      </c>
      <c r="E1016" t="inlineStr">
        <is>
          <t>gco_rate</t>
        </is>
      </c>
      <c r="F1016" t="inlineStr">
        <is>
          <t>GCO per booked dollar</t>
        </is>
      </c>
      <c r="G1016" t="n">
        <v>206</v>
      </c>
      <c r="H1016" t="n">
        <v>6529496.709999999</v>
      </c>
      <c r="I1016" t="b">
        <v>1</v>
      </c>
      <c r="J1016" t="b">
        <v>0</v>
      </c>
      <c r="K1016" t="n">
        <v>0.5107610843908188</v>
      </c>
      <c r="M1016" t="n">
        <v>0.541010582808267</v>
      </c>
      <c r="O1016" t="n">
        <v>-134573.4145156582</v>
      </c>
      <c r="P1016" t="n">
        <v>-119193.6142912924</v>
      </c>
      <c r="Q1016">
        <f>'_live'!$C$22</f>
        <v/>
      </c>
      <c r="T1016" t="n">
        <v>0.04212680957391251</v>
      </c>
      <c r="U1016" t="n">
        <v>0.03977137531803619</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0.02151673493989708</v>
      </c>
      <c r="AI1016">
        <f>IF($Y1016="worse","Yes",IF($Y1016="worse, not significant","Not sure",IF(OR($Y1016="too few losses to test",$Y1016="too few loans to test"),"Too few losses",IF($Y1016="","","No"))))</f>
        <v/>
      </c>
      <c r="AJ1016">
        <f>IF($AA1016="yes","Yes",IF($AA1016="","","No"))</f>
        <v/>
      </c>
    </row>
    <row r="1017">
      <c r="A1017" t="inlineStr">
        <is>
          <t>three-way</t>
        </is>
      </c>
      <c r="B1017" t="inlineStr">
        <is>
          <t>ORIG_BAL x ASSET_CLASS / REV_DEBT</t>
        </is>
      </c>
      <c r="C1017" t="inlineStr">
        <is>
          <t>26,324 - 37,950</t>
        </is>
      </c>
      <c r="D1017" t="inlineStr">
        <is>
          <t>4 / REV_DEBT low half</t>
        </is>
      </c>
      <c r="E1017" t="inlineStr">
        <is>
          <t>ranr_rate</t>
        </is>
      </c>
      <c r="F1017" t="inlineStr">
        <is>
          <t>Profit after losses: RANR per booked dollar</t>
        </is>
      </c>
      <c r="G1017" t="n">
        <v>206</v>
      </c>
      <c r="H1017" t="n">
        <v>6529496.709999999</v>
      </c>
      <c r="I1017" t="b">
        <v>0</v>
      </c>
      <c r="J1017" t="b">
        <v>0</v>
      </c>
      <c r="K1017" t="n">
        <v>-0.006896671861599202</v>
      </c>
      <c r="L1017" t="n">
        <v>0.8575142485751426</v>
      </c>
      <c r="M1017" t="n">
        <v>-0.011492580316842</v>
      </c>
      <c r="N1017" t="n">
        <v>0.6031704521855507</v>
      </c>
      <c r="O1017" t="n">
        <v>45031.79623026156</v>
      </c>
      <c r="P1017" t="n">
        <v>75040.76536823052</v>
      </c>
      <c r="Q1017">
        <f>'_live'!$C$23</f>
        <v/>
      </c>
      <c r="R1017" t="inlineStr">
        <is>
          <t>shuffled: 6,331 of 10,000</t>
        </is>
      </c>
      <c r="S1017" t="inlineStr">
        <is>
          <t>shuffled: 3,920 of 10,000</t>
        </is>
      </c>
      <c r="T1017" t="n">
        <v>0.1281645452012582</v>
      </c>
      <c r="U1017" t="n">
        <v>0.132760453656501</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0.121267873339659</v>
      </c>
      <c r="AI1017">
        <f>IF($Y1017="worse","Yes",IF($Y1017="worse, not significant","Not sure",IF(OR($Y1017="too few losses to test",$Y1017="too few loans to test"),"Too few losses",IF($Y1017="","","No"))))</f>
        <v/>
      </c>
      <c r="AJ1017">
        <f>IF($AA1017="yes","Yes",IF($AA1017="","","No"))</f>
        <v/>
      </c>
    </row>
    <row r="1018">
      <c r="A1018" t="inlineStr">
        <is>
          <t>three-way</t>
        </is>
      </c>
      <c r="B1018" t="inlineStr">
        <is>
          <t>ORIG_BAL x ASSET_CLASS / REV_DEBT</t>
        </is>
      </c>
      <c r="C1018" t="inlineStr">
        <is>
          <t>26,324 - 37,950</t>
        </is>
      </c>
      <c r="D1018" t="inlineStr">
        <is>
          <t>4 / REV_DEBT low half</t>
        </is>
      </c>
      <c r="E1018" t="inlineStr">
        <is>
          <t>contribution_rate</t>
        </is>
      </c>
      <c r="F1018" t="inlineStr">
        <is>
          <t>Contribution before losses per booked dollar</t>
        </is>
      </c>
      <c r="G1018" t="n">
        <v>206</v>
      </c>
      <c r="H1018" t="n">
        <v>6529496.709999999</v>
      </c>
      <c r="I1018" t="b">
        <v>0</v>
      </c>
      <c r="J1018" t="b">
        <v>0</v>
      </c>
      <c r="K1018" t="n">
        <v>-0.02750384055043087</v>
      </c>
      <c r="L1018" t="n">
        <v>0.00496502073930538</v>
      </c>
      <c r="M1018" t="n">
        <v>-0.02974722069498106</v>
      </c>
      <c r="N1018" t="n">
        <v>0.0008275034565508966</v>
      </c>
      <c r="O1018" t="n">
        <v>179586.236386403</v>
      </c>
      <c r="P1018" t="n">
        <v>194234.3796595228</v>
      </c>
      <c r="Q1018">
        <f>'_live'!$C$24</f>
        <v/>
      </c>
      <c r="R1018" t="inlineStr">
        <is>
          <t>shuffled: 35 of 10,000</t>
        </is>
      </c>
      <c r="S1018" t="inlineStr">
        <is>
          <t>shuffled: 5 of 10,000</t>
        </is>
      </c>
      <c r="T1018" t="n">
        <v>0.1702884488299869</v>
      </c>
      <c r="U1018" t="n">
        <v>0.1725318289745371</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0.1427846082795561</v>
      </c>
      <c r="AI1018">
        <f>IF($Y1018="worse","Yes",IF($Y1018="worse, not significant","Not sure",IF(OR($Y1018="too few losses to test",$Y1018="too few loans to test"),"Too few losses",IF($Y1018="","","No"))))</f>
        <v/>
      </c>
      <c r="AJ1018">
        <f>IF($AA1018="yes","Yes",IF($AA1018="","","No"))</f>
        <v/>
      </c>
    </row>
    <row r="1019">
      <c r="A1019" t="inlineStr">
        <is>
          <t>three-way</t>
        </is>
      </c>
      <c r="B1019" t="inlineStr">
        <is>
          <t>ORIG_BAL x ASSET_CLASS / REV_DEBT</t>
        </is>
      </c>
      <c r="C1019" t="inlineStr">
        <is>
          <t>37,951 - 49,151</t>
        </is>
      </c>
      <c r="D1019" t="inlineStr">
        <is>
          <t>2 / REV_DEBT low half</t>
        </is>
      </c>
      <c r="E1019" t="inlineStr">
        <is>
          <t>outcome_loans</t>
        </is>
      </c>
      <c r="F1019" t="inlineStr">
        <is>
          <t>Outcome, share of loans</t>
        </is>
      </c>
      <c r="G1019" t="n">
        <v>210</v>
      </c>
      <c r="H1019" t="n">
        <v>210</v>
      </c>
      <c r="I1019" t="b">
        <v>1</v>
      </c>
      <c r="J1019" t="b">
        <v>0</v>
      </c>
      <c r="K1019" t="n">
        <v>0.5472365339578454</v>
      </c>
      <c r="M1019" t="n">
        <v>0.4765714285714286</v>
      </c>
      <c r="O1019" t="n">
        <v>-7.44627038130697</v>
      </c>
      <c r="P1019" t="n">
        <v>-9.884892086330936</v>
      </c>
      <c r="Q1019">
        <f>'_live'!$C$20</f>
        <v/>
      </c>
      <c r="T1019" t="n">
        <v>0.07831557324431891</v>
      </c>
      <c r="U1019" t="n">
        <v>0.08992805755395683</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0.04285714285714286</v>
      </c>
      <c r="AI1019">
        <f>IF($Y1019="worse","Yes",IF($Y1019="worse, not significant","Not sure",IF(OR($Y1019="too few losses to test",$Y1019="too few loans to test"),"Too few losses",IF($Y1019="","","No"))))</f>
        <v/>
      </c>
      <c r="AJ1019">
        <f>IF($AA1019="yes","Yes",IF($AA1019="","","No"))</f>
        <v/>
      </c>
    </row>
    <row r="1020">
      <c r="A1020" t="inlineStr">
        <is>
          <t>three-way</t>
        </is>
      </c>
      <c r="B1020" t="inlineStr">
        <is>
          <t>ORIG_BAL x ASSET_CLASS / REV_DEBT</t>
        </is>
      </c>
      <c r="C1020" t="inlineStr">
        <is>
          <t>37,951 - 49,151</t>
        </is>
      </c>
      <c r="D1020" t="inlineStr">
        <is>
          <t>2 / REV_DEBT low half</t>
        </is>
      </c>
      <c r="E1020" t="inlineStr">
        <is>
          <t>outcome_booked</t>
        </is>
      </c>
      <c r="F1020" t="inlineStr">
        <is>
          <t>Outcome, share of booked dollars</t>
        </is>
      </c>
      <c r="G1020" t="n">
        <v>210</v>
      </c>
      <c r="H1020" t="n">
        <v>9172471.350000003</v>
      </c>
      <c r="I1020" t="b">
        <v>1</v>
      </c>
      <c r="J1020" t="b">
        <v>0</v>
      </c>
      <c r="K1020" t="n">
        <v>0.5519014844681163</v>
      </c>
      <c r="M1020" t="n">
        <v>0.4698391019866255</v>
      </c>
      <c r="O1020" t="n">
        <v>-312537.8304902083</v>
      </c>
      <c r="P1020" t="n">
        <v>-434359.3610605316</v>
      </c>
      <c r="Q1020">
        <f>'_live'!$C$21</f>
        <v/>
      </c>
      <c r="T1020" t="n">
        <v>0.07604010782657916</v>
      </c>
      <c r="U1020" t="n">
        <v>0.08932131917321622</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0.04196664838860466</v>
      </c>
      <c r="AI1020">
        <f>IF($Y1020="worse","Yes",IF($Y1020="worse, not significant","Not sure",IF(OR($Y1020="too few losses to test",$Y1020="too few loans to test"),"Too few losses",IF($Y1020="","","No"))))</f>
        <v/>
      </c>
      <c r="AJ1020">
        <f>IF($AA1020="yes","Yes",IF($AA1020="","","No"))</f>
        <v/>
      </c>
    </row>
    <row r="1021">
      <c r="A1021" t="inlineStr">
        <is>
          <t>three-way</t>
        </is>
      </c>
      <c r="B1021" t="inlineStr">
        <is>
          <t>ORIG_BAL x ASSET_CLASS / REV_DEBT</t>
        </is>
      </c>
      <c r="C1021" t="inlineStr">
        <is>
          <t>37,951 - 49,151</t>
        </is>
      </c>
      <c r="D1021" t="inlineStr">
        <is>
          <t>2 / REV_DEBT low half</t>
        </is>
      </c>
      <c r="E1021" t="inlineStr">
        <is>
          <t>gco_rate</t>
        </is>
      </c>
      <c r="F1021" t="inlineStr">
        <is>
          <t>GCO per booked dollar</t>
        </is>
      </c>
      <c r="G1021" t="n">
        <v>210</v>
      </c>
      <c r="H1021" t="n">
        <v>9172471.350000003</v>
      </c>
      <c r="I1021" t="b">
        <v>1</v>
      </c>
      <c r="J1021" t="b">
        <v>0</v>
      </c>
      <c r="K1021" t="n">
        <v>0.5551017492471245</v>
      </c>
      <c r="M1021" t="n">
        <v>0.466533957695476</v>
      </c>
      <c r="O1021" t="n">
        <v>-172511.7866846289</v>
      </c>
      <c r="P1021" t="n">
        <v>-246124.1278522272</v>
      </c>
      <c r="Q1021">
        <f>'_live'!$C$22</f>
        <v/>
      </c>
      <c r="T1021" t="n">
        <v>0.0422738411371139</v>
      </c>
      <c r="U1021" t="n">
        <v>0.05029919639402603</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0.02346628316260698</v>
      </c>
      <c r="AI1021">
        <f>IF($Y1021="worse","Yes",IF($Y1021="worse, not significant","Not sure",IF(OR($Y1021="too few losses to test",$Y1021="too few loans to test"),"Too few losses",IF($Y1021="","","No"))))</f>
        <v/>
      </c>
      <c r="AJ1021">
        <f>IF($AA1021="yes","Yes",IF($AA1021="","","No"))</f>
        <v/>
      </c>
    </row>
    <row r="1022">
      <c r="A1022" t="inlineStr">
        <is>
          <t>three-way</t>
        </is>
      </c>
      <c r="B1022" t="inlineStr">
        <is>
          <t>ORIG_BAL x ASSET_CLASS / REV_DEBT</t>
        </is>
      </c>
      <c r="C1022" t="inlineStr">
        <is>
          <t>37,951 - 49,151</t>
        </is>
      </c>
      <c r="D1022" t="inlineStr">
        <is>
          <t>2 / REV_DEBT low half</t>
        </is>
      </c>
      <c r="E1022" t="inlineStr">
        <is>
          <t>ranr_rate</t>
        </is>
      </c>
      <c r="F1022" t="inlineStr">
        <is>
          <t>Profit after losses: RANR per booked dollar</t>
        </is>
      </c>
      <c r="G1022" t="n">
        <v>210</v>
      </c>
      <c r="H1022" t="n">
        <v>9172471.350000003</v>
      </c>
      <c r="I1022" t="b">
        <v>0</v>
      </c>
      <c r="J1022" t="b">
        <v>0</v>
      </c>
      <c r="K1022" t="n">
        <v>-0.02633721673211488</v>
      </c>
      <c r="L1022" t="n">
        <v>0.2567743225677432</v>
      </c>
      <c r="M1022" t="n">
        <v>-0.0228461760026019</v>
      </c>
      <c r="N1022" t="n">
        <v>0.3445809265227323</v>
      </c>
      <c r="O1022" t="n">
        <v>241577.3659140645</v>
      </c>
      <c r="P1022" t="n">
        <v>209555.8948409236</v>
      </c>
      <c r="Q1022">
        <f>'_live'!$C$23</f>
        <v/>
      </c>
      <c r="R1022" t="inlineStr">
        <is>
          <t>shuffled: 641 of 10,000</t>
        </is>
      </c>
      <c r="S1022" t="inlineStr">
        <is>
          <t>shuffled: 1,119 of 10,000</t>
        </is>
      </c>
      <c r="T1022" t="n">
        <v>0.1289261476858213</v>
      </c>
      <c r="U1022" t="n">
        <v>0.1254351069563083</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0.1025889309537064</v>
      </c>
      <c r="AI1022">
        <f>IF($Y1022="worse","Yes",IF($Y1022="worse, not significant","Not sure",IF(OR($Y1022="too few losses to test",$Y1022="too few loans to test"),"Too few losses",IF($Y1022="","","No"))))</f>
        <v/>
      </c>
      <c r="AJ1022">
        <f>IF($AA1022="yes","Yes",IF($AA1022="","","No"))</f>
        <v/>
      </c>
    </row>
    <row r="1023">
      <c r="A1023" t="inlineStr">
        <is>
          <t>three-way</t>
        </is>
      </c>
      <c r="B1023" t="inlineStr">
        <is>
          <t>ORIG_BAL x ASSET_CLASS / REV_DEBT</t>
        </is>
      </c>
      <c r="C1023" t="inlineStr">
        <is>
          <t>37,951 - 49,151</t>
        </is>
      </c>
      <c r="D1023" t="inlineStr">
        <is>
          <t>2 / REV_DEBT low half</t>
        </is>
      </c>
      <c r="E1023" t="inlineStr">
        <is>
          <t>contribution_rate</t>
        </is>
      </c>
      <c r="F1023" t="inlineStr">
        <is>
          <t>Contribution before losses per booked dollar</t>
        </is>
      </c>
      <c r="G1023" t="n">
        <v>210</v>
      </c>
      <c r="H1023" t="n">
        <v>9172471.350000003</v>
      </c>
      <c r="I1023" t="b">
        <v>0</v>
      </c>
      <c r="J1023" t="b">
        <v>0</v>
      </c>
      <c r="K1023" t="n">
        <v>-0.04514195934954837</v>
      </c>
      <c r="L1023" t="n">
        <v>0.0003076615415381539</v>
      </c>
      <c r="M1023" t="n">
        <v>-0.0496652155543876</v>
      </c>
      <c r="N1023" t="n">
        <v>0.000222200002222</v>
      </c>
      <c r="O1023" t="n">
        <v>414063.3288165973</v>
      </c>
      <c r="P1023" t="n">
        <v>455552.7667641949</v>
      </c>
      <c r="Q1023">
        <f>'_live'!$C$24</f>
        <v/>
      </c>
      <c r="R1023" t="inlineStr">
        <is>
          <t>shuffled: 0 of 10,000</t>
        </is>
      </c>
      <c r="S1023" t="inlineStr">
        <is>
          <t>shuffled: 0 of 10,000</t>
        </is>
      </c>
      <c r="T1023" t="n">
        <v>0.1711971734658617</v>
      </c>
      <c r="U1023" t="n">
        <v>0.175720429670701</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0.1260552141163134</v>
      </c>
      <c r="AI1023">
        <f>IF($Y1023="worse","Yes",IF($Y1023="worse, not significant","Not sure",IF(OR($Y1023="too few losses to test",$Y1023="too few loans to test"),"Too few losses",IF($Y1023="","","No"))))</f>
        <v/>
      </c>
      <c r="AJ1023">
        <f>IF($AA1023="yes","Yes",IF($AA1023="","","No"))</f>
        <v/>
      </c>
    </row>
    <row r="1024">
      <c r="A1024" t="inlineStr">
        <is>
          <t>three-way</t>
        </is>
      </c>
      <c r="B1024" t="inlineStr">
        <is>
          <t>ORIG_BAL x ASSET_CLASS / REV_DEBT</t>
        </is>
      </c>
      <c r="C1024" t="inlineStr">
        <is>
          <t>15,449 - 26,323</t>
        </is>
      </c>
      <c r="D1024" t="inlineStr">
        <is>
          <t>1 / REV_DEBT high half</t>
        </is>
      </c>
      <c r="E1024" t="inlineStr">
        <is>
          <t>outcome_loans</t>
        </is>
      </c>
      <c r="F1024" t="inlineStr">
        <is>
          <t>Outcome, share of loans</t>
        </is>
      </c>
      <c r="G1024" t="n">
        <v>202</v>
      </c>
      <c r="H1024" t="n">
        <v>202</v>
      </c>
      <c r="I1024" t="b">
        <v>0</v>
      </c>
      <c r="J1024" t="b">
        <v>0</v>
      </c>
      <c r="K1024" t="n">
        <v>1.965993713123434</v>
      </c>
      <c r="L1024" t="n">
        <v>0.0007620777327646502</v>
      </c>
      <c r="M1024" t="n">
        <v>1.74473749895998</v>
      </c>
      <c r="N1024" t="n">
        <v>0.01501976977555803</v>
      </c>
      <c r="O1024" t="n">
        <v>14.74054123380787</v>
      </c>
      <c r="P1024" t="n">
        <v>12.80543633762518</v>
      </c>
      <c r="Q1024">
        <f>'_live'!$C$20</f>
        <v/>
      </c>
      <c r="R1024" t="inlineStr">
        <is>
          <t>z test</t>
        </is>
      </c>
      <c r="S1024" t="inlineStr">
        <is>
          <t>z test</t>
        </is>
      </c>
      <c r="T1024" t="n">
        <v>0.07554187508015904</v>
      </c>
      <c r="U1024" t="n">
        <v>0.08512160228898426</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0.1485148514851485</v>
      </c>
      <c r="AI1024">
        <f>IF($Y1024="worse","Yes",IF($Y1024="worse, not significant","Not sure",IF(OR($Y1024="too few losses to test",$Y1024="too few loans to test"),"Too few losses",IF($Y1024="","","No"))))</f>
        <v/>
      </c>
      <c r="AJ1024">
        <f>IF($AA1024="yes","Yes",IF($AA1024="","","No"))</f>
        <v/>
      </c>
    </row>
    <row r="1025">
      <c r="A1025" t="inlineStr">
        <is>
          <t>three-way</t>
        </is>
      </c>
      <c r="B1025" t="inlineStr">
        <is>
          <t>ORIG_BAL x ASSET_CLASS / REV_DEBT</t>
        </is>
      </c>
      <c r="C1025" t="inlineStr">
        <is>
          <t>15,449 - 26,323</t>
        </is>
      </c>
      <c r="D1025" t="inlineStr">
        <is>
          <t>1 / REV_DEBT high half</t>
        </is>
      </c>
      <c r="E1025" t="inlineStr">
        <is>
          <t>outcome_booked</t>
        </is>
      </c>
      <c r="F1025" t="inlineStr">
        <is>
          <t>Outcome, share of booked dollars</t>
        </is>
      </c>
      <c r="G1025" t="n">
        <v>202</v>
      </c>
      <c r="H1025" t="n">
        <v>4197573.82</v>
      </c>
      <c r="I1025" t="b">
        <v>0</v>
      </c>
      <c r="J1025" t="b">
        <v>0</v>
      </c>
      <c r="K1025" t="n">
        <v>2.064956863253734</v>
      </c>
      <c r="L1025" t="n">
        <v>0.002999700029997</v>
      </c>
      <c r="M1025" t="n">
        <v>1.77792901703153</v>
      </c>
      <c r="N1025" t="n">
        <v>0.0127987201279872</v>
      </c>
      <c r="O1025" t="n">
        <v>328806.2662207171</v>
      </c>
      <c r="P1025" t="n">
        <v>278961.7158260409</v>
      </c>
      <c r="Q1025">
        <f>'_live'!$C$21</f>
        <v/>
      </c>
      <c r="R1025" t="inlineStr">
        <is>
          <t>shuffled: 4 of 10,000</t>
        </is>
      </c>
      <c r="S1025" t="inlineStr">
        <is>
          <t>shuffled: 31 of 10,000</t>
        </is>
      </c>
      <c r="T1025" t="n">
        <v>0.07355458105541618</v>
      </c>
      <c r="U1025" t="n">
        <v>0.08542919065898859</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0.1518870369741347</v>
      </c>
      <c r="AI1025">
        <f>IF($Y1025="worse","Yes",IF($Y1025="worse, not significant","Not sure",IF(OR($Y1025="too few losses to test",$Y1025="too few loans to test"),"Too few losses",IF($Y1025="","","No"))))</f>
        <v/>
      </c>
      <c r="AJ1025">
        <f>IF($AA1025="yes","Yes",IF($AA1025="","","No"))</f>
        <v/>
      </c>
    </row>
    <row r="1026">
      <c r="A1026" t="inlineStr">
        <is>
          <t>three-way</t>
        </is>
      </c>
      <c r="B1026" t="inlineStr">
        <is>
          <t>ORIG_BAL x ASSET_CLASS / REV_DEBT</t>
        </is>
      </c>
      <c r="C1026" t="inlineStr">
        <is>
          <t>15,449 - 26,323</t>
        </is>
      </c>
      <c r="D1026" t="inlineStr">
        <is>
          <t>1 / REV_DEBT high half</t>
        </is>
      </c>
      <c r="E1026" t="inlineStr">
        <is>
          <t>gco_rate</t>
        </is>
      </c>
      <c r="F1026" t="inlineStr">
        <is>
          <t>GCO per booked dollar</t>
        </is>
      </c>
      <c r="G1026" t="n">
        <v>202</v>
      </c>
      <c r="H1026" t="n">
        <v>4197573.82</v>
      </c>
      <c r="I1026" t="b">
        <v>0</v>
      </c>
      <c r="J1026" t="b">
        <v>0</v>
      </c>
      <c r="K1026" t="n">
        <v>2.183511779444127</v>
      </c>
      <c r="L1026" t="n">
        <v>0.0023997600239976</v>
      </c>
      <c r="M1026" t="n">
        <v>1.857188224159159</v>
      </c>
      <c r="N1026" t="n">
        <v>0.01007899210078992</v>
      </c>
      <c r="O1026" t="n">
        <v>202785.6139074356</v>
      </c>
      <c r="P1026" t="n">
        <v>172679.3364493743</v>
      </c>
      <c r="Q1026">
        <f>'_live'!$C$22</f>
        <v/>
      </c>
      <c r="R1026" t="inlineStr">
        <is>
          <t>shuffled: 2 of 10,000</t>
        </is>
      </c>
      <c r="S1026" t="inlineStr">
        <is>
          <t>shuffled: 16 of 10,000</t>
        </is>
      </c>
      <c r="T1026" t="n">
        <v>0.04081936219350739</v>
      </c>
      <c r="U1026" t="n">
        <v>0.0479916666601055</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0.08912955817891964</v>
      </c>
      <c r="AI1026">
        <f>IF($Y1026="worse","Yes",IF($Y1026="worse, not significant","Not sure",IF(OR($Y1026="too few losses to test",$Y1026="too few loans to test"),"Too few losses",IF($Y1026="","","No"))))</f>
        <v/>
      </c>
      <c r="AJ1026">
        <f>IF($AA1026="yes","Yes",IF($AA1026="","","No"))</f>
        <v/>
      </c>
    </row>
    <row r="1027">
      <c r="A1027" t="inlineStr">
        <is>
          <t>three-way</t>
        </is>
      </c>
      <c r="B1027" t="inlineStr">
        <is>
          <t>ORIG_BAL x ASSET_CLASS / REV_DEBT</t>
        </is>
      </c>
      <c r="C1027" t="inlineStr">
        <is>
          <t>15,449 - 26,323</t>
        </is>
      </c>
      <c r="D1027" t="inlineStr">
        <is>
          <t>1 / REV_DEBT high half</t>
        </is>
      </c>
      <c r="E1027" t="inlineStr">
        <is>
          <t>ranr_rate</t>
        </is>
      </c>
      <c r="F1027" t="inlineStr">
        <is>
          <t>Profit after losses: RANR per booked dollar</t>
        </is>
      </c>
      <c r="G1027" t="n">
        <v>202</v>
      </c>
      <c r="H1027" t="n">
        <v>4197573.82</v>
      </c>
      <c r="I1027" t="b">
        <v>0</v>
      </c>
      <c r="J1027" t="b">
        <v>0</v>
      </c>
      <c r="K1027" t="n">
        <v>0.002875834112648856</v>
      </c>
      <c r="L1027" t="n">
        <v>0.9556822095568221</v>
      </c>
      <c r="M1027" t="n">
        <v>0.01344910932587783</v>
      </c>
      <c r="N1027" t="n">
        <v>0.6031704521855507</v>
      </c>
      <c r="O1027" t="n">
        <v>-12071.52598191774</v>
      </c>
      <c r="P1027" t="n">
        <v>-56453.62920862262</v>
      </c>
      <c r="Q1027">
        <f>'_live'!$C$23</f>
        <v/>
      </c>
      <c r="R1027" t="inlineStr">
        <is>
          <t>shuffled: 8,451 of 10,000</t>
        </is>
      </c>
      <c r="S1027" t="inlineStr">
        <is>
          <t>shuffled: 3,793 of 10,000</t>
        </is>
      </c>
      <c r="T1027" t="n">
        <v>0.1279432731972971</v>
      </c>
      <c r="U1027" t="n">
        <v>0.1173699979840681</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0.1308191073099459</v>
      </c>
      <c r="AI1027">
        <f>IF($Y1027="worse","Yes",IF($Y1027="worse, not significant","Not sure",IF(OR($Y1027="too few losses to test",$Y1027="too few loans to test"),"Too few losses",IF($Y1027="","","No"))))</f>
        <v/>
      </c>
      <c r="AJ1027">
        <f>IF($AA1027="yes","Yes",IF($AA1027="","","No"))</f>
        <v/>
      </c>
    </row>
    <row r="1028">
      <c r="A1028" t="inlineStr">
        <is>
          <t>three-way</t>
        </is>
      </c>
      <c r="B1028" t="inlineStr">
        <is>
          <t>ORIG_BAL x ASSET_CLASS / REV_DEBT</t>
        </is>
      </c>
      <c r="C1028" t="inlineStr">
        <is>
          <t>15,449 - 26,323</t>
        </is>
      </c>
      <c r="D1028" t="inlineStr">
        <is>
          <t>1 / REV_DEBT high half</t>
        </is>
      </c>
      <c r="E1028" t="inlineStr">
        <is>
          <t>contribution_rate</t>
        </is>
      </c>
      <c r="F1028" t="inlineStr">
        <is>
          <t>Contribution before losses per booked dollar</t>
        </is>
      </c>
      <c r="G1028" t="n">
        <v>202</v>
      </c>
      <c r="H1028" t="n">
        <v>4197573.82</v>
      </c>
      <c r="I1028" t="b">
        <v>0</v>
      </c>
      <c r="J1028" t="b">
        <v>0</v>
      </c>
      <c r="K1028" t="n">
        <v>0.0511889439406718</v>
      </c>
      <c r="L1028" t="n">
        <v>0.0003076615415381539</v>
      </c>
      <c r="M1028" t="n">
        <v>0.05458700084469198</v>
      </c>
      <c r="N1028" t="n">
        <v>0.000222200002222</v>
      </c>
      <c r="O1028" t="n">
        <v>-214869.3709588116</v>
      </c>
      <c r="P1028" t="n">
        <v>-229132.9656579969</v>
      </c>
      <c r="Q1028">
        <f>'_live'!$C$24</f>
        <v/>
      </c>
      <c r="R1028" t="inlineStr">
        <is>
          <t>shuffled: 0 of 10,000</t>
        </is>
      </c>
      <c r="S1028" t="inlineStr">
        <is>
          <t>shuffled: 0 of 10,000</t>
        </is>
      </c>
      <c r="T1028" t="n">
        <v>0.1687597215481938</v>
      </c>
      <c r="U1028" t="n">
        <v>0.1653616646441736</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0.2199486654888656</v>
      </c>
      <c r="AI1028">
        <f>IF($Y1028="worse","Yes",IF($Y1028="worse, not significant","Not sure",IF(OR($Y1028="too few losses to test",$Y1028="too few loans to test"),"Too few losses",IF($Y1028="","","No"))))</f>
        <v/>
      </c>
      <c r="AJ1028">
        <f>IF($AA1028="yes","Yes",IF($AA1028="","","No"))</f>
        <v/>
      </c>
    </row>
    <row r="1029">
      <c r="A1029" t="inlineStr">
        <is>
          <t>three-way</t>
        </is>
      </c>
      <c r="B1029" t="inlineStr">
        <is>
          <t>ORIG_BAL x ASSET_CLASS / REV_DEBT</t>
        </is>
      </c>
      <c r="C1029" t="inlineStr">
        <is>
          <t>26,324 - 37,950</t>
        </is>
      </c>
      <c r="D1029" t="inlineStr">
        <is>
          <t>1 / REV_DEBT low half</t>
        </is>
      </c>
      <c r="E1029" t="inlineStr">
        <is>
          <t>outcome_loans</t>
        </is>
      </c>
      <c r="F1029" t="inlineStr">
        <is>
          <t>Outcome, share of loans</t>
        </is>
      </c>
      <c r="G1029" t="n">
        <v>194</v>
      </c>
      <c r="H1029" t="n">
        <v>194</v>
      </c>
      <c r="I1029" t="b">
        <v>1</v>
      </c>
      <c r="J1029" t="b">
        <v>0</v>
      </c>
      <c r="K1029" t="n">
        <v>0.460169462974193</v>
      </c>
      <c r="M1029" t="n">
        <v>0.4918426583925533</v>
      </c>
      <c r="O1029" t="n">
        <v>-8.211787315823191</v>
      </c>
      <c r="P1029" t="n">
        <v>-7.23219373219373</v>
      </c>
      <c r="Q1029">
        <f>'_live'!$C$20</f>
        <v/>
      </c>
      <c r="T1029" t="n">
        <v>0.07841127482383088</v>
      </c>
      <c r="U1029" t="n">
        <v>0.07336182336182336</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0.03608247422680412</v>
      </c>
      <c r="AI1029">
        <f>IF($Y1029="worse","Yes",IF($Y1029="worse, not significant","Not sure",IF(OR($Y1029="too few losses to test",$Y1029="too few loans to test"),"Too few losses",IF($Y1029="","","No"))))</f>
        <v/>
      </c>
      <c r="AJ1029">
        <f>IF($AA1029="yes","Yes",IF($AA1029="","","No"))</f>
        <v/>
      </c>
    </row>
    <row r="1030">
      <c r="A1030" t="inlineStr">
        <is>
          <t>three-way</t>
        </is>
      </c>
      <c r="B1030" t="inlineStr">
        <is>
          <t>ORIG_BAL x ASSET_CLASS / REV_DEBT</t>
        </is>
      </c>
      <c r="C1030" t="inlineStr">
        <is>
          <t>26,324 - 37,950</t>
        </is>
      </c>
      <c r="D1030" t="inlineStr">
        <is>
          <t>1 / REV_DEBT low half</t>
        </is>
      </c>
      <c r="E1030" t="inlineStr">
        <is>
          <t>outcome_booked</t>
        </is>
      </c>
      <c r="F1030" t="inlineStr">
        <is>
          <t>Outcome, share of booked dollars</t>
        </is>
      </c>
      <c r="G1030" t="n">
        <v>194</v>
      </c>
      <c r="H1030" t="n">
        <v>6220684.429999999</v>
      </c>
      <c r="I1030" t="b">
        <v>1</v>
      </c>
      <c r="J1030" t="b">
        <v>0</v>
      </c>
      <c r="K1030" t="n">
        <v>0.4590622091214719</v>
      </c>
      <c r="M1030" t="n">
        <v>0.4779016226873429</v>
      </c>
      <c r="O1030" t="n">
        <v>-255126.5088668778</v>
      </c>
      <c r="P1030" t="n">
        <v>-236534.0367894598</v>
      </c>
      <c r="Q1030">
        <f>'_live'!$C$21</f>
        <v/>
      </c>
      <c r="T1030" t="n">
        <v>0.07581761045333686</v>
      </c>
      <c r="U1030" t="n">
        <v>0.07282879591264846</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0.03480499974502002</v>
      </c>
      <c r="AI1030">
        <f>IF($Y1030="worse","Yes",IF($Y1030="worse, not significant","Not sure",IF(OR($Y1030="too few losses to test",$Y1030="too few loans to test"),"Too few losses",IF($Y1030="","","No"))))</f>
        <v/>
      </c>
      <c r="AJ1030">
        <f>IF($AA1030="yes","Yes",IF($AA1030="","","No"))</f>
        <v/>
      </c>
    </row>
    <row r="1031">
      <c r="A1031" t="inlineStr">
        <is>
          <t>three-way</t>
        </is>
      </c>
      <c r="B1031" t="inlineStr">
        <is>
          <t>ORIG_BAL x ASSET_CLASS / REV_DEBT</t>
        </is>
      </c>
      <c r="C1031" t="inlineStr">
        <is>
          <t>26,324 - 37,950</t>
        </is>
      </c>
      <c r="D1031" t="inlineStr">
        <is>
          <t>1 / REV_DEBT low half</t>
        </is>
      </c>
      <c r="E1031" t="inlineStr">
        <is>
          <t>gco_rate</t>
        </is>
      </c>
      <c r="F1031" t="inlineStr">
        <is>
          <t>GCO per booked dollar</t>
        </is>
      </c>
      <c r="G1031" t="n">
        <v>194</v>
      </c>
      <c r="H1031" t="n">
        <v>6220684.429999999</v>
      </c>
      <c r="I1031" t="b">
        <v>1</v>
      </c>
      <c r="J1031" t="b">
        <v>0</v>
      </c>
      <c r="K1031" t="n">
        <v>0.5421909261310787</v>
      </c>
      <c r="M1031" t="n">
        <v>0.5779256477964014</v>
      </c>
      <c r="O1031" t="n">
        <v>-119809.3900303741</v>
      </c>
      <c r="P1031" t="n">
        <v>-103627.6620540347</v>
      </c>
      <c r="Q1031">
        <f>'_live'!$C$22</f>
        <v/>
      </c>
      <c r="T1031" t="n">
        <v>0.0420695910514744</v>
      </c>
      <c r="U1031" t="n">
        <v>0.03946831330488094</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0.02280975053415465</v>
      </c>
      <c r="AI1031">
        <f>IF($Y1031="worse","Yes",IF($Y1031="worse, not significant","Not sure",IF(OR($Y1031="too few losses to test",$Y1031="too few loans to test"),"Too few losses",IF($Y1031="","","No"))))</f>
        <v/>
      </c>
      <c r="AJ1031">
        <f>IF($AA1031="yes","Yes",IF($AA1031="","","No"))</f>
        <v/>
      </c>
    </row>
    <row r="1032">
      <c r="A1032" t="inlineStr">
        <is>
          <t>three-way</t>
        </is>
      </c>
      <c r="B1032" t="inlineStr">
        <is>
          <t>ORIG_BAL x ASSET_CLASS / REV_DEBT</t>
        </is>
      </c>
      <c r="C1032" t="inlineStr">
        <is>
          <t>26,324 - 37,950</t>
        </is>
      </c>
      <c r="D1032" t="inlineStr">
        <is>
          <t>1 / REV_DEBT low half</t>
        </is>
      </c>
      <c r="E1032" t="inlineStr">
        <is>
          <t>ranr_rate</t>
        </is>
      </c>
      <c r="F1032" t="inlineStr">
        <is>
          <t>Profit after losses: RANR per booked dollar</t>
        </is>
      </c>
      <c r="G1032" t="n">
        <v>194</v>
      </c>
      <c r="H1032" t="n">
        <v>6220684.429999999</v>
      </c>
      <c r="I1032" t="b">
        <v>0</v>
      </c>
      <c r="J1032" t="b">
        <v>0</v>
      </c>
      <c r="K1032" t="n">
        <v>-0.01412198070526072</v>
      </c>
      <c r="L1032" t="n">
        <v>0.5594440555944405</v>
      </c>
      <c r="M1032" t="n">
        <v>-0.01944616916045686</v>
      </c>
      <c r="N1032" t="n">
        <v>0.370080638994924</v>
      </c>
      <c r="O1032" t="n">
        <v>87848.38549397571</v>
      </c>
      <c r="P1032" t="n">
        <v>120968.4817196</v>
      </c>
      <c r="Q1032">
        <f>'_live'!$C$23</f>
        <v/>
      </c>
      <c r="R1032" t="inlineStr">
        <is>
          <t>shuffled: 3,356 of 10,000</t>
        </is>
      </c>
      <c r="S1032" t="inlineStr">
        <is>
          <t>shuffled: 1,548 of 10,000</t>
        </is>
      </c>
      <c r="T1032" t="n">
        <v>0.1283304569580901</v>
      </c>
      <c r="U1032" t="n">
        <v>0.1336546454132862</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0.1142084762528293</v>
      </c>
      <c r="AI1032">
        <f>IF($Y1032="worse","Yes",IF($Y1032="worse, not significant","Not sure",IF(OR($Y1032="too few losses to test",$Y1032="too few loans to test"),"Too few losses",IF($Y1032="","","No"))))</f>
        <v/>
      </c>
      <c r="AJ1032">
        <f>IF($AA1032="yes","Yes",IF($AA1032="","","No"))</f>
        <v/>
      </c>
    </row>
    <row r="1033">
      <c r="A1033" t="inlineStr">
        <is>
          <t>three-way</t>
        </is>
      </c>
      <c r="B1033" t="inlineStr">
        <is>
          <t>ORIG_BAL x ASSET_CLASS / REV_DEBT</t>
        </is>
      </c>
      <c r="C1033" t="inlineStr">
        <is>
          <t>26,324 - 37,950</t>
        </is>
      </c>
      <c r="D1033" t="inlineStr">
        <is>
          <t>1 / REV_DEBT low half</t>
        </is>
      </c>
      <c r="E1033" t="inlineStr">
        <is>
          <t>contribution_rate</t>
        </is>
      </c>
      <c r="F1033" t="inlineStr">
        <is>
          <t>Contribution before losses per booked dollar</t>
        </is>
      </c>
      <c r="G1033" t="n">
        <v>194</v>
      </c>
      <c r="H1033" t="n">
        <v>6220684.429999999</v>
      </c>
      <c r="I1033" t="b">
        <v>0</v>
      </c>
      <c r="J1033" t="b">
        <v>0</v>
      </c>
      <c r="K1033" t="n">
        <v>-0.0333789449885368</v>
      </c>
      <c r="L1033" t="n">
        <v>0.002181600021816</v>
      </c>
      <c r="M1033" t="n">
        <v>-0.0361047319311831</v>
      </c>
      <c r="N1033" t="n">
        <v>0.0006153230830763077</v>
      </c>
      <c r="O1033" t="n">
        <v>207639.8833800174</v>
      </c>
      <c r="P1033" t="n">
        <v>224596.1437736346</v>
      </c>
      <c r="Q1033">
        <f>'_live'!$C$24</f>
        <v/>
      </c>
      <c r="R1033" t="inlineStr">
        <is>
          <t>shuffled: 9 of 10,000</t>
        </is>
      </c>
      <c r="S1033" t="inlineStr">
        <is>
          <t>shuffled: 3 of 10,000</t>
        </is>
      </c>
      <c r="T1033" t="n">
        <v>0.1703971717755208</v>
      </c>
      <c r="U1033" t="n">
        <v>0.1731229587181671</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0.137018226786984</v>
      </c>
      <c r="AI1033">
        <f>IF($Y1033="worse","Yes",IF($Y1033="worse, not significant","Not sure",IF(OR($Y1033="too few losses to test",$Y1033="too few loans to test"),"Too few losses",IF($Y1033="","","No"))))</f>
        <v/>
      </c>
      <c r="AJ1033">
        <f>IF($AA1033="yes","Yes",IF($AA1033="","","No"))</f>
        <v/>
      </c>
    </row>
    <row r="1034">
      <c r="A1034" t="inlineStr">
        <is>
          <t>three-way</t>
        </is>
      </c>
      <c r="B1034" t="inlineStr">
        <is>
          <t>ORIG_BAL x ASSET_CLASS / REV_DEBT</t>
        </is>
      </c>
      <c r="C1034" t="inlineStr">
        <is>
          <t>15,449 - 26,323</t>
        </is>
      </c>
      <c r="D1034" t="inlineStr">
        <is>
          <t>4 / REV_DEBT low half</t>
        </is>
      </c>
      <c r="E1034" t="inlineStr">
        <is>
          <t>outcome_loans</t>
        </is>
      </c>
      <c r="F1034" t="inlineStr">
        <is>
          <t>Outcome, share of loans</t>
        </is>
      </c>
      <c r="G1034" t="n">
        <v>207</v>
      </c>
      <c r="H1034" t="n">
        <v>207</v>
      </c>
      <c r="I1034" t="b">
        <v>0</v>
      </c>
      <c r="J1034" t="b">
        <v>0</v>
      </c>
      <c r="K1034" t="n">
        <v>0.8710663951770671</v>
      </c>
      <c r="L1034" t="n">
        <v>0.8896135182978477</v>
      </c>
      <c r="M1034" t="n">
        <v>0.697870817677581</v>
      </c>
      <c r="N1034" t="n">
        <v>0.3811378412389527</v>
      </c>
      <c r="O1034" t="n">
        <v>-2.072253593429156</v>
      </c>
      <c r="P1034" t="n">
        <v>-6.061019382627421</v>
      </c>
      <c r="Q1034">
        <f>'_live'!$C$20</f>
        <v/>
      </c>
      <c r="R1034" t="inlineStr">
        <is>
          <t>z test</t>
        </is>
      </c>
      <c r="S1034" t="inlineStr">
        <is>
          <t>z test</t>
        </is>
      </c>
      <c r="T1034" t="n">
        <v>0.07764373716632443</v>
      </c>
      <c r="U1034" t="n">
        <v>0.09691313711414214</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0.06763285024154589</v>
      </c>
      <c r="AI1034">
        <f>IF($Y1034="worse","Yes",IF($Y1034="worse, not significant","Not sure",IF(OR($Y1034="too few losses to test",$Y1034="too few loans to test"),"Too few losses",IF($Y1034="","","No"))))</f>
        <v/>
      </c>
      <c r="AJ1034">
        <f>IF($AA1034="yes","Yes",IF($AA1034="","","No"))</f>
        <v/>
      </c>
    </row>
    <row r="1035">
      <c r="A1035" t="inlineStr">
        <is>
          <t>three-way</t>
        </is>
      </c>
      <c r="B1035" t="inlineStr">
        <is>
          <t>ORIG_BAL x ASSET_CLASS / REV_DEBT</t>
        </is>
      </c>
      <c r="C1035" t="inlineStr">
        <is>
          <t>15,449 - 26,323</t>
        </is>
      </c>
      <c r="D1035" t="inlineStr">
        <is>
          <t>4 / REV_DEBT low half</t>
        </is>
      </c>
      <c r="E1035" t="inlineStr">
        <is>
          <t>outcome_booked</t>
        </is>
      </c>
      <c r="F1035" t="inlineStr">
        <is>
          <t>Outcome, share of booked dollars</t>
        </is>
      </c>
      <c r="G1035" t="n">
        <v>207</v>
      </c>
      <c r="H1035" t="n">
        <v>4342822.780000002</v>
      </c>
      <c r="I1035" t="b">
        <v>0</v>
      </c>
      <c r="J1035" t="b">
        <v>0</v>
      </c>
      <c r="K1035" t="n">
        <v>0.9357457661440073</v>
      </c>
      <c r="L1035" t="n">
        <v>0.8376162383761624</v>
      </c>
      <c r="M1035" t="n">
        <v>0.7202901901859122</v>
      </c>
      <c r="N1035" t="n">
        <v>0.4168198564758909</v>
      </c>
      <c r="O1035" t="n">
        <v>-20903.20846318163</v>
      </c>
      <c r="P1035" t="n">
        <v>-118214.0974561585</v>
      </c>
      <c r="Q1035">
        <f>'_live'!$C$21</f>
        <v/>
      </c>
      <c r="R1035" t="inlineStr">
        <is>
          <t>shuffled: 8,124 of 10,000</t>
        </is>
      </c>
      <c r="S1035" t="inlineStr">
        <is>
          <t>shuffled: 2,184 of 10,000</t>
        </is>
      </c>
      <c r="T1035" t="n">
        <v>0.07490987888370189</v>
      </c>
      <c r="U1035" t="n">
        <v>0.0973171687784502</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0.07009660200778442</v>
      </c>
      <c r="AI1035">
        <f>IF($Y1035="worse","Yes",IF($Y1035="worse, not significant","Not sure",IF(OR($Y1035="too few losses to test",$Y1035="too few loans to test"),"Too few losses",IF($Y1035="","","No"))))</f>
        <v/>
      </c>
      <c r="AJ1035">
        <f>IF($AA1035="yes","Yes",IF($AA1035="","","No"))</f>
        <v/>
      </c>
    </row>
    <row r="1036">
      <c r="A1036" t="inlineStr">
        <is>
          <t>three-way</t>
        </is>
      </c>
      <c r="B1036" t="inlineStr">
        <is>
          <t>ORIG_BAL x ASSET_CLASS / REV_DEBT</t>
        </is>
      </c>
      <c r="C1036" t="inlineStr">
        <is>
          <t>15,449 - 26,323</t>
        </is>
      </c>
      <c r="D1036" t="inlineStr">
        <is>
          <t>4 / REV_DEBT low half</t>
        </is>
      </c>
      <c r="E1036" t="inlineStr">
        <is>
          <t>gco_rate</t>
        </is>
      </c>
      <c r="F1036" t="inlineStr">
        <is>
          <t>GCO per booked dollar</t>
        </is>
      </c>
      <c r="G1036" t="n">
        <v>207</v>
      </c>
      <c r="H1036" t="n">
        <v>4342822.780000002</v>
      </c>
      <c r="I1036" t="b">
        <v>0</v>
      </c>
      <c r="J1036" t="b">
        <v>0</v>
      </c>
      <c r="K1036" t="n">
        <v>0.9163618073782707</v>
      </c>
      <c r="L1036" t="n">
        <v>0.8773979744882654</v>
      </c>
      <c r="M1036" t="n">
        <v>0.6891750116179141</v>
      </c>
      <c r="N1036" t="n">
        <v>0.3611638836116388</v>
      </c>
      <c r="O1036" t="n">
        <v>-15133.41102010262</v>
      </c>
      <c r="P1036" t="n">
        <v>-74780.01917749058</v>
      </c>
      <c r="Q1036">
        <f>'_live'!$C$22</f>
        <v/>
      </c>
      <c r="R1036" t="inlineStr">
        <is>
          <t>shuffled: 7,677 of 10,000</t>
        </is>
      </c>
      <c r="S1036" t="inlineStr">
        <is>
          <t>shuffled: 1,805 of 10,000</t>
        </is>
      </c>
      <c r="T1036" t="n">
        <v>0.04166391542693863</v>
      </c>
      <c r="U1036" t="n">
        <v>0.05539844045339802</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0.0381792208430849</v>
      </c>
      <c r="AI1036">
        <f>IF($Y1036="worse","Yes",IF($Y1036="worse, not significant","Not sure",IF(OR($Y1036="too few losses to test",$Y1036="too few loans to test"),"Too few losses",IF($Y1036="","","No"))))</f>
        <v/>
      </c>
      <c r="AJ1036">
        <f>IF($AA1036="yes","Yes",IF($AA1036="","","No"))</f>
        <v/>
      </c>
    </row>
    <row r="1037">
      <c r="A1037" t="inlineStr">
        <is>
          <t>three-way</t>
        </is>
      </c>
      <c r="B1037" t="inlineStr">
        <is>
          <t>ORIG_BAL x ASSET_CLASS / REV_DEBT</t>
        </is>
      </c>
      <c r="C1037" t="inlineStr">
        <is>
          <t>15,449 - 26,323</t>
        </is>
      </c>
      <c r="D1037" t="inlineStr">
        <is>
          <t>4 / REV_DEBT low half</t>
        </is>
      </c>
      <c r="E1037" t="inlineStr">
        <is>
          <t>ranr_rate</t>
        </is>
      </c>
      <c r="F1037" t="inlineStr">
        <is>
          <t>Profit after losses: RANR per booked dollar</t>
        </is>
      </c>
      <c r="G1037" t="n">
        <v>207</v>
      </c>
      <c r="H1037" t="n">
        <v>4342822.780000002</v>
      </c>
      <c r="I1037" t="b">
        <v>0</v>
      </c>
      <c r="J1037" t="b">
        <v>0</v>
      </c>
      <c r="K1037" t="n">
        <v>-0.02822634537626754</v>
      </c>
      <c r="L1037" t="n">
        <v>0.240864802408648</v>
      </c>
      <c r="M1037" t="n">
        <v>-0.02163301902833467</v>
      </c>
      <c r="N1037" t="n">
        <v>0.370080638994924</v>
      </c>
      <c r="O1037" t="n">
        <v>122582.0156962024</v>
      </c>
      <c r="P1037" t="n">
        <v>93948.36783642531</v>
      </c>
      <c r="Q1037">
        <f>'_live'!$C$23</f>
        <v/>
      </c>
      <c r="R1037" t="inlineStr">
        <is>
          <t>shuffled: 447 of 10,000</t>
        </is>
      </c>
      <c r="S1037" t="inlineStr">
        <is>
          <t>shuffled: 1,572 of 10,000</t>
        </is>
      </c>
      <c r="T1037" t="n">
        <v>0.1284650477255262</v>
      </c>
      <c r="U1037" t="n">
        <v>0.1218717213775933</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0.1002387023492586</v>
      </c>
      <c r="AI1037">
        <f>IF($Y1037="worse","Yes",IF($Y1037="worse, not significant","Not sure",IF(OR($Y1037="too few losses to test",$Y1037="too few loans to test"),"Too few losses",IF($Y1037="","","No"))))</f>
        <v/>
      </c>
      <c r="AJ1037">
        <f>IF($AA1037="yes","Yes",IF($AA1037="","","No"))</f>
        <v/>
      </c>
    </row>
    <row r="1038">
      <c r="A1038" t="inlineStr">
        <is>
          <t>three-way</t>
        </is>
      </c>
      <c r="B1038" t="inlineStr">
        <is>
          <t>ORIG_BAL x ASSET_CLASS / REV_DEBT</t>
        </is>
      </c>
      <c r="C1038" t="inlineStr">
        <is>
          <t>15,449 - 26,323</t>
        </is>
      </c>
      <c r="D1038" t="inlineStr">
        <is>
          <t>4 / REV_DEBT low half</t>
        </is>
      </c>
      <c r="E1038" t="inlineStr">
        <is>
          <t>contribution_rate</t>
        </is>
      </c>
      <c r="F1038" t="inlineStr">
        <is>
          <t>Contribution before losses per booked dollar</t>
        </is>
      </c>
      <c r="G1038" t="n">
        <v>207</v>
      </c>
      <c r="H1038" t="n">
        <v>4342822.780000002</v>
      </c>
      <c r="I1038" t="b">
        <v>0</v>
      </c>
      <c r="J1038" t="b">
        <v>0</v>
      </c>
      <c r="K1038" t="n">
        <v>-0.03170820607106356</v>
      </c>
      <c r="L1038" t="n">
        <v>0.002181600021816</v>
      </c>
      <c r="M1038" t="n">
        <v>-0.03885223863864781</v>
      </c>
      <c r="N1038" t="n">
        <v>0.000222200002222</v>
      </c>
      <c r="O1038" t="n">
        <v>137703.1196383492</v>
      </c>
      <c r="P1038" t="n">
        <v>168728.3870139159</v>
      </c>
      <c r="Q1038">
        <f>'_live'!$C$24</f>
        <v/>
      </c>
      <c r="R1038" t="inlineStr">
        <is>
          <t>shuffled: 10 of 10,000</t>
        </is>
      </c>
      <c r="S1038" t="inlineStr">
        <is>
          <t>shuffled: 0 of 10,000</t>
        </is>
      </c>
      <c r="T1038" t="n">
        <v>0.1701261292634071</v>
      </c>
      <c r="U1038" t="n">
        <v>0.1772701618309913</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0.1384179231923435</v>
      </c>
      <c r="AI1038">
        <f>IF($Y1038="worse","Yes",IF($Y1038="worse, not significant","Not sure",IF(OR($Y1038="too few losses to test",$Y1038="too few loans to test"),"Too few losses",IF($Y1038="","","No"))))</f>
        <v/>
      </c>
      <c r="AJ1038">
        <f>IF($AA1038="yes","Yes",IF($AA1038="","","No"))</f>
        <v/>
      </c>
    </row>
    <row r="1039">
      <c r="A1039" t="inlineStr">
        <is>
          <t>three-way</t>
        </is>
      </c>
      <c r="B1039" t="inlineStr">
        <is>
          <t>ORIG_BAL x ASSET_CLASS / REV_DEBT</t>
        </is>
      </c>
      <c r="C1039" t="inlineStr">
        <is>
          <t>5,005 - 15,448</t>
        </is>
      </c>
      <c r="D1039" t="inlineStr">
        <is>
          <t>1 / REV_DEBT low half</t>
        </is>
      </c>
      <c r="E1039" t="inlineStr">
        <is>
          <t>outcome_loans</t>
        </is>
      </c>
      <c r="F1039" t="inlineStr">
        <is>
          <t>Outcome, share of loans</t>
        </is>
      </c>
      <c r="G1039" t="n">
        <v>209</v>
      </c>
      <c r="H1039" t="n">
        <v>209</v>
      </c>
      <c r="I1039" t="b">
        <v>1</v>
      </c>
      <c r="J1039" t="b">
        <v>0</v>
      </c>
      <c r="K1039" t="n">
        <v>0.3648227791784073</v>
      </c>
      <c r="M1039" t="n">
        <v>0.3413078149920256</v>
      </c>
      <c r="O1039" t="n">
        <v>-10.44634146341463</v>
      </c>
      <c r="P1039" t="n">
        <v>-11.57943925233645</v>
      </c>
      <c r="Q1039">
        <f>'_live'!$C$20</f>
        <v/>
      </c>
      <c r="T1039" t="n">
        <v>0.07869062901155327</v>
      </c>
      <c r="U1039" t="n">
        <v>0.08411214953271028</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0.02870813397129187</v>
      </c>
      <c r="AI1039">
        <f>IF($Y1039="worse","Yes",IF($Y1039="worse, not significant","Not sure",IF(OR($Y1039="too few losses to test",$Y1039="too few loans to test"),"Too few losses",IF($Y1039="","","No"))))</f>
        <v/>
      </c>
      <c r="AJ1039">
        <f>IF($AA1039="yes","Yes",IF($AA1039="","","No"))</f>
        <v/>
      </c>
    </row>
    <row r="1040">
      <c r="A1040" t="inlineStr">
        <is>
          <t>three-way</t>
        </is>
      </c>
      <c r="B1040" t="inlineStr">
        <is>
          <t>ORIG_BAL x ASSET_CLASS / REV_DEBT</t>
        </is>
      </c>
      <c r="C1040" t="inlineStr">
        <is>
          <t>5,005 - 15,448</t>
        </is>
      </c>
      <c r="D1040" t="inlineStr">
        <is>
          <t>1 / REV_DEBT low half</t>
        </is>
      </c>
      <c r="E1040" t="inlineStr">
        <is>
          <t>outcome_booked</t>
        </is>
      </c>
      <c r="F1040" t="inlineStr">
        <is>
          <t>Outcome, share of booked dollars</t>
        </is>
      </c>
      <c r="G1040" t="n">
        <v>209</v>
      </c>
      <c r="H1040" t="n">
        <v>2099836.090000002</v>
      </c>
      <c r="I1040" t="b">
        <v>1</v>
      </c>
      <c r="J1040" t="b">
        <v>0</v>
      </c>
      <c r="K1040" t="n">
        <v>0.3925802865243365</v>
      </c>
      <c r="M1040" t="n">
        <v>0.35820732197</v>
      </c>
      <c r="O1040" t="n">
        <v>-95916.99239862138</v>
      </c>
      <c r="P1040" t="n">
        <v>-111069.6636577418</v>
      </c>
      <c r="Q1040">
        <f>'_live'!$C$21</f>
        <v/>
      </c>
      <c r="T1040" t="n">
        <v>0.07520059453717708</v>
      </c>
      <c r="U1040" t="n">
        <v>0.0824167155150389</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H1040" t="n">
        <v>0.02952227095020543</v>
      </c>
      <c r="AI1040">
        <f>IF($Y1040="worse","Yes",IF($Y1040="worse, not significant","Not sure",IF(OR($Y1040="too few losses to test",$Y1040="too few loans to test"),"Too few losses",IF($Y1040="","","No"))))</f>
        <v/>
      </c>
      <c r="AJ1040">
        <f>IF($AA1040="yes","Yes",IF($AA1040="","","No"))</f>
        <v/>
      </c>
    </row>
    <row r="1041">
      <c r="A1041" t="inlineStr">
        <is>
          <t>three-way</t>
        </is>
      </c>
      <c r="B1041" t="inlineStr">
        <is>
          <t>ORIG_BAL x ASSET_CLASS / REV_DEBT</t>
        </is>
      </c>
      <c r="C1041" t="inlineStr">
        <is>
          <t>5,005 - 15,448</t>
        </is>
      </c>
      <c r="D1041" t="inlineStr">
        <is>
          <t>1 / REV_DEBT low half</t>
        </is>
      </c>
      <c r="E1041" t="inlineStr">
        <is>
          <t>gco_rate</t>
        </is>
      </c>
      <c r="F1041" t="inlineStr">
        <is>
          <t>GCO per booked dollar</t>
        </is>
      </c>
      <c r="G1041" t="n">
        <v>209</v>
      </c>
      <c r="H1041" t="n">
        <v>2099836.090000002</v>
      </c>
      <c r="I1041" t="b">
        <v>1</v>
      </c>
      <c r="J1041" t="b">
        <v>0</v>
      </c>
      <c r="K1041" t="n">
        <v>0.3925646530572005</v>
      </c>
      <c r="M1041" t="n">
        <v>0.3638689043375299</v>
      </c>
      <c r="O1041" t="n">
        <v>-53331.76114559639</v>
      </c>
      <c r="P1041" t="n">
        <v>-60255.78384406665</v>
      </c>
      <c r="Q1041">
        <f>'_live'!$C$22</f>
        <v/>
      </c>
      <c r="T1041" t="n">
        <v>0.04181195454431699</v>
      </c>
      <c r="U1041" t="n">
        <v>0.0451093655810376</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H1041" t="n">
        <v>0.01641389542933323</v>
      </c>
      <c r="AI1041">
        <f>IF($Y1041="worse","Yes",IF($Y1041="worse, not significant","Not sure",IF(OR($Y1041="too few losses to test",$Y1041="too few loans to test"),"Too few losses",IF($Y1041="","","No"))))</f>
        <v/>
      </c>
      <c r="AJ1041">
        <f>IF($AA1041="yes","Yes",IF($AA1041="","","No"))</f>
        <v/>
      </c>
    </row>
    <row r="1042">
      <c r="A1042" t="inlineStr">
        <is>
          <t>three-way</t>
        </is>
      </c>
      <c r="B1042" t="inlineStr">
        <is>
          <t>ORIG_BAL x ASSET_CLASS / REV_DEBT</t>
        </is>
      </c>
      <c r="C1042" t="inlineStr">
        <is>
          <t>5,005 - 15,448</t>
        </is>
      </c>
      <c r="D1042" t="inlineStr">
        <is>
          <t>1 / REV_DEBT low half</t>
        </is>
      </c>
      <c r="E1042" t="inlineStr">
        <is>
          <t>ranr_rate</t>
        </is>
      </c>
      <c r="F1042" t="inlineStr">
        <is>
          <t>Profit after losses: RANR per booked dollar</t>
        </is>
      </c>
      <c r="G1042" t="n">
        <v>209</v>
      </c>
      <c r="H1042" t="n">
        <v>2099836.090000002</v>
      </c>
      <c r="I1042" t="b">
        <v>0</v>
      </c>
      <c r="J1042" t="b">
        <v>0</v>
      </c>
      <c r="K1042" t="n">
        <v>0.01862246529939485</v>
      </c>
      <c r="L1042" t="n">
        <v>0.41662500416625</v>
      </c>
      <c r="M1042" t="n">
        <v>-0.0002514320795564684</v>
      </c>
      <c r="N1042" t="n">
        <v>0.9863013698630138</v>
      </c>
      <c r="O1042" t="n">
        <v>-39104.12472044199</v>
      </c>
      <c r="P1042" t="n">
        <v>527.9661548364093</v>
      </c>
      <c r="Q1042">
        <f>'_live'!$C$23</f>
        <v/>
      </c>
      <c r="R1042" t="inlineStr">
        <is>
          <t>shuffled: 1,874 of 10,000</t>
        </is>
      </c>
      <c r="S1042" t="inlineStr">
        <is>
          <t>shuffled: 9,863 of 10,000</t>
        </is>
      </c>
      <c r="T1042" t="n">
        <v>0.1278385234723525</v>
      </c>
      <c r="U1042" t="n">
        <v>0.1467124208513038</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H1042" t="n">
        <v>0.1464609887717473</v>
      </c>
      <c r="AI1042">
        <f>IF($Y1042="worse","Yes",IF($Y1042="worse, not significant","Not sure",IF(OR($Y1042="too few losses to test",$Y1042="too few loans to test"),"Too few losses",IF($Y1042="","","No"))))</f>
        <v/>
      </c>
      <c r="AJ1042">
        <f>IF($AA1042="yes","Yes",IF($AA1042="","","No"))</f>
        <v/>
      </c>
    </row>
    <row r="1043">
      <c r="A1043" t="inlineStr">
        <is>
          <t>three-way</t>
        </is>
      </c>
      <c r="B1043" t="inlineStr">
        <is>
          <t>ORIG_BAL x ASSET_CLASS / REV_DEBT</t>
        </is>
      </c>
      <c r="C1043" t="inlineStr">
        <is>
          <t>5,005 - 15,448</t>
        </is>
      </c>
      <c r="D1043" t="inlineStr">
        <is>
          <t>1 / REV_DEBT low half</t>
        </is>
      </c>
      <c r="E1043" t="inlineStr">
        <is>
          <t>contribution_rate</t>
        </is>
      </c>
      <c r="F1043" t="inlineStr">
        <is>
          <t>Contribution before losses per booked dollar</t>
        </is>
      </c>
      <c r="G1043" t="n">
        <v>209</v>
      </c>
      <c r="H1043" t="n">
        <v>2099836.090000002</v>
      </c>
      <c r="I1043" t="b">
        <v>0</v>
      </c>
      <c r="J1043" t="b">
        <v>0</v>
      </c>
      <c r="K1043" t="n">
        <v>-0.006772687613945089</v>
      </c>
      <c r="L1043" t="n">
        <v>0.4827209586733635</v>
      </c>
      <c r="M1043" t="n">
        <v>-0.02894690223126076</v>
      </c>
      <c r="N1043" t="n">
        <v>0.001999800019998</v>
      </c>
      <c r="O1043" t="n">
        <v>14221.5338780579</v>
      </c>
      <c r="P1043" t="n">
        <v>60783.7499989029</v>
      </c>
      <c r="Q1043">
        <f>'_live'!$C$24</f>
        <v/>
      </c>
      <c r="R1043" t="inlineStr">
        <is>
          <t>shuffled: 4,706 of 10,000</t>
        </is>
      </c>
      <c r="S1043" t="inlineStr">
        <is>
          <t>shuffled: 16 of 10,000</t>
        </is>
      </c>
      <c r="T1043" t="n">
        <v>0.1696475718150257</v>
      </c>
      <c r="U1043" t="n">
        <v>0.1918217864323414</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H1043" t="n">
        <v>0.1628748842010806</v>
      </c>
      <c r="AI1043">
        <f>IF($Y1043="worse","Yes",IF($Y1043="worse, not significant","Not sure",IF(OR($Y1043="too few losses to test",$Y1043="too few loans to test"),"Too few losses",IF($Y1043="","","No"))))</f>
        <v/>
      </c>
      <c r="AJ1043">
        <f>IF($AA1043="yes","Yes",IF($AA1043="","","No"))</f>
        <v/>
      </c>
    </row>
    <row r="1044">
      <c r="A1044" t="inlineStr">
        <is>
          <t>three-way</t>
        </is>
      </c>
      <c r="B1044" t="inlineStr">
        <is>
          <t>ORIG_BAL x ASSET_CLASS / REV_DEBT</t>
        </is>
      </c>
      <c r="C1044" t="inlineStr">
        <is>
          <t>5,005 - 15,448</t>
        </is>
      </c>
      <c r="D1044" t="inlineStr">
        <is>
          <t>4 / REV_DEBT low half</t>
        </is>
      </c>
      <c r="E1044" t="inlineStr">
        <is>
          <t>outcome_loans</t>
        </is>
      </c>
      <c r="F1044" t="inlineStr">
        <is>
          <t>Outcome, share of loans</t>
        </is>
      </c>
      <c r="G1044" t="n">
        <v>213</v>
      </c>
      <c r="H1044" t="n">
        <v>213</v>
      </c>
      <c r="I1044" t="b">
        <v>0</v>
      </c>
      <c r="J1044" t="b">
        <v>0</v>
      </c>
      <c r="K1044" t="n">
        <v>1.032255548796656</v>
      </c>
      <c r="L1044" t="n">
        <v>0.9253161866229574</v>
      </c>
      <c r="M1044" t="n">
        <v>1.044335193551245</v>
      </c>
      <c r="N1044" t="n">
        <v>0.8752301002678324</v>
      </c>
      <c r="O1044" t="n">
        <v>0.5312098638582086</v>
      </c>
      <c r="P1044" t="n">
        <v>0.7217015140591201</v>
      </c>
      <c r="Q1044">
        <f>'_live'!$C$20</f>
        <v/>
      </c>
      <c r="R1044" t="inlineStr">
        <is>
          <t>z test</t>
        </is>
      </c>
      <c r="S1044" t="inlineStr">
        <is>
          <t>z test</t>
        </is>
      </c>
      <c r="T1044" t="n">
        <v>0.07731826354996146</v>
      </c>
      <c r="U1044" t="n">
        <v>0.07642393655371305</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0.07981220657276995</v>
      </c>
      <c r="AI1044">
        <f>IF($Y1044="worse","Yes",IF($Y1044="worse, not significant","Not sure",IF(OR($Y1044="too few losses to test",$Y1044="too few loans to test"),"Too few losses",IF($Y1044="","","No"))))</f>
        <v/>
      </c>
      <c r="AJ1044">
        <f>IF($AA1044="yes","Yes",IF($AA1044="","","No"))</f>
        <v/>
      </c>
    </row>
    <row r="1045">
      <c r="A1045" t="inlineStr">
        <is>
          <t>three-way</t>
        </is>
      </c>
      <c r="B1045" t="inlineStr">
        <is>
          <t>ORIG_BAL x ASSET_CLASS / REV_DEBT</t>
        </is>
      </c>
      <c r="C1045" t="inlineStr">
        <is>
          <t>5,005 - 15,448</t>
        </is>
      </c>
      <c r="D1045" t="inlineStr">
        <is>
          <t>4 / REV_DEBT low half</t>
        </is>
      </c>
      <c r="E1045" t="inlineStr">
        <is>
          <t>outcome_booked</t>
        </is>
      </c>
      <c r="F1045" t="inlineStr">
        <is>
          <t>Outcome, share of booked dollars</t>
        </is>
      </c>
      <c r="G1045" t="n">
        <v>213</v>
      </c>
      <c r="H1045" t="n">
        <v>2164933.520000001</v>
      </c>
      <c r="I1045" t="b">
        <v>0</v>
      </c>
      <c r="J1045" t="b">
        <v>0</v>
      </c>
      <c r="K1045" t="n">
        <v>1.259383994363309</v>
      </c>
      <c r="L1045" t="n">
        <v>0.7003607331574535</v>
      </c>
      <c r="M1045" t="n">
        <v>1.292845036630074</v>
      </c>
      <c r="N1045" t="n">
        <v>0.4579306775204832</v>
      </c>
      <c r="O1045" t="n">
        <v>41928.83514616801</v>
      </c>
      <c r="P1045" t="n">
        <v>46112.5551860962</v>
      </c>
      <c r="Q1045">
        <f>'_live'!$C$21</f>
        <v/>
      </c>
      <c r="R1045" t="inlineStr">
        <is>
          <t>shuffled: 3,439 of 10,000</t>
        </is>
      </c>
      <c r="S1045" t="inlineStr">
        <is>
          <t>shuffled: 2,876 of 10,000</t>
        </is>
      </c>
      <c r="T1045" t="n">
        <v>0.07466637352163677</v>
      </c>
      <c r="U1045" t="n">
        <v>0.07273387998256117</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0.09403363573030173</v>
      </c>
      <c r="AI1045">
        <f>IF($Y1045="worse","Yes",IF($Y1045="worse, not significant","Not sure",IF(OR($Y1045="too few losses to test",$Y1045="too few loans to test"),"Too few losses",IF($Y1045="","","No"))))</f>
        <v/>
      </c>
      <c r="AJ1045">
        <f>IF($AA1045="yes","Yes",IF($AA1045="","","No"))</f>
        <v/>
      </c>
    </row>
    <row r="1046">
      <c r="A1046" t="inlineStr">
        <is>
          <t>three-way</t>
        </is>
      </c>
      <c r="B1046" t="inlineStr">
        <is>
          <t>ORIG_BAL x ASSET_CLASS / REV_DEBT</t>
        </is>
      </c>
      <c r="C1046" t="inlineStr">
        <is>
          <t>5,005 - 15,448</t>
        </is>
      </c>
      <c r="D1046" t="inlineStr">
        <is>
          <t>4 / REV_DEBT low half</t>
        </is>
      </c>
      <c r="E1046" t="inlineStr">
        <is>
          <t>gco_rate</t>
        </is>
      </c>
      <c r="F1046" t="inlineStr">
        <is>
          <t>GCO per booked dollar</t>
        </is>
      </c>
      <c r="G1046" t="n">
        <v>213</v>
      </c>
      <c r="H1046" t="n">
        <v>2164933.520000001</v>
      </c>
      <c r="I1046" t="b">
        <v>0</v>
      </c>
      <c r="J1046" t="b">
        <v>0</v>
      </c>
      <c r="K1046" t="n">
        <v>1.163401417692836</v>
      </c>
      <c r="L1046" t="n">
        <v>0.8043430951022545</v>
      </c>
      <c r="M1046" t="n">
        <v>1.198561425641334</v>
      </c>
      <c r="N1046" t="n">
        <v>0.5739026097390261</v>
      </c>
      <c r="O1046" t="n">
        <v>14697.84550842248</v>
      </c>
      <c r="P1046" t="n">
        <v>17336.5242985342</v>
      </c>
      <c r="Q1046">
        <f>'_live'!$C$22</f>
        <v/>
      </c>
      <c r="R1046" t="inlineStr">
        <is>
          <t>shuffled: 5,697 of 10,000</t>
        </is>
      </c>
      <c r="S1046" t="inlineStr">
        <is>
          <t>shuffled: 4,782 of 10,000</t>
        </is>
      </c>
      <c r="T1046" t="n">
        <v>0.04154830328996776</v>
      </c>
      <c r="U1046" t="n">
        <v>0.04032947658432752</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0.0483373549502804</v>
      </c>
      <c r="AI1046">
        <f>IF($Y1046="worse","Yes",IF($Y1046="worse, not significant","Not sure",IF(OR($Y1046="too few losses to test",$Y1046="too few loans to test"),"Too few losses",IF($Y1046="","","No"))))</f>
        <v/>
      </c>
      <c r="AJ1046">
        <f>IF($AA1046="yes","Yes",IF($AA1046="","","No"))</f>
        <v/>
      </c>
    </row>
    <row r="1047">
      <c r="A1047" t="inlineStr">
        <is>
          <t>three-way</t>
        </is>
      </c>
      <c r="B1047" t="inlineStr">
        <is>
          <t>ORIG_BAL x ASSET_CLASS / REV_DEBT</t>
        </is>
      </c>
      <c r="C1047" t="inlineStr">
        <is>
          <t>5,005 - 15,448</t>
        </is>
      </c>
      <c r="D1047" t="inlineStr">
        <is>
          <t>4 / REV_DEBT low half</t>
        </is>
      </c>
      <c r="E1047" t="inlineStr">
        <is>
          <t>ranr_rate</t>
        </is>
      </c>
      <c r="F1047" t="inlineStr">
        <is>
          <t>Profit after losses: RANR per booked dollar</t>
        </is>
      </c>
      <c r="G1047" t="n">
        <v>213</v>
      </c>
      <c r="H1047" t="n">
        <v>2164933.520000001</v>
      </c>
      <c r="I1047" t="b">
        <v>0</v>
      </c>
      <c r="J1047" t="b">
        <v>0</v>
      </c>
      <c r="K1047" t="n">
        <v>-0.01058094180832288</v>
      </c>
      <c r="L1047" t="n">
        <v>0.7314653150069609</v>
      </c>
      <c r="M1047" t="n">
        <v>-0.03367282014344718</v>
      </c>
      <c r="N1047" t="n">
        <v>0.151984801519848</v>
      </c>
      <c r="O1047" t="n">
        <v>22907.03559400761</v>
      </c>
      <c r="P1047" t="n">
        <v>72899.41704148005</v>
      </c>
      <c r="Q1047">
        <f>'_live'!$C$23</f>
        <v/>
      </c>
      <c r="R1047" t="inlineStr">
        <is>
          <t>shuffled: 4,585 of 10,000</t>
        </is>
      </c>
      <c r="S1047" t="inlineStr">
        <is>
          <t>shuffled: 139 of 10,000</t>
        </is>
      </c>
      <c r="T1047" t="n">
        <v>0.1280788130593531</v>
      </c>
      <c r="U1047" t="n">
        <v>0.1511706913944774</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0.1174978712510303</v>
      </c>
      <c r="AI1047">
        <f>IF($Y1047="worse","Yes",IF($Y1047="worse, not significant","Not sure",IF(OR($Y1047="too few losses to test",$Y1047="too few loans to test"),"Too few losses",IF($Y1047="","","No"))))</f>
        <v/>
      </c>
      <c r="AJ1047">
        <f>IF($AA1047="yes","Yes",IF($AA1047="","","No"))</f>
        <v/>
      </c>
    </row>
    <row r="1048">
      <c r="A1048" t="inlineStr">
        <is>
          <t>three-way</t>
        </is>
      </c>
      <c r="B1048" t="inlineStr">
        <is>
          <t>ORIG_BAL x ASSET_CLASS / REV_DEBT</t>
        </is>
      </c>
      <c r="C1048" t="inlineStr">
        <is>
          <t>5,005 - 15,448</t>
        </is>
      </c>
      <c r="D1048" t="inlineStr">
        <is>
          <t>4 / REV_DEBT low half</t>
        </is>
      </c>
      <c r="E1048" t="inlineStr">
        <is>
          <t>contribution_rate</t>
        </is>
      </c>
      <c r="F1048" t="inlineStr">
        <is>
          <t>Contribution before losses per booked dollar</t>
        </is>
      </c>
      <c r="G1048" t="n">
        <v>213</v>
      </c>
      <c r="H1048" t="n">
        <v>2164933.520000001</v>
      </c>
      <c r="I1048" t="b">
        <v>0</v>
      </c>
      <c r="J1048" t="b">
        <v>0</v>
      </c>
      <c r="K1048" t="n">
        <v>-0.003789020475832544</v>
      </c>
      <c r="L1048" t="n">
        <v>0.6857314268573143</v>
      </c>
      <c r="M1048" t="n">
        <v>-0.02566494177749429</v>
      </c>
      <c r="N1048" t="n">
        <v>0.005578389529468105</v>
      </c>
      <c r="O1048" t="n">
        <v>8202.977436096233</v>
      </c>
      <c r="P1048" t="n">
        <v>55562.89274294581</v>
      </c>
      <c r="Q1048">
        <f>'_live'!$C$24</f>
        <v/>
      </c>
      <c r="R1048" t="inlineStr">
        <is>
          <t>shuffled: 6,857 of 10,000</t>
        </is>
      </c>
      <c r="S1048" t="inlineStr">
        <is>
          <t>shuffled: 52 of 10,000</t>
        </is>
      </c>
      <c r="T1048" t="n">
        <v>0.1696242466771432</v>
      </c>
      <c r="U1048" t="n">
        <v>0.191500167978805</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0.1658352262013107</v>
      </c>
      <c r="AI1048">
        <f>IF($Y1048="worse","Yes",IF($Y1048="worse, not significant","Not sure",IF(OR($Y1048="too few losses to test",$Y1048="too few loans to test"),"Too few losses",IF($Y1048="","","No"))))</f>
        <v/>
      </c>
      <c r="AJ1048">
        <f>IF($AA1048="yes","Yes",IF($AA1048="","","No"))</f>
        <v/>
      </c>
    </row>
    <row r="1049">
      <c r="A1049" t="inlineStr">
        <is>
          <t>three-way</t>
        </is>
      </c>
      <c r="B1049" t="inlineStr">
        <is>
          <t>ORIG_BAL x ASSET_CLASS / REV_DEBT</t>
        </is>
      </c>
      <c r="C1049" t="inlineStr">
        <is>
          <t>15,449 - 26,323</t>
        </is>
      </c>
      <c r="D1049" t="inlineStr">
        <is>
          <t>4 / REV_DEBT high half</t>
        </is>
      </c>
      <c r="E1049" t="inlineStr">
        <is>
          <t>outcome_loans</t>
        </is>
      </c>
      <c r="F1049" t="inlineStr">
        <is>
          <t>Outcome, share of loans</t>
        </is>
      </c>
      <c r="G1049" t="n">
        <v>206</v>
      </c>
      <c r="H1049" t="n">
        <v>206</v>
      </c>
      <c r="I1049" t="b">
        <v>0</v>
      </c>
      <c r="J1049" t="b">
        <v>0</v>
      </c>
      <c r="K1049" t="n">
        <v>2.130363829152722</v>
      </c>
      <c r="L1049" t="n">
        <v>7.907867545449573e-05</v>
      </c>
      <c r="M1049" t="n">
        <v>1.925092065617677</v>
      </c>
      <c r="N1049" t="n">
        <v>0.002322176276351901</v>
      </c>
      <c r="O1049" t="n">
        <v>17.50968818170153</v>
      </c>
      <c r="P1049" t="n">
        <v>15.85796269727403</v>
      </c>
      <c r="Q1049">
        <f>'_live'!$C$20</f>
        <v/>
      </c>
      <c r="R1049" t="inlineStr">
        <is>
          <t>z test</t>
        </is>
      </c>
      <c r="S1049" t="inlineStr">
        <is>
          <t>z test</t>
        </is>
      </c>
      <c r="T1049" t="n">
        <v>0.0751956884383421</v>
      </c>
      <c r="U1049" t="n">
        <v>0.08321377331420372</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0.1601941747572816</v>
      </c>
      <c r="AI1049">
        <f>IF($Y1049="worse","Yes",IF($Y1049="worse, not significant","Not sure",IF(OR($Y1049="too few losses to test",$Y1049="too few loans to test"),"Too few losses",IF($Y1049="","","No"))))</f>
        <v/>
      </c>
      <c r="AJ1049">
        <f>IF($AA1049="yes","Yes",IF($AA1049="","","No"))</f>
        <v/>
      </c>
    </row>
    <row r="1050">
      <c r="A1050" t="inlineStr">
        <is>
          <t>three-way</t>
        </is>
      </c>
      <c r="B1050" t="inlineStr">
        <is>
          <t>ORIG_BAL x ASSET_CLASS / REV_DEBT</t>
        </is>
      </c>
      <c r="C1050" t="inlineStr">
        <is>
          <t>15,449 - 26,323</t>
        </is>
      </c>
      <c r="D1050" t="inlineStr">
        <is>
          <t>4 / REV_DEBT high half</t>
        </is>
      </c>
      <c r="E1050" t="inlineStr">
        <is>
          <t>outcome_booked</t>
        </is>
      </c>
      <c r="F1050" t="inlineStr">
        <is>
          <t>Outcome, share of booked dollars</t>
        </is>
      </c>
      <c r="G1050" t="n">
        <v>206</v>
      </c>
      <c r="H1050" t="n">
        <v>4350334.53</v>
      </c>
      <c r="I1050" t="b">
        <v>0</v>
      </c>
      <c r="J1050" t="b">
        <v>0</v>
      </c>
      <c r="K1050" t="n">
        <v>2.095149736670665</v>
      </c>
      <c r="L1050" t="n">
        <v>0.002999700029997</v>
      </c>
      <c r="M1050" t="n">
        <v>1.81585066688203</v>
      </c>
      <c r="N1050" t="n">
        <v>0.01007899210078992</v>
      </c>
      <c r="O1050" t="n">
        <v>350041.6281546929</v>
      </c>
      <c r="P1050" t="n">
        <v>300878.9479222141</v>
      </c>
      <c r="Q1050">
        <f>'_live'!$C$21</f>
        <v/>
      </c>
      <c r="R1050" t="inlineStr">
        <is>
          <t>shuffled: 2 of 10,000</t>
        </is>
      </c>
      <c r="S1050" t="inlineStr">
        <is>
          <t>shuffled: 20 of 10,000</t>
        </is>
      </c>
      <c r="T1050" t="n">
        <v>0.07347228348558914</v>
      </c>
      <c r="U1050" t="n">
        <v>0.08477317997836503</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0.1539354353974245</v>
      </c>
      <c r="AI1050">
        <f>IF($Y1050="worse","Yes",IF($Y1050="worse, not significant","Not sure",IF(OR($Y1050="too few losses to test",$Y1050="too few loans to test"),"Too few losses",IF($Y1050="","","No"))))</f>
        <v/>
      </c>
      <c r="AJ1050">
        <f>IF($AA1050="yes","Yes",IF($AA1050="","","No"))</f>
        <v/>
      </c>
    </row>
    <row r="1051">
      <c r="A1051" t="inlineStr">
        <is>
          <t>three-way</t>
        </is>
      </c>
      <c r="B1051" t="inlineStr">
        <is>
          <t>ORIG_BAL x ASSET_CLASS / REV_DEBT</t>
        </is>
      </c>
      <c r="C1051" t="inlineStr">
        <is>
          <t>15,449 - 26,323</t>
        </is>
      </c>
      <c r="D1051" t="inlineStr">
        <is>
          <t>4 / REV_DEBT high half</t>
        </is>
      </c>
      <c r="E1051" t="inlineStr">
        <is>
          <t>gco_rate</t>
        </is>
      </c>
      <c r="F1051" t="inlineStr">
        <is>
          <t>GCO per booked dollar</t>
        </is>
      </c>
      <c r="G1051" t="n">
        <v>206</v>
      </c>
      <c r="H1051" t="n">
        <v>4350334.53</v>
      </c>
      <c r="I1051" t="b">
        <v>0</v>
      </c>
      <c r="J1051" t="b">
        <v>0</v>
      </c>
      <c r="K1051" t="n">
        <v>2.137414238284648</v>
      </c>
      <c r="L1051" t="n">
        <v>0.0023997600239976</v>
      </c>
      <c r="M1051" t="n">
        <v>1.8156777228585</v>
      </c>
      <c r="N1051" t="n">
        <v>0.011998800119988</v>
      </c>
      <c r="O1051" t="n">
        <v>201994.7757182838</v>
      </c>
      <c r="P1051" t="n">
        <v>170525.7668000361</v>
      </c>
      <c r="Q1051">
        <f>'_live'!$C$22</f>
        <v/>
      </c>
      <c r="R1051" t="inlineStr">
        <is>
          <t>shuffled: 2 of 10,000</t>
        </is>
      </c>
      <c r="S1051" t="inlineStr">
        <is>
          <t>shuffled: 29 of 10,000</t>
        </is>
      </c>
      <c r="T1051" t="n">
        <v>0.04082242711613171</v>
      </c>
      <c r="U1051" t="n">
        <v>0.04805612574349857</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0.08725443695935721</v>
      </c>
      <c r="AI1051">
        <f>IF($Y1051="worse","Yes",IF($Y1051="worse, not significant","Not sure",IF(OR($Y1051="too few losses to test",$Y1051="too few loans to test"),"Too few losses",IF($Y1051="","","No"))))</f>
        <v/>
      </c>
      <c r="AJ1051">
        <f>IF($AA1051="yes","Yes",IF($AA1051="","","No"))</f>
        <v/>
      </c>
    </row>
    <row r="1052">
      <c r="A1052" t="inlineStr">
        <is>
          <t>three-way</t>
        </is>
      </c>
      <c r="B1052" t="inlineStr">
        <is>
          <t>ORIG_BAL x ASSET_CLASS / REV_DEBT</t>
        </is>
      </c>
      <c r="C1052" t="inlineStr">
        <is>
          <t>15,449 - 26,323</t>
        </is>
      </c>
      <c r="D1052" t="inlineStr">
        <is>
          <t>4 / REV_DEBT high half</t>
        </is>
      </c>
      <c r="E1052" t="inlineStr">
        <is>
          <t>ranr_rate</t>
        </is>
      </c>
      <c r="F1052" t="inlineStr">
        <is>
          <t>Profit after losses: RANR per booked dollar</t>
        </is>
      </c>
      <c r="G1052" t="n">
        <v>206</v>
      </c>
      <c r="H1052" t="n">
        <v>4350334.53</v>
      </c>
      <c r="I1052" t="b">
        <v>0</v>
      </c>
      <c r="J1052" t="b">
        <v>0</v>
      </c>
      <c r="K1052" t="n">
        <v>-0.006604946127606481</v>
      </c>
      <c r="L1052" t="n">
        <v>0.8575142485751426</v>
      </c>
      <c r="M1052" t="n">
        <v>0.002801504885234993</v>
      </c>
      <c r="N1052" t="n">
        <v>0.8920160615517394</v>
      </c>
      <c r="O1052" t="n">
        <v>28733.72520771623</v>
      </c>
      <c r="P1052" t="n">
        <v>-12187.48343820148</v>
      </c>
      <c r="Q1052">
        <f>'_live'!$C$23</f>
        <v/>
      </c>
      <c r="R1052" t="inlineStr">
        <is>
          <t>shuffled: 6,431 of 10,000</t>
        </is>
      </c>
      <c r="S1052" t="inlineStr">
        <is>
          <t>shuffled: 8,474 of 10,000</t>
        </is>
      </c>
      <c r="T1052" t="n">
        <v>0.128101391137779</v>
      </c>
      <c r="U1052" t="n">
        <v>0.1186949401249375</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0.1214964450101725</v>
      </c>
      <c r="AI1052">
        <f>IF($Y1052="worse","Yes",IF($Y1052="worse, not significant","Not sure",IF(OR($Y1052="too few losses to test",$Y1052="too few loans to test"),"Too few losses",IF($Y1052="","","No"))))</f>
        <v/>
      </c>
      <c r="AJ1052">
        <f>IF($AA1052="yes","Yes",IF($AA1052="","","No"))</f>
        <v/>
      </c>
    </row>
    <row r="1053">
      <c r="A1053" t="inlineStr">
        <is>
          <t>three-way</t>
        </is>
      </c>
      <c r="B1053" t="inlineStr">
        <is>
          <t>ORIG_BAL x ASSET_CLASS / REV_DEBT</t>
        </is>
      </c>
      <c r="C1053" t="inlineStr">
        <is>
          <t>15,449 - 26,323</t>
        </is>
      </c>
      <c r="D1053" t="inlineStr">
        <is>
          <t>4 / REV_DEBT high half</t>
        </is>
      </c>
      <c r="E1053" t="inlineStr">
        <is>
          <t>contribution_rate</t>
        </is>
      </c>
      <c r="F1053" t="inlineStr">
        <is>
          <t>Contribution before losses per booked dollar</t>
        </is>
      </c>
      <c r="G1053" t="n">
        <v>206</v>
      </c>
      <c r="H1053" t="n">
        <v>4350334.53</v>
      </c>
      <c r="I1053" t="b">
        <v>0</v>
      </c>
      <c r="J1053" t="b">
        <v>0</v>
      </c>
      <c r="K1053" t="n">
        <v>0.03982995457756194</v>
      </c>
      <c r="L1053" t="n">
        <v>0.0003076615415381539</v>
      </c>
      <c r="M1053" t="n">
        <v>0.04199981610109371</v>
      </c>
      <c r="N1053" t="n">
        <v>0.000222200002222</v>
      </c>
      <c r="O1053" t="n">
        <v>-173273.6267270993</v>
      </c>
      <c r="P1053" t="n">
        <v>-182713.250238238</v>
      </c>
      <c r="Q1053">
        <f>'_live'!$C$24</f>
        <v/>
      </c>
      <c r="R1053" t="inlineStr">
        <is>
          <t>shuffled: 0 of 10,000</t>
        </is>
      </c>
      <c r="S1053" t="inlineStr">
        <is>
          <t>shuffled: 0 of 10,000</t>
        </is>
      </c>
      <c r="T1053" t="n">
        <v>0.1689209273919679</v>
      </c>
      <c r="U1053" t="n">
        <v>0.1667510658684361</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0.2087508819695298</v>
      </c>
      <c r="AI1053">
        <f>IF($Y1053="worse","Yes",IF($Y1053="worse, not significant","Not sure",IF(OR($Y1053="too few losses to test",$Y1053="too few loans to test"),"Too few losses",IF($Y1053="","","No"))))</f>
        <v/>
      </c>
      <c r="AJ1053">
        <f>IF($AA1053="yes","Yes",IF($AA1053="","","No"))</f>
        <v/>
      </c>
    </row>
    <row r="1054">
      <c r="A1054" t="inlineStr">
        <is>
          <t>three-way</t>
        </is>
      </c>
      <c r="B1054" t="inlineStr">
        <is>
          <t>ORIG_BAL x ASSET_CLASS / REV_DEBT</t>
        </is>
      </c>
      <c r="C1054" t="inlineStr">
        <is>
          <t>5,005 - 15,448</t>
        </is>
      </c>
      <c r="D1054" t="inlineStr">
        <is>
          <t>2 / REV_DEBT high half</t>
        </is>
      </c>
      <c r="E1054" t="inlineStr">
        <is>
          <t>outcome_loans</t>
        </is>
      </c>
      <c r="F1054" t="inlineStr">
        <is>
          <t>Outcome, share of loans</t>
        </is>
      </c>
      <c r="G1054" t="n">
        <v>202</v>
      </c>
      <c r="H1054" t="n">
        <v>202</v>
      </c>
      <c r="I1054" t="b">
        <v>0</v>
      </c>
      <c r="J1054" t="b">
        <v>0</v>
      </c>
      <c r="K1054" t="n">
        <v>1.28878163275426</v>
      </c>
      <c r="L1054" t="n">
        <v>0.5855759376855867</v>
      </c>
      <c r="M1054" t="n">
        <v>1.343843122176295</v>
      </c>
      <c r="N1054" t="n">
        <v>0.3811378412389527</v>
      </c>
      <c r="O1054" t="n">
        <v>4.481467230986276</v>
      </c>
      <c r="P1054" t="n">
        <v>5.117310443490702</v>
      </c>
      <c r="Q1054">
        <f>'_live'!$C$20</f>
        <v/>
      </c>
      <c r="R1054" t="inlineStr">
        <is>
          <t>z test</t>
        </is>
      </c>
      <c r="S1054" t="inlineStr">
        <is>
          <t>z test</t>
        </is>
      </c>
      <c r="T1054" t="n">
        <v>0.07682441964858279</v>
      </c>
      <c r="U1054" t="n">
        <v>0.07367668097281831</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0.09900990099009901</v>
      </c>
      <c r="AI1054">
        <f>IF($Y1054="worse","Yes",IF($Y1054="worse, not significant","Not sure",IF(OR($Y1054="too few losses to test",$Y1054="too few loans to test"),"Too few losses",IF($Y1054="","","No"))))</f>
        <v/>
      </c>
      <c r="AJ1054">
        <f>IF($AA1054="yes","Yes",IF($AA1054="","","No"))</f>
        <v/>
      </c>
    </row>
    <row r="1055">
      <c r="A1055" t="inlineStr">
        <is>
          <t>three-way</t>
        </is>
      </c>
      <c r="B1055" t="inlineStr">
        <is>
          <t>ORIG_BAL x ASSET_CLASS / REV_DEBT</t>
        </is>
      </c>
      <c r="C1055" t="inlineStr">
        <is>
          <t>5,005 - 15,448</t>
        </is>
      </c>
      <c r="D1055" t="inlineStr">
        <is>
          <t>2 / REV_DEBT high half</t>
        </is>
      </c>
      <c r="E1055" t="inlineStr">
        <is>
          <t>outcome_booked</t>
        </is>
      </c>
      <c r="F1055" t="inlineStr">
        <is>
          <t>Outcome, share of booked dollars</t>
        </is>
      </c>
      <c r="G1055" t="n">
        <v>202</v>
      </c>
      <c r="H1055" t="n">
        <v>2126363.319999999</v>
      </c>
      <c r="I1055" t="b">
        <v>0</v>
      </c>
      <c r="J1055" t="b">
        <v>0</v>
      </c>
      <c r="K1055" t="n">
        <v>1.240448195389763</v>
      </c>
      <c r="L1055" t="n">
        <v>0.7003607331574535</v>
      </c>
      <c r="M1055" t="n">
        <v>1.268966817065921</v>
      </c>
      <c r="N1055" t="n">
        <v>0.4663533646635337</v>
      </c>
      <c r="O1055" t="n">
        <v>38182.86261979694</v>
      </c>
      <c r="P1055" t="n">
        <v>41751.68742871511</v>
      </c>
      <c r="Q1055">
        <f>'_live'!$C$21</f>
        <v/>
      </c>
      <c r="R1055" t="inlineStr">
        <is>
          <t>shuffled: 3,793 of 10,000</t>
        </is>
      </c>
      <c r="S1055" t="inlineStr">
        <is>
          <t>shuffled: 3,497 of 10,000</t>
        </is>
      </c>
      <c r="T1055" t="n">
        <v>0.07468089102487112</v>
      </c>
      <c r="U1055" t="n">
        <v>0.07300252083509651</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0.09263777650190096</v>
      </c>
      <c r="AI1055">
        <f>IF($Y1055="worse","Yes",IF($Y1055="worse, not significant","Not sure",IF(OR($Y1055="too few losses to test",$Y1055="too few loans to test"),"Too few losses",IF($Y1055="","","No"))))</f>
        <v/>
      </c>
      <c r="AJ1055">
        <f>IF($AA1055="yes","Yes",IF($AA1055="","","No"))</f>
        <v/>
      </c>
    </row>
    <row r="1056">
      <c r="A1056" t="inlineStr">
        <is>
          <t>three-way</t>
        </is>
      </c>
      <c r="B1056" t="inlineStr">
        <is>
          <t>ORIG_BAL x ASSET_CLASS / REV_DEBT</t>
        </is>
      </c>
      <c r="C1056" t="inlineStr">
        <is>
          <t>5,005 - 15,448</t>
        </is>
      </c>
      <c r="D1056" t="inlineStr">
        <is>
          <t>2 / REV_DEBT high half</t>
        </is>
      </c>
      <c r="E1056" t="inlineStr">
        <is>
          <t>gco_rate</t>
        </is>
      </c>
      <c r="F1056" t="inlineStr">
        <is>
          <t>GCO per booked dollar</t>
        </is>
      </c>
      <c r="G1056" t="n">
        <v>202</v>
      </c>
      <c r="H1056" t="n">
        <v>2126363.319999999</v>
      </c>
      <c r="I1056" t="b">
        <v>0</v>
      </c>
      <c r="J1056" t="b">
        <v>0</v>
      </c>
      <c r="K1056" t="n">
        <v>1.219403257519461</v>
      </c>
      <c r="L1056" t="n">
        <v>0.8043430951022545</v>
      </c>
      <c r="M1056" t="n">
        <v>1.26592491319664</v>
      </c>
      <c r="N1056" t="n">
        <v>0.5540622408347401</v>
      </c>
      <c r="O1056" t="n">
        <v>19375.11632755642</v>
      </c>
      <c r="P1056" t="n">
        <v>22620.36860339003</v>
      </c>
      <c r="Q1056">
        <f>'_live'!$C$22</f>
        <v/>
      </c>
      <c r="R1056" t="inlineStr">
        <is>
          <t>shuffled: 4,428 of 10,000</t>
        </is>
      </c>
      <c r="S1056" t="inlineStr">
        <is>
          <t>shuffled: 3,717 of 10,000</t>
        </is>
      </c>
      <c r="T1056" t="n">
        <v>0.0415301763540784</v>
      </c>
      <c r="U1056" t="n">
        <v>0.04000397796393988</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0.05064203233152088</v>
      </c>
      <c r="AI1056">
        <f>IF($Y1056="worse","Yes",IF($Y1056="worse, not significant","Not sure",IF(OR($Y1056="too few losses to test",$Y1056="too few loans to test"),"Too few losses",IF($Y1056="","","No"))))</f>
        <v/>
      </c>
      <c r="AJ1056">
        <f>IF($AA1056="yes","Yes",IF($AA1056="","","No"))</f>
        <v/>
      </c>
    </row>
    <row r="1057">
      <c r="A1057" t="inlineStr">
        <is>
          <t>three-way</t>
        </is>
      </c>
      <c r="B1057" t="inlineStr">
        <is>
          <t>ORIG_BAL x ASSET_CLASS / REV_DEBT</t>
        </is>
      </c>
      <c r="C1057" t="inlineStr">
        <is>
          <t>5,005 - 15,448</t>
        </is>
      </c>
      <c r="D1057" t="inlineStr">
        <is>
          <t>2 / REV_DEBT high half</t>
        </is>
      </c>
      <c r="E1057" t="inlineStr">
        <is>
          <t>ranr_rate</t>
        </is>
      </c>
      <c r="F1057" t="inlineStr">
        <is>
          <t>Profit after losses: RANR per booked dollar</t>
        </is>
      </c>
      <c r="G1057" t="n">
        <v>202</v>
      </c>
      <c r="H1057" t="n">
        <v>2126363.319999999</v>
      </c>
      <c r="I1057" t="b">
        <v>0</v>
      </c>
      <c r="J1057" t="b">
        <v>0</v>
      </c>
      <c r="K1057" t="n">
        <v>0.02242401226498111</v>
      </c>
      <c r="L1057" t="n">
        <v>0.2846774146114801</v>
      </c>
      <c r="M1057" t="n">
        <v>0.004084417781996502</v>
      </c>
      <c r="N1057" t="n">
        <v>0.8833711223472247</v>
      </c>
      <c r="O1057" t="n">
        <v>-47681.59716748592</v>
      </c>
      <c r="P1057" t="n">
        <v>-8684.956155193096</v>
      </c>
      <c r="Q1057">
        <f>'_live'!$C$23</f>
        <v/>
      </c>
      <c r="R1057" t="inlineStr">
        <is>
          <t>shuffled: 1,209 of 10,000</t>
        </is>
      </c>
      <c r="S1057" t="inlineStr">
        <is>
          <t>shuffled: 7,768 of 10,000</t>
        </is>
      </c>
      <c r="T1057" t="n">
        <v>0.1278052862727684</v>
      </c>
      <c r="U1057" t="n">
        <v>0.146144880755753</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0.1502292985377496</v>
      </c>
      <c r="AI1057">
        <f>IF($Y1057="worse","Yes",IF($Y1057="worse, not significant","Not sure",IF(OR($Y1057="too few losses to test",$Y1057="too few loans to test"),"Too few losses",IF($Y1057="","","No"))))</f>
        <v/>
      </c>
      <c r="AJ1057">
        <f>IF($AA1057="yes","Yes",IF($AA1057="","","No"))</f>
        <v/>
      </c>
    </row>
    <row r="1058">
      <c r="A1058" t="inlineStr">
        <is>
          <t>three-way</t>
        </is>
      </c>
      <c r="B1058" t="inlineStr">
        <is>
          <t>ORIG_BAL x ASSET_CLASS / REV_DEBT</t>
        </is>
      </c>
      <c r="C1058" t="inlineStr">
        <is>
          <t>5,005 - 15,448</t>
        </is>
      </c>
      <c r="D1058" t="inlineStr">
        <is>
          <t>2 / REV_DEBT high half</t>
        </is>
      </c>
      <c r="E1058" t="inlineStr">
        <is>
          <t>contribution_rate</t>
        </is>
      </c>
      <c r="F1058" t="inlineStr">
        <is>
          <t>Contribution before losses per booked dollar</t>
        </is>
      </c>
      <c r="G1058" t="n">
        <v>202</v>
      </c>
      <c r="H1058" t="n">
        <v>2126363.319999999</v>
      </c>
      <c r="I1058" t="b">
        <v>0</v>
      </c>
      <c r="J1058" t="b">
        <v>0</v>
      </c>
      <c r="K1058" t="n">
        <v>0.03153877989963488</v>
      </c>
      <c r="L1058" t="n">
        <v>0.002260643500867304</v>
      </c>
      <c r="M1058" t="n">
        <v>0.01472247214957756</v>
      </c>
      <c r="N1058" t="n">
        <v>0.1269616628080782</v>
      </c>
      <c r="O1058" t="n">
        <v>-67062.90473613684</v>
      </c>
      <c r="P1058" t="n">
        <v>-31305.32475858327</v>
      </c>
      <c r="Q1058">
        <f>'_live'!$C$24</f>
        <v/>
      </c>
      <c r="R1058" t="inlineStr">
        <is>
          <t>shuffled: 12 of 10,000</t>
        </is>
      </c>
      <c r="S1058" t="inlineStr">
        <is>
          <t>shuffled: 1,237 of 10,000</t>
        </is>
      </c>
      <c r="T1058" t="n">
        <v>0.1693325509696356</v>
      </c>
      <c r="U1058" t="n">
        <v>0.1861488587196929</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0.2008713308692705</v>
      </c>
      <c r="AI1058">
        <f>IF($Y1058="worse","Yes",IF($Y1058="worse, not significant","Not sure",IF(OR($Y1058="too few losses to test",$Y1058="too few loans to test"),"Too few losses",IF($Y1058="","","No"))))</f>
        <v/>
      </c>
      <c r="AJ1058">
        <f>IF($AA1058="yes","Yes",IF($AA1058="","","No"))</f>
        <v/>
      </c>
    </row>
    <row r="1059">
      <c r="A1059" t="inlineStr">
        <is>
          <t>three-way</t>
        </is>
      </c>
      <c r="B1059" t="inlineStr">
        <is>
          <t>ORIG_BAL x ASSET_CLASS / REV_DEBT</t>
        </is>
      </c>
      <c r="C1059" t="inlineStr">
        <is>
          <t>49,152 - 59,984</t>
        </is>
      </c>
      <c r="D1059" t="inlineStr">
        <is>
          <t>1 / REV_DEBT high half</t>
        </is>
      </c>
      <c r="E1059" t="inlineStr">
        <is>
          <t>outcome_loans</t>
        </is>
      </c>
      <c r="F1059" t="inlineStr">
        <is>
          <t>Outcome, share of loans</t>
        </is>
      </c>
      <c r="G1059" t="n">
        <v>206</v>
      </c>
      <c r="H1059" t="n">
        <v>206</v>
      </c>
      <c r="I1059" t="b">
        <v>0</v>
      </c>
      <c r="J1059" t="b">
        <v>0</v>
      </c>
      <c r="K1059" t="n">
        <v>1.068291778215012</v>
      </c>
      <c r="L1059" t="n">
        <v>0.9253161866229574</v>
      </c>
      <c r="M1059" t="n">
        <v>1.337660871528562</v>
      </c>
      <c r="N1059" t="n">
        <v>0.4210239206875348</v>
      </c>
      <c r="O1059" t="n">
        <v>1.086744514307712</v>
      </c>
      <c r="P1059" t="n">
        <v>4.291248206599713</v>
      </c>
      <c r="Q1059">
        <f>'_live'!$C$20</f>
        <v/>
      </c>
      <c r="R1059" t="inlineStr">
        <is>
          <t>z test</t>
        </is>
      </c>
      <c r="S1059" t="inlineStr">
        <is>
          <t>z test</t>
        </is>
      </c>
      <c r="T1059" t="n">
        <v>0.0772488130373412</v>
      </c>
      <c r="U1059" t="n">
        <v>0.06169296987087518</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0.0825242718446602</v>
      </c>
      <c r="AI1059">
        <f>IF($Y1059="worse","Yes",IF($Y1059="worse, not significant","Not sure",IF(OR($Y1059="too few losses to test",$Y1059="too few loans to test"),"Too few losses",IF($Y1059="","","No"))))</f>
        <v/>
      </c>
      <c r="AJ1059">
        <f>IF($AA1059="yes","Yes",IF($AA1059="","","No"))</f>
        <v/>
      </c>
    </row>
    <row r="1060">
      <c r="A1060" t="inlineStr">
        <is>
          <t>three-way</t>
        </is>
      </c>
      <c r="B1060" t="inlineStr">
        <is>
          <t>ORIG_BAL x ASSET_CLASS / REV_DEBT</t>
        </is>
      </c>
      <c r="C1060" t="inlineStr">
        <is>
          <t>49,152 - 59,984</t>
        </is>
      </c>
      <c r="D1060" t="inlineStr">
        <is>
          <t>1 / REV_DEBT high half</t>
        </is>
      </c>
      <c r="E1060" t="inlineStr">
        <is>
          <t>outcome_booked</t>
        </is>
      </c>
      <c r="F1060" t="inlineStr">
        <is>
          <t>Outcome, share of booked dollars</t>
        </is>
      </c>
      <c r="G1060" t="n">
        <v>206</v>
      </c>
      <c r="H1060" t="n">
        <v>11220774.03</v>
      </c>
      <c r="I1060" t="b">
        <v>0</v>
      </c>
      <c r="J1060" t="b">
        <v>0</v>
      </c>
      <c r="K1060" t="n">
        <v>1.133737387743695</v>
      </c>
      <c r="L1060" t="n">
        <v>0.8018470880184708</v>
      </c>
      <c r="M1060" t="n">
        <v>1.363796604250509</v>
      </c>
      <c r="N1060" t="n">
        <v>0.4168198564758909</v>
      </c>
      <c r="O1060" t="n">
        <v>111641.693299462</v>
      </c>
      <c r="P1060" t="n">
        <v>252461.4567992421</v>
      </c>
      <c r="Q1060">
        <f>'_live'!$C$21</f>
        <v/>
      </c>
      <c r="R1060" t="inlineStr">
        <is>
          <t>shuffled: 6,261 of 10,000</t>
        </is>
      </c>
      <c r="S1060" t="inlineStr">
        <is>
          <t>shuffled: 2,257 of 10,000</t>
        </is>
      </c>
      <c r="T1060" t="n">
        <v>0.07439620158722135</v>
      </c>
      <c r="U1060" t="n">
        <v>0.06184628630300989</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0.08434575524554967</v>
      </c>
      <c r="AI1060">
        <f>IF($Y1060="worse","Yes",IF($Y1060="worse, not significant","Not sure",IF(OR($Y1060="too few losses to test",$Y1060="too few loans to test"),"Too few losses",IF($Y1060="","","No"))))</f>
        <v/>
      </c>
      <c r="AJ1060">
        <f>IF($AA1060="yes","Yes",IF($AA1060="","","No"))</f>
        <v/>
      </c>
    </row>
    <row r="1061">
      <c r="A1061" t="inlineStr">
        <is>
          <t>three-way</t>
        </is>
      </c>
      <c r="B1061" t="inlineStr">
        <is>
          <t>ORIG_BAL x ASSET_CLASS / REV_DEBT</t>
        </is>
      </c>
      <c r="C1061" t="inlineStr">
        <is>
          <t>49,152 - 59,984</t>
        </is>
      </c>
      <c r="D1061" t="inlineStr">
        <is>
          <t>1 / REV_DEBT high half</t>
        </is>
      </c>
      <c r="E1061" t="inlineStr">
        <is>
          <t>gco_rate</t>
        </is>
      </c>
      <c r="F1061" t="inlineStr">
        <is>
          <t>GCO per booked dollar</t>
        </is>
      </c>
      <c r="G1061" t="n">
        <v>206</v>
      </c>
      <c r="H1061" t="n">
        <v>11220774.03</v>
      </c>
      <c r="I1061" t="b">
        <v>0</v>
      </c>
      <c r="J1061" t="b">
        <v>0</v>
      </c>
      <c r="K1061" t="n">
        <v>1.207837700998436</v>
      </c>
      <c r="L1061" t="n">
        <v>0.8043430951022545</v>
      </c>
      <c r="M1061" t="n">
        <v>1.488720376786472</v>
      </c>
      <c r="N1061" t="n">
        <v>0.3170349631703496</v>
      </c>
      <c r="O1061" t="n">
        <v>96158.53992654139</v>
      </c>
      <c r="P1061" t="n">
        <v>183450.7223336481</v>
      </c>
      <c r="Q1061">
        <f>'_live'!$C$22</f>
        <v/>
      </c>
      <c r="R1061" t="inlineStr">
        <is>
          <t>shuffled: 4,688 of 10,000</t>
        </is>
      </c>
      <c r="S1061" t="inlineStr">
        <is>
          <t>shuffled: 1,188 of 10,000</t>
        </is>
      </c>
      <c r="T1061" t="n">
        <v>0.04123259935869671</v>
      </c>
      <c r="U1061" t="n">
        <v>0.03345308413330127</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0.04980228801559781</v>
      </c>
      <c r="AI1061">
        <f>IF($Y1061="worse","Yes",IF($Y1061="worse, not significant","Not sure",IF(OR($Y1061="too few losses to test",$Y1061="too few loans to test"),"Too few losses",IF($Y1061="","","No"))))</f>
        <v/>
      </c>
      <c r="AJ1061">
        <f>IF($AA1061="yes","Yes",IF($AA1061="","","No"))</f>
        <v/>
      </c>
    </row>
    <row r="1062">
      <c r="A1062" t="inlineStr">
        <is>
          <t>three-way</t>
        </is>
      </c>
      <c r="B1062" t="inlineStr">
        <is>
          <t>ORIG_BAL x ASSET_CLASS / REV_DEBT</t>
        </is>
      </c>
      <c r="C1062" t="inlineStr">
        <is>
          <t>49,152 - 59,984</t>
        </is>
      </c>
      <c r="D1062" t="inlineStr">
        <is>
          <t>1 / REV_DEBT high half</t>
        </is>
      </c>
      <c r="E1062" t="inlineStr">
        <is>
          <t>ranr_rate</t>
        </is>
      </c>
      <c r="F1062" t="inlineStr">
        <is>
          <t>Profit after losses: RANR per booked dollar</t>
        </is>
      </c>
      <c r="G1062" t="n">
        <v>206</v>
      </c>
      <c r="H1062" t="n">
        <v>11220774.03</v>
      </c>
      <c r="I1062" t="b">
        <v>0</v>
      </c>
      <c r="J1062" t="b">
        <v>0</v>
      </c>
      <c r="K1062" t="n">
        <v>0.02873251054773432</v>
      </c>
      <c r="L1062" t="n">
        <v>0.240864802408648</v>
      </c>
      <c r="M1062" t="n">
        <v>0.0287408847704109</v>
      </c>
      <c r="N1062" t="n">
        <v>0.160650601606506</v>
      </c>
      <c r="O1062" t="n">
        <v>-322401.0081707183</v>
      </c>
      <c r="P1062" t="n">
        <v>-322494.9734310491</v>
      </c>
      <c r="Q1062">
        <f>'_live'!$C$23</f>
        <v/>
      </c>
      <c r="R1062" t="inlineStr">
        <is>
          <t>shuffled: 443 of 10,000</t>
        </is>
      </c>
      <c r="S1062" t="inlineStr">
        <is>
          <t>shuffled: 240 of 10,000</t>
        </is>
      </c>
      <c r="T1062" t="n">
        <v>0.1267407647660543</v>
      </c>
      <c r="U1062" t="n">
        <v>0.1267323905433777</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0.1554732753137886</v>
      </c>
      <c r="AI1062">
        <f>IF($Y1062="worse","Yes",IF($Y1062="worse, not significant","Not sure",IF(OR($Y1062="too few losses to test",$Y1062="too few loans to test"),"Too few losses",IF($Y1062="","","No"))))</f>
        <v/>
      </c>
      <c r="AJ1062">
        <f>IF($AA1062="yes","Yes",IF($AA1062="","","No"))</f>
        <v/>
      </c>
    </row>
    <row r="1063">
      <c r="A1063" t="inlineStr">
        <is>
          <t>three-way</t>
        </is>
      </c>
      <c r="B1063" t="inlineStr">
        <is>
          <t>ORIG_BAL x ASSET_CLASS / REV_DEBT</t>
        </is>
      </c>
      <c r="C1063" t="inlineStr">
        <is>
          <t>49,152 - 59,984</t>
        </is>
      </c>
      <c r="D1063" t="inlineStr">
        <is>
          <t>1 / REV_DEBT high half</t>
        </is>
      </c>
      <c r="E1063" t="inlineStr">
        <is>
          <t>contribution_rate</t>
        </is>
      </c>
      <c r="F1063" t="inlineStr">
        <is>
          <t>Contribution before losses per booked dollar</t>
        </is>
      </c>
      <c r="G1063" t="n">
        <v>206</v>
      </c>
      <c r="H1063" t="n">
        <v>11220774.03</v>
      </c>
      <c r="I1063" t="b">
        <v>0</v>
      </c>
      <c r="J1063" t="b">
        <v>0</v>
      </c>
      <c r="K1063" t="n">
        <v>0.03730538931610761</v>
      </c>
      <c r="L1063" t="n">
        <v>0.0003076615415381539</v>
      </c>
      <c r="M1063" t="n">
        <v>0.04509008865270756</v>
      </c>
      <c r="N1063" t="n">
        <v>0.000222200002222</v>
      </c>
      <c r="O1063" t="n">
        <v>-418595.3436172195</v>
      </c>
      <c r="P1063" t="n">
        <v>-505945.6957646986</v>
      </c>
      <c r="Q1063">
        <f>'_live'!$C$24</f>
        <v/>
      </c>
      <c r="R1063" t="inlineStr">
        <is>
          <t>shuffled: 0 of 10,000</t>
        </is>
      </c>
      <c r="S1063" t="inlineStr">
        <is>
          <t>shuffled: 0 of 10,000</t>
        </is>
      </c>
      <c r="T1063" t="n">
        <v>0.167970174013279</v>
      </c>
      <c r="U1063" t="n">
        <v>0.160185474676679</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0.2052755633293866</v>
      </c>
      <c r="AI1063">
        <f>IF($Y1063="worse","Yes",IF($Y1063="worse, not significant","Not sure",IF(OR($Y1063="too few losses to test",$Y1063="too few loans to test"),"Too few losses",IF($Y1063="","","No"))))</f>
        <v/>
      </c>
      <c r="AJ1063">
        <f>IF($AA1063="yes","Yes",IF($AA1063="","","No"))</f>
        <v/>
      </c>
    </row>
    <row r="1064">
      <c r="A1064" t="inlineStr">
        <is>
          <t>three-way</t>
        </is>
      </c>
      <c r="B1064" t="inlineStr">
        <is>
          <t>ORIG_BAL x ASSET_CLASS / REV_DEBT</t>
        </is>
      </c>
      <c r="C1064" t="inlineStr">
        <is>
          <t>26,324 - 37,950</t>
        </is>
      </c>
      <c r="D1064" t="inlineStr">
        <is>
          <t>1 / REV_DEBT high half</t>
        </is>
      </c>
      <c r="E1064" t="inlineStr">
        <is>
          <t>outcome_loans</t>
        </is>
      </c>
      <c r="F1064" t="inlineStr">
        <is>
          <t>Outcome, share of loans</t>
        </is>
      </c>
      <c r="G1064" t="n">
        <v>194</v>
      </c>
      <c r="H1064" t="n">
        <v>194</v>
      </c>
      <c r="I1064" t="b">
        <v>0</v>
      </c>
      <c r="J1064" t="b">
        <v>0</v>
      </c>
      <c r="K1064" t="n">
        <v>1.274012027491409</v>
      </c>
      <c r="L1064" t="n">
        <v>0.6067369206254094</v>
      </c>
      <c r="M1064" t="n">
        <v>1.511045655375552</v>
      </c>
      <c r="N1064" t="n">
        <v>0.2336558223904466</v>
      </c>
      <c r="O1064" t="n">
        <v>4.086483023702755</v>
      </c>
      <c r="P1064" t="n">
        <v>6.425925925925927</v>
      </c>
      <c r="Q1064">
        <f>'_live'!$C$20</f>
        <v/>
      </c>
      <c r="R1064" t="inlineStr">
        <is>
          <t>z test</t>
        </is>
      </c>
      <c r="S1064" t="inlineStr">
        <is>
          <t>z test</t>
        </is>
      </c>
      <c r="T1064" t="n">
        <v>0.07687379884689302</v>
      </c>
      <c r="U1064" t="n">
        <v>0.06481481481481481</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0.09793814432989691</v>
      </c>
      <c r="AI1064">
        <f>IF($Y1064="worse","Yes",IF($Y1064="worse, not significant","Not sure",IF(OR($Y1064="too few losses to test",$Y1064="too few loans to test"),"Too few losses",IF($Y1064="","","No"))))</f>
        <v/>
      </c>
      <c r="AJ1064">
        <f>IF($AA1064="yes","Yes",IF($AA1064="","","No"))</f>
        <v/>
      </c>
    </row>
    <row r="1065">
      <c r="A1065" t="inlineStr">
        <is>
          <t>three-way</t>
        </is>
      </c>
      <c r="B1065" t="inlineStr">
        <is>
          <t>ORIG_BAL x ASSET_CLASS / REV_DEBT</t>
        </is>
      </c>
      <c r="C1065" t="inlineStr">
        <is>
          <t>26,324 - 37,950</t>
        </is>
      </c>
      <c r="D1065" t="inlineStr">
        <is>
          <t>1 / REV_DEBT high half</t>
        </is>
      </c>
      <c r="E1065" t="inlineStr">
        <is>
          <t>outcome_booked</t>
        </is>
      </c>
      <c r="F1065" t="inlineStr">
        <is>
          <t>Outcome, share of booked dollars</t>
        </is>
      </c>
      <c r="G1065" t="n">
        <v>194</v>
      </c>
      <c r="H1065" t="n">
        <v>6222109.339999998</v>
      </c>
      <c r="I1065" t="b">
        <v>0</v>
      </c>
      <c r="J1065" t="b">
        <v>0</v>
      </c>
      <c r="K1065" t="n">
        <v>1.311375819060667</v>
      </c>
      <c r="L1065" t="n">
        <v>0.658974102589741</v>
      </c>
      <c r="M1065" t="n">
        <v>1.517208144722916</v>
      </c>
      <c r="N1065" t="n">
        <v>0.2146452021464521</v>
      </c>
      <c r="O1065" t="n">
        <v>143894.1062756591</v>
      </c>
      <c r="P1065" t="n">
        <v>206588.1870145958</v>
      </c>
      <c r="Q1065">
        <f>'_live'!$C$21</f>
        <v/>
      </c>
      <c r="R1065" t="inlineStr">
        <is>
          <t>shuffled: 2,745 of 10,000</t>
        </is>
      </c>
      <c r="S1065" t="inlineStr">
        <is>
          <t>shuffled: 804 of 10,000</t>
        </is>
      </c>
      <c r="T1065" t="n">
        <v>0.07427120747517128</v>
      </c>
      <c r="U1065" t="n">
        <v>0.06419519027375438</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0.09739746553537745</v>
      </c>
      <c r="AI1065">
        <f>IF($Y1065="worse","Yes",IF($Y1065="worse, not significant","Not sure",IF(OR($Y1065="too few losses to test",$Y1065="too few loans to test"),"Too few losses",IF($Y1065="","","No"))))</f>
        <v/>
      </c>
      <c r="AJ1065">
        <f>IF($AA1065="yes","Yes",IF($AA1065="","","No"))</f>
        <v/>
      </c>
    </row>
    <row r="1066">
      <c r="A1066" t="inlineStr">
        <is>
          <t>three-way</t>
        </is>
      </c>
      <c r="B1066" t="inlineStr">
        <is>
          <t>ORIG_BAL x ASSET_CLASS / REV_DEBT</t>
        </is>
      </c>
      <c r="C1066" t="inlineStr">
        <is>
          <t>26,324 - 37,950</t>
        </is>
      </c>
      <c r="D1066" t="inlineStr">
        <is>
          <t>1 / REV_DEBT high half</t>
        </is>
      </c>
      <c r="E1066" t="inlineStr">
        <is>
          <t>gco_rate</t>
        </is>
      </c>
      <c r="F1066" t="inlineStr">
        <is>
          <t>GCO per booked dollar</t>
        </is>
      </c>
      <c r="G1066" t="n">
        <v>194</v>
      </c>
      <c r="H1066" t="n">
        <v>6222109.339999998</v>
      </c>
      <c r="I1066" t="b">
        <v>0</v>
      </c>
      <c r="J1066" t="b">
        <v>0</v>
      </c>
      <c r="K1066" t="n">
        <v>1.192886319905656</v>
      </c>
      <c r="L1066" t="n">
        <v>0.8043430951022545</v>
      </c>
      <c r="M1066" t="n">
        <v>1.379766956459306</v>
      </c>
      <c r="N1066" t="n">
        <v>0.385622976163922</v>
      </c>
      <c r="O1066" t="n">
        <v>49701.78966079754</v>
      </c>
      <c r="P1066" t="n">
        <v>84602.09002042268</v>
      </c>
      <c r="Q1066">
        <f>'_live'!$C$22</f>
        <v/>
      </c>
      <c r="R1066" t="inlineStr">
        <is>
          <t>shuffled: 5,126 of 10,000</t>
        </is>
      </c>
      <c r="S1066" t="inlineStr">
        <is>
          <t>shuffled: 2,088 of 10,000</t>
        </is>
      </c>
      <c r="T1066" t="n">
        <v>0.04141264421097469</v>
      </c>
      <c r="U1066" t="n">
        <v>0.03580356560876145</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0.04940057675039188</v>
      </c>
      <c r="AI1066">
        <f>IF($Y1066="worse","Yes",IF($Y1066="worse, not significant","Not sure",IF(OR($Y1066="too few losses to test",$Y1066="too few loans to test"),"Too few losses",IF($Y1066="","","No"))))</f>
        <v/>
      </c>
      <c r="AJ1066">
        <f>IF($AA1066="yes","Yes",IF($AA1066="","","No"))</f>
        <v/>
      </c>
    </row>
    <row r="1067">
      <c r="A1067" t="inlineStr">
        <is>
          <t>three-way</t>
        </is>
      </c>
      <c r="B1067" t="inlineStr">
        <is>
          <t>ORIG_BAL x ASSET_CLASS / REV_DEBT</t>
        </is>
      </c>
      <c r="C1067" t="inlineStr">
        <is>
          <t>26,324 - 37,950</t>
        </is>
      </c>
      <c r="D1067" t="inlineStr">
        <is>
          <t>1 / REV_DEBT high half</t>
        </is>
      </c>
      <c r="E1067" t="inlineStr">
        <is>
          <t>ranr_rate</t>
        </is>
      </c>
      <c r="F1067" t="inlineStr">
        <is>
          <t>Profit after losses: RANR per booked dollar</t>
        </is>
      </c>
      <c r="G1067" t="n">
        <v>194</v>
      </c>
      <c r="H1067" t="n">
        <v>6222109.339999998</v>
      </c>
      <c r="I1067" t="b">
        <v>0</v>
      </c>
      <c r="J1067" t="b">
        <v>0</v>
      </c>
      <c r="K1067" t="n">
        <v>0.02854455695155791</v>
      </c>
      <c r="L1067" t="n">
        <v>0.240864802408648</v>
      </c>
      <c r="M1067" t="n">
        <v>0.02793048985881505</v>
      </c>
      <c r="N1067" t="n">
        <v>0.2064793520647935</v>
      </c>
      <c r="O1067" t="n">
        <v>-177607.3544144505</v>
      </c>
      <c r="P1067" t="n">
        <v>-173786.5618213085</v>
      </c>
      <c r="Q1067">
        <f>'_live'!$C$23</f>
        <v/>
      </c>
      <c r="R1067" t="inlineStr">
        <is>
          <t>shuffled: 533 of 10,000</t>
        </is>
      </c>
      <c r="S1067" t="inlineStr">
        <is>
          <t>shuffled: 412 of 10,000</t>
        </is>
      </c>
      <c r="T1067" t="n">
        <v>0.1273018316302281</v>
      </c>
      <c r="U1067" t="n">
        <v>0.127915898722971</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0.155846388581786</v>
      </c>
      <c r="AI1067">
        <f>IF($Y1067="worse","Yes",IF($Y1067="worse, not significant","Not sure",IF(OR($Y1067="too few losses to test",$Y1067="too few loans to test"),"Too few losses",IF($Y1067="","","No"))))</f>
        <v/>
      </c>
      <c r="AJ1067">
        <f>IF($AA1067="yes","Yes",IF($AA1067="","","No"))</f>
        <v/>
      </c>
    </row>
    <row r="1068">
      <c r="A1068" t="inlineStr">
        <is>
          <t>three-way</t>
        </is>
      </c>
      <c r="B1068" t="inlineStr">
        <is>
          <t>ORIG_BAL x ASSET_CLASS / REV_DEBT</t>
        </is>
      </c>
      <c r="C1068" t="inlineStr">
        <is>
          <t>26,324 - 37,950</t>
        </is>
      </c>
      <c r="D1068" t="inlineStr">
        <is>
          <t>1 / REV_DEBT high half</t>
        </is>
      </c>
      <c r="E1068" t="inlineStr">
        <is>
          <t>contribution_rate</t>
        </is>
      </c>
      <c r="F1068" t="inlineStr">
        <is>
          <t>Contribution before losses per booked dollar</t>
        </is>
      </c>
      <c r="G1068" t="n">
        <v>194</v>
      </c>
      <c r="H1068" t="n">
        <v>6222109.339999998</v>
      </c>
      <c r="I1068" t="b">
        <v>0</v>
      </c>
      <c r="J1068" t="b">
        <v>0</v>
      </c>
      <c r="K1068" t="n">
        <v>0.03653552785142727</v>
      </c>
      <c r="L1068" t="n">
        <v>0.0009999000099990001</v>
      </c>
      <c r="M1068" t="n">
        <v>0.04152750100044539</v>
      </c>
      <c r="N1068" t="n">
        <v>0.000222200002222</v>
      </c>
      <c r="O1068" t="n">
        <v>-227328.0490861956</v>
      </c>
      <c r="P1068" t="n">
        <v>-258388.6518417306</v>
      </c>
      <c r="Q1068">
        <f>'_live'!$C$24</f>
        <v/>
      </c>
      <c r="R1068" t="inlineStr">
        <is>
          <t>shuffled: 3 of 10,000</t>
        </is>
      </c>
      <c r="S1068" t="inlineStr">
        <is>
          <t>shuffled: 0 of 10,000</t>
        </is>
      </c>
      <c r="T1068" t="n">
        <v>0.1687114374807506</v>
      </c>
      <c r="U1068" t="n">
        <v>0.1637194643317325</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0.2052469653321778</v>
      </c>
      <c r="AI1068">
        <f>IF($Y1068="worse","Yes",IF($Y1068="worse, not significant","Not sure",IF(OR($Y1068="too few losses to test",$Y1068="too few loans to test"),"Too few losses",IF($Y1068="","","No"))))</f>
        <v/>
      </c>
      <c r="AJ1068">
        <f>IF($AA1068="yes","Yes",IF($AA1068="","","No"))</f>
        <v/>
      </c>
    </row>
    <row r="1069">
      <c r="A1069" t="inlineStr">
        <is>
          <t>three-way</t>
        </is>
      </c>
      <c r="B1069" t="inlineStr">
        <is>
          <t>ORIG_BAL x ASSET_CLASS / REV_DEBT</t>
        </is>
      </c>
      <c r="C1069" t="inlineStr">
        <is>
          <t>49,152 - 59,984</t>
        </is>
      </c>
      <c r="D1069" t="inlineStr">
        <is>
          <t>1 / REV_DEBT low half</t>
        </is>
      </c>
      <c r="E1069" t="inlineStr">
        <is>
          <t>outcome_loans</t>
        </is>
      </c>
      <c r="F1069" t="inlineStr">
        <is>
          <t>Outcome, share of loans</t>
        </is>
      </c>
      <c r="G1069" t="n">
        <v>207</v>
      </c>
      <c r="H1069" t="n">
        <v>207</v>
      </c>
      <c r="I1069" t="b">
        <v>1</v>
      </c>
      <c r="J1069" t="b">
        <v>0</v>
      </c>
      <c r="K1069" t="n">
        <v>0.5553813257305773</v>
      </c>
      <c r="M1069" t="n">
        <v>0.6443108233117484</v>
      </c>
      <c r="O1069" t="n">
        <v>-7.205082135523615</v>
      </c>
      <c r="P1069" t="n">
        <v>-4.968413496051687</v>
      </c>
      <c r="Q1069">
        <f>'_live'!$C$20</f>
        <v/>
      </c>
      <c r="T1069" t="n">
        <v>0.07828542094455852</v>
      </c>
      <c r="U1069" t="n">
        <v>0.0674802584350323</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0.04347826086956522</v>
      </c>
      <c r="AI1069">
        <f>IF($Y1069="worse","Yes",IF($Y1069="worse, not significant","Not sure",IF(OR($Y1069="too few losses to test",$Y1069="too few loans to test"),"Too few losses",IF($Y1069="","","No"))))</f>
        <v/>
      </c>
      <c r="AJ1069">
        <f>IF($AA1069="yes","Yes",IF($AA1069="","","No"))</f>
        <v/>
      </c>
    </row>
    <row r="1070">
      <c r="A1070" t="inlineStr">
        <is>
          <t>three-way</t>
        </is>
      </c>
      <c r="B1070" t="inlineStr">
        <is>
          <t>ORIG_BAL x ASSET_CLASS / REV_DEBT</t>
        </is>
      </c>
      <c r="C1070" t="inlineStr">
        <is>
          <t>49,152 - 59,984</t>
        </is>
      </c>
      <c r="D1070" t="inlineStr">
        <is>
          <t>1 / REV_DEBT low half</t>
        </is>
      </c>
      <c r="E1070" t="inlineStr">
        <is>
          <t>outcome_booked</t>
        </is>
      </c>
      <c r="F1070" t="inlineStr">
        <is>
          <t>Outcome, share of booked dollars</t>
        </is>
      </c>
      <c r="G1070" t="n">
        <v>207</v>
      </c>
      <c r="H1070" t="n">
        <v>11301692.44</v>
      </c>
      <c r="I1070" t="b">
        <v>1</v>
      </c>
      <c r="J1070" t="b">
        <v>0</v>
      </c>
      <c r="K1070" t="n">
        <v>0.5540637585242694</v>
      </c>
      <c r="M1070" t="n">
        <v>0.6211963640347601</v>
      </c>
      <c r="O1070" t="n">
        <v>-384637.7859404768</v>
      </c>
      <c r="P1070" t="n">
        <v>-291423.2214167001</v>
      </c>
      <c r="Q1070">
        <f>'_live'!$C$21</f>
        <v/>
      </c>
      <c r="T1070" t="n">
        <v>0.07631953094809903</v>
      </c>
      <c r="U1070" t="n">
        <v>0.06807168974921247</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0.04228588616591304</v>
      </c>
      <c r="AI1070">
        <f>IF($Y1070="worse","Yes",IF($Y1070="worse, not significant","Not sure",IF(OR($Y1070="too few losses to test",$Y1070="too few loans to test"),"Too few losses",IF($Y1070="","","No"))))</f>
        <v/>
      </c>
      <c r="AJ1070">
        <f>IF($AA1070="yes","Yes",IF($AA1070="","","No"))</f>
        <v/>
      </c>
    </row>
    <row r="1071">
      <c r="A1071" t="inlineStr">
        <is>
          <t>three-way</t>
        </is>
      </c>
      <c r="B1071" t="inlineStr">
        <is>
          <t>ORIG_BAL x ASSET_CLASS / REV_DEBT</t>
        </is>
      </c>
      <c r="C1071" t="inlineStr">
        <is>
          <t>49,152 - 59,984</t>
        </is>
      </c>
      <c r="D1071" t="inlineStr">
        <is>
          <t>1 / REV_DEBT low half</t>
        </is>
      </c>
      <c r="E1071" t="inlineStr">
        <is>
          <t>gco_rate</t>
        </is>
      </c>
      <c r="F1071" t="inlineStr">
        <is>
          <t>GCO per booked dollar</t>
        </is>
      </c>
      <c r="G1071" t="n">
        <v>207</v>
      </c>
      <c r="H1071" t="n">
        <v>11301692.44</v>
      </c>
      <c r="I1071" t="b">
        <v>1</v>
      </c>
      <c r="J1071" t="b">
        <v>0</v>
      </c>
      <c r="K1071" t="n">
        <v>0.513909712112546</v>
      </c>
      <c r="M1071" t="n">
        <v>0.5811869054267765</v>
      </c>
      <c r="O1071" t="n">
        <v>-233536.6578767036</v>
      </c>
      <c r="P1071" t="n">
        <v>-177921.8858602348</v>
      </c>
      <c r="Q1071">
        <f>'_live'!$C$22</f>
        <v/>
      </c>
      <c r="T1071" t="n">
        <v>0.04251034528034844</v>
      </c>
      <c r="U1071" t="n">
        <v>0.03758942106375661</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0.02184647930482879</v>
      </c>
      <c r="AI1071">
        <f>IF($Y1071="worse","Yes",IF($Y1071="worse, not significant","Not sure",IF(OR($Y1071="too few losses to test",$Y1071="too few loans to test"),"Too few losses",IF($Y1071="","","No"))))</f>
        <v/>
      </c>
      <c r="AJ1071">
        <f>IF($AA1071="yes","Yes",IF($AA1071="","","No"))</f>
        <v/>
      </c>
    </row>
    <row r="1072">
      <c r="A1072" t="inlineStr">
        <is>
          <t>three-way</t>
        </is>
      </c>
      <c r="B1072" t="inlineStr">
        <is>
          <t>ORIG_BAL x ASSET_CLASS / REV_DEBT</t>
        </is>
      </c>
      <c r="C1072" t="inlineStr">
        <is>
          <t>49,152 - 59,984</t>
        </is>
      </c>
      <c r="D1072" t="inlineStr">
        <is>
          <t>1 / REV_DEBT low half</t>
        </is>
      </c>
      <c r="E1072" t="inlineStr">
        <is>
          <t>ranr_rate</t>
        </is>
      </c>
      <c r="F1072" t="inlineStr">
        <is>
          <t>Profit after losses: RANR per booked dollar</t>
        </is>
      </c>
      <c r="G1072" t="n">
        <v>207</v>
      </c>
      <c r="H1072" t="n">
        <v>11301692.44</v>
      </c>
      <c r="I1072" t="b">
        <v>0</v>
      </c>
      <c r="J1072" t="b">
        <v>0</v>
      </c>
      <c r="K1072" t="n">
        <v>-0.008959037603472914</v>
      </c>
      <c r="L1072" t="n">
        <v>0.7797738744644055</v>
      </c>
      <c r="M1072" t="n">
        <v>-0.01263482485517931</v>
      </c>
      <c r="N1072" t="n">
        <v>0.5575094664446599</v>
      </c>
      <c r="O1072" t="n">
        <v>101252.2875528457</v>
      </c>
      <c r="P1072" t="n">
        <v>142794.9045465041</v>
      </c>
      <c r="Q1072">
        <f>'_live'!$C$23</f>
        <v/>
      </c>
      <c r="R1072" t="inlineStr">
        <is>
          <t>shuffled: 5,263 of 10,000</t>
        </is>
      </c>
      <c r="S1072" t="inlineStr">
        <is>
          <t>shuffled: 3,205 of 10,000</t>
        </is>
      </c>
      <c r="T1072" t="n">
        <v>0.1283823962876171</v>
      </c>
      <c r="U1072" t="n">
        <v>0.1320581835393234</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0.1194233586841441</v>
      </c>
      <c r="AI1072">
        <f>IF($Y1072="worse","Yes",IF($Y1072="worse, not significant","Not sure",IF(OR($Y1072="too few losses to test",$Y1072="too few loans to test"),"Too few losses",IF($Y1072="","","No"))))</f>
        <v/>
      </c>
      <c r="AJ1072">
        <f>IF($AA1072="yes","Yes",IF($AA1072="","","No"))</f>
        <v/>
      </c>
    </row>
    <row r="1073">
      <c r="A1073" t="inlineStr">
        <is>
          <t>three-way</t>
        </is>
      </c>
      <c r="B1073" t="inlineStr">
        <is>
          <t>ORIG_BAL x ASSET_CLASS / REV_DEBT</t>
        </is>
      </c>
      <c r="C1073" t="inlineStr">
        <is>
          <t>49,152 - 59,984</t>
        </is>
      </c>
      <c r="D1073" t="inlineStr">
        <is>
          <t>1 / REV_DEBT low half</t>
        </is>
      </c>
      <c r="E1073" t="inlineStr">
        <is>
          <t>contribution_rate</t>
        </is>
      </c>
      <c r="F1073" t="inlineStr">
        <is>
          <t>Contribution before losses per booked dollar</t>
        </is>
      </c>
      <c r="G1073" t="n">
        <v>207</v>
      </c>
      <c r="H1073" t="n">
        <v>11301692.44</v>
      </c>
      <c r="I1073" t="b">
        <v>0</v>
      </c>
      <c r="J1073" t="b">
        <v>0</v>
      </c>
      <c r="K1073" t="n">
        <v>-0.02961997646692582</v>
      </c>
      <c r="L1073" t="n">
        <v>0.002333100023331</v>
      </c>
      <c r="M1073" t="n">
        <v>-0.02837776661410715</v>
      </c>
      <c r="N1073" t="n">
        <v>0.00181800001818</v>
      </c>
      <c r="O1073" t="n">
        <v>334755.8641092333</v>
      </c>
      <c r="P1073" t="n">
        <v>320716.7904067391</v>
      </c>
      <c r="Q1073">
        <f>'_live'!$C$24</f>
        <v/>
      </c>
      <c r="R1073" t="inlineStr">
        <is>
          <t>shuffled: 13 of 10,000</t>
        </is>
      </c>
      <c r="S1073" t="inlineStr">
        <is>
          <t>shuffled: 14 of 10,000</t>
        </is>
      </c>
      <c r="T1073" t="n">
        <v>0.1708898144558987</v>
      </c>
      <c r="U1073" t="n">
        <v>0.1696476046030801</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0.1412698379889729</v>
      </c>
      <c r="AI1073">
        <f>IF($Y1073="worse","Yes",IF($Y1073="worse, not significant","Not sure",IF(OR($Y1073="too few losses to test",$Y1073="too few loans to test"),"Too few losses",IF($Y1073="","","No"))))</f>
        <v/>
      </c>
      <c r="AJ1073">
        <f>IF($AA1073="yes","Yes",IF($AA1073="","","No"))</f>
        <v/>
      </c>
    </row>
    <row r="1074">
      <c r="A1074" t="inlineStr">
        <is>
          <t>three-way</t>
        </is>
      </c>
      <c r="B1074" t="inlineStr">
        <is>
          <t>ORIG_BAL x ASSET_CLASS / REV_DEBT</t>
        </is>
      </c>
      <c r="C1074" t="inlineStr">
        <is>
          <t>37,951 - 49,151</t>
        </is>
      </c>
      <c r="D1074" t="inlineStr">
        <is>
          <t>4 / REV_DEBT high half</t>
        </is>
      </c>
      <c r="E1074" t="inlineStr">
        <is>
          <t>outcome_loans</t>
        </is>
      </c>
      <c r="F1074" t="inlineStr">
        <is>
          <t>Outcome, share of loans</t>
        </is>
      </c>
      <c r="G1074" t="n">
        <v>207</v>
      </c>
      <c r="H1074" t="n">
        <v>207</v>
      </c>
      <c r="I1074" t="b">
        <v>0</v>
      </c>
      <c r="J1074" t="b">
        <v>0</v>
      </c>
      <c r="K1074" t="n">
        <v>2.393080664707738</v>
      </c>
      <c r="L1074" t="n">
        <v>7.697172319050652e-07</v>
      </c>
      <c r="M1074" t="n">
        <v>2.566910702724239</v>
      </c>
      <c r="N1074" t="n">
        <v>1.782889864320094e-06</v>
      </c>
      <c r="O1074" t="n">
        <v>21.53875770020534</v>
      </c>
      <c r="P1074" t="n">
        <v>22.58578607322326</v>
      </c>
      <c r="Q1074">
        <f>'_live'!$C$20</f>
        <v/>
      </c>
      <c r="R1074" t="inlineStr">
        <is>
          <t>z test</t>
        </is>
      </c>
      <c r="S1074" t="inlineStr">
        <is>
          <t>z test</t>
        </is>
      </c>
      <c r="T1074" t="n">
        <v>0.07469199178644764</v>
      </c>
      <c r="U1074" t="n">
        <v>0.06963388370423547</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0.178743961352657</v>
      </c>
      <c r="AI1074">
        <f>IF($Y1074="worse","Yes",IF($Y1074="worse, not significant","Not sure",IF(OR($Y1074="too few losses to test",$Y1074="too few loans to test"),"Too few losses",IF($Y1074="","","No"))))</f>
        <v/>
      </c>
      <c r="AJ1074">
        <f>IF($AA1074="yes","Yes",IF($AA1074="","","No"))</f>
        <v/>
      </c>
    </row>
    <row r="1075">
      <c r="A1075" t="inlineStr">
        <is>
          <t>three-way</t>
        </is>
      </c>
      <c r="B1075" t="inlineStr">
        <is>
          <t>ORIG_BAL x ASSET_CLASS / REV_DEBT</t>
        </is>
      </c>
      <c r="C1075" t="inlineStr">
        <is>
          <t>37,951 - 49,151</t>
        </is>
      </c>
      <c r="D1075" t="inlineStr">
        <is>
          <t>4 / REV_DEBT high half</t>
        </is>
      </c>
      <c r="E1075" t="inlineStr">
        <is>
          <t>outcome_booked</t>
        </is>
      </c>
      <c r="F1075" t="inlineStr">
        <is>
          <t>Outcome, share of booked dollars</t>
        </is>
      </c>
      <c r="G1075" t="n">
        <v>207</v>
      </c>
      <c r="H1075" t="n">
        <v>9028423.590000002</v>
      </c>
      <c r="I1075" t="b">
        <v>0</v>
      </c>
      <c r="J1075" t="b">
        <v>0</v>
      </c>
      <c r="K1075" t="n">
        <v>2.530026954016434</v>
      </c>
      <c r="L1075" t="n">
        <v>0.0023997600239976</v>
      </c>
      <c r="M1075" t="n">
        <v>2.615228567044437</v>
      </c>
      <c r="N1075" t="n">
        <v>0.0007999200079992001</v>
      </c>
      <c r="O1075" t="n">
        <v>981140.4736171342</v>
      </c>
      <c r="P1075" t="n">
        <v>1002032.004970756</v>
      </c>
      <c r="Q1075">
        <f>'_live'!$C$21</f>
        <v/>
      </c>
      <c r="R1075" t="inlineStr">
        <is>
          <t>shuffled: 0 of 10,000</t>
        </is>
      </c>
      <c r="S1075" t="inlineStr">
        <is>
          <t>shuffled: 0 of 10,000</t>
        </is>
      </c>
      <c r="T1075" t="n">
        <v>0.0710264621492871</v>
      </c>
      <c r="U1075" t="n">
        <v>0.06871248882433571</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0.1796988636861244</v>
      </c>
      <c r="AI1075">
        <f>IF($Y1075="worse","Yes",IF($Y1075="worse, not significant","Not sure",IF(OR($Y1075="too few losses to test",$Y1075="too few loans to test"),"Too few losses",IF($Y1075="","","No"))))</f>
        <v/>
      </c>
      <c r="AJ1075">
        <f>IF($AA1075="yes","Yes",IF($AA1075="","","No"))</f>
        <v/>
      </c>
    </row>
    <row r="1076">
      <c r="A1076" t="inlineStr">
        <is>
          <t>three-way</t>
        </is>
      </c>
      <c r="B1076" t="inlineStr">
        <is>
          <t>ORIG_BAL x ASSET_CLASS / REV_DEBT</t>
        </is>
      </c>
      <c r="C1076" t="inlineStr">
        <is>
          <t>37,951 - 49,151</t>
        </is>
      </c>
      <c r="D1076" t="inlineStr">
        <is>
          <t>4 / REV_DEBT high half</t>
        </is>
      </c>
      <c r="E1076" t="inlineStr">
        <is>
          <t>gco_rate</t>
        </is>
      </c>
      <c r="F1076" t="inlineStr">
        <is>
          <t>GCO per booked dollar</t>
        </is>
      </c>
      <c r="G1076" t="n">
        <v>207</v>
      </c>
      <c r="H1076" t="n">
        <v>9028423.590000002</v>
      </c>
      <c r="I1076" t="b">
        <v>0</v>
      </c>
      <c r="J1076" t="b">
        <v>0</v>
      </c>
      <c r="K1076" t="n">
        <v>2.522762120855737</v>
      </c>
      <c r="L1076" t="n">
        <v>0.0023997600239976</v>
      </c>
      <c r="M1076" t="n">
        <v>2.562321508681421</v>
      </c>
      <c r="N1076" t="n">
        <v>0.0007999200079992001</v>
      </c>
      <c r="O1076" t="n">
        <v>543060.056526646</v>
      </c>
      <c r="P1076" t="n">
        <v>548565.9998375557</v>
      </c>
      <c r="Q1076">
        <f>'_live'!$C$22</f>
        <v/>
      </c>
      <c r="R1076" t="inlineStr">
        <is>
          <t>shuffled: 0 of 10,000</t>
        </is>
      </c>
      <c r="S1076" t="inlineStr">
        <is>
          <t>shuffled: 0 of 10,000</t>
        </is>
      </c>
      <c r="T1076" t="n">
        <v>0.03950061601765779</v>
      </c>
      <c r="U1076" t="n">
        <v>0.0388907705384306</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0.09965065783981446</v>
      </c>
      <c r="AI1076">
        <f>IF($Y1076="worse","Yes",IF($Y1076="worse, not significant","Not sure",IF(OR($Y1076="too few losses to test",$Y1076="too few loans to test"),"Too few losses",IF($Y1076="","","No"))))</f>
        <v/>
      </c>
      <c r="AJ1076">
        <f>IF($AA1076="yes","Yes",IF($AA1076="","","No"))</f>
        <v/>
      </c>
    </row>
    <row r="1077">
      <c r="A1077" t="inlineStr">
        <is>
          <t>three-way</t>
        </is>
      </c>
      <c r="B1077" t="inlineStr">
        <is>
          <t>ORIG_BAL x ASSET_CLASS / REV_DEBT</t>
        </is>
      </c>
      <c r="C1077" t="inlineStr">
        <is>
          <t>37,951 - 49,151</t>
        </is>
      </c>
      <c r="D1077" t="inlineStr">
        <is>
          <t>4 / REV_DEBT high half</t>
        </is>
      </c>
      <c r="E1077" t="inlineStr">
        <is>
          <t>ranr_rate</t>
        </is>
      </c>
      <c r="F1077" t="inlineStr">
        <is>
          <t>Profit after losses: RANR per booked dollar</t>
        </is>
      </c>
      <c r="G1077" t="n">
        <v>207</v>
      </c>
      <c r="H1077" t="n">
        <v>9028423.590000002</v>
      </c>
      <c r="I1077" t="b">
        <v>0</v>
      </c>
      <c r="J1077" t="b">
        <v>0</v>
      </c>
      <c r="K1077" t="n">
        <v>-0.02780747435254563</v>
      </c>
      <c r="L1077" t="n">
        <v>0.240864802408648</v>
      </c>
      <c r="M1077" t="n">
        <v>-0.02443878151296675</v>
      </c>
      <c r="N1077" t="n">
        <v>0.3159684031596841</v>
      </c>
      <c r="O1077" t="n">
        <v>251057.657422843</v>
      </c>
      <c r="P1077" t="n">
        <v>220643.6715225248</v>
      </c>
      <c r="Q1077">
        <f>'_live'!$C$23</f>
        <v/>
      </c>
      <c r="R1077" t="inlineStr">
        <is>
          <t>shuffled: 510 of 10,000</t>
        </is>
      </c>
      <c r="S1077" t="inlineStr">
        <is>
          <t>shuffled: 868 of 10,000</t>
        </is>
      </c>
      <c r="T1077" t="n">
        <v>0.1289628832559951</v>
      </c>
      <c r="U1077" t="n">
        <v>0.1255941904164163</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0.1011554089034495</v>
      </c>
      <c r="AI1077">
        <f>IF($Y1077="worse","Yes",IF($Y1077="worse, not significant","Not sure",IF(OR($Y1077="too few losses to test",$Y1077="too few loans to test"),"Too few losses",IF($Y1077="","","No"))))</f>
        <v/>
      </c>
      <c r="AJ1077">
        <f>IF($AA1077="yes","Yes",IF($AA1077="","","No"))</f>
        <v/>
      </c>
    </row>
    <row r="1078">
      <c r="A1078" t="inlineStr">
        <is>
          <t>three-way</t>
        </is>
      </c>
      <c r="B1078" t="inlineStr">
        <is>
          <t>ORIG_BAL x ASSET_CLASS / REV_DEBT</t>
        </is>
      </c>
      <c r="C1078" t="inlineStr">
        <is>
          <t>37,951 - 49,151</t>
        </is>
      </c>
      <c r="D1078" t="inlineStr">
        <is>
          <t>4 / REV_DEBT high half</t>
        </is>
      </c>
      <c r="E1078" t="inlineStr">
        <is>
          <t>contribution_rate</t>
        </is>
      </c>
      <c r="F1078" t="inlineStr">
        <is>
          <t>Contribution before losses per booked dollar</t>
        </is>
      </c>
      <c r="G1078" t="n">
        <v>207</v>
      </c>
      <c r="H1078" t="n">
        <v>9028423.590000002</v>
      </c>
      <c r="I1078" t="b">
        <v>0</v>
      </c>
      <c r="J1078" t="b">
        <v>0</v>
      </c>
      <c r="K1078" t="n">
        <v>0.03234537534325682</v>
      </c>
      <c r="L1078" t="n">
        <v>0.002181600021816</v>
      </c>
      <c r="M1078" t="n">
        <v>0.03633484238009163</v>
      </c>
      <c r="N1078" t="n">
        <v>0.000222200002222</v>
      </c>
      <c r="O1078" t="n">
        <v>-292027.7497764642</v>
      </c>
      <c r="P1078" t="n">
        <v>-328046.348083351</v>
      </c>
      <c r="Q1078">
        <f>'_live'!$C$24</f>
        <v/>
      </c>
      <c r="R1078" t="inlineStr">
        <is>
          <t>shuffled: 10 of 10,000</t>
        </is>
      </c>
      <c r="S1078" t="inlineStr">
        <is>
          <t>shuffled: 0 of 10,000</t>
        </is>
      </c>
      <c r="T1078" t="n">
        <v>0.1684606914000072</v>
      </c>
      <c r="U1078" t="n">
        <v>0.1644712243631724</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0.200806066743264</v>
      </c>
      <c r="AI1078">
        <f>IF($Y1078="worse","Yes",IF($Y1078="worse, not significant","Not sure",IF(OR($Y1078="too few losses to test",$Y1078="too few loans to test"),"Too few losses",IF($Y1078="","","No"))))</f>
        <v/>
      </c>
      <c r="AJ1078">
        <f>IF($AA1078="yes","Yes",IF($AA1078="","","No"))</f>
        <v/>
      </c>
    </row>
    <row r="1079">
      <c r="A1079" t="inlineStr">
        <is>
          <t>three-way</t>
        </is>
      </c>
      <c r="B1079" t="inlineStr">
        <is>
          <t>ORIG_BAL x ASSET_CLASS / REV_DEBT</t>
        </is>
      </c>
      <c r="C1079" t="inlineStr">
        <is>
          <t>5,005 - 15,448</t>
        </is>
      </c>
      <c r="D1079" t="inlineStr">
        <is>
          <t>3 / REV_DEBT high half</t>
        </is>
      </c>
      <c r="E1079" t="inlineStr">
        <is>
          <t>outcome_loans</t>
        </is>
      </c>
      <c r="F1079" t="inlineStr">
        <is>
          <t>Outcome, share of loans</t>
        </is>
      </c>
      <c r="G1079" t="n">
        <v>177</v>
      </c>
      <c r="H1079" t="n">
        <v>177</v>
      </c>
      <c r="I1079" t="b">
        <v>0</v>
      </c>
      <c r="J1079" t="b">
        <v>0</v>
      </c>
      <c r="K1079" t="n">
        <v>1.628519244054548</v>
      </c>
      <c r="L1079" t="n">
        <v>0.06233355108828782</v>
      </c>
      <c r="M1079" t="n">
        <v>1.751188678189853</v>
      </c>
      <c r="N1079" t="n">
        <v>0.04125952447343561</v>
      </c>
      <c r="O1079" t="n">
        <v>8.490795193045257</v>
      </c>
      <c r="P1079" t="n">
        <v>9.437104708362615</v>
      </c>
      <c r="Q1079">
        <f>'_live'!$C$20</f>
        <v/>
      </c>
      <c r="R1079" t="inlineStr">
        <is>
          <t>z test</t>
        </is>
      </c>
      <c r="S1079" t="inlineStr">
        <is>
          <t>z test</t>
        </is>
      </c>
      <c r="T1079" t="n">
        <v>0.07632319099974431</v>
      </c>
      <c r="U1079" t="n">
        <v>0.07097680955727337</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0.1242937853107345</v>
      </c>
      <c r="AI1079">
        <f>IF($Y1079="worse","Yes",IF($Y1079="worse, not significant","Not sure",IF(OR($Y1079="too few losses to test",$Y1079="too few loans to test"),"Too few losses",IF($Y1079="","","No"))))</f>
        <v/>
      </c>
      <c r="AJ1079">
        <f>IF($AA1079="yes","Yes",IF($AA1079="","","No"))</f>
        <v/>
      </c>
    </row>
    <row r="1080">
      <c r="A1080" t="inlineStr">
        <is>
          <t>three-way</t>
        </is>
      </c>
      <c r="B1080" t="inlineStr">
        <is>
          <t>ORIG_BAL x ASSET_CLASS / REV_DEBT</t>
        </is>
      </c>
      <c r="C1080" t="inlineStr">
        <is>
          <t>5,005 - 15,448</t>
        </is>
      </c>
      <c r="D1080" t="inlineStr">
        <is>
          <t>3 / REV_DEBT high half</t>
        </is>
      </c>
      <c r="E1080" t="inlineStr">
        <is>
          <t>outcome_booked</t>
        </is>
      </c>
      <c r="F1080" t="inlineStr">
        <is>
          <t>Outcome, share of booked dollars</t>
        </is>
      </c>
      <c r="G1080" t="n">
        <v>177</v>
      </c>
      <c r="H1080" t="n">
        <v>1766364.65</v>
      </c>
      <c r="I1080" t="b">
        <v>0</v>
      </c>
      <c r="J1080" t="b">
        <v>0</v>
      </c>
      <c r="K1080" t="n">
        <v>1.563442455857695</v>
      </c>
      <c r="L1080" t="n">
        <v>0.1622837716228377</v>
      </c>
      <c r="M1080" t="n">
        <v>1.651365657034872</v>
      </c>
      <c r="N1080" t="n">
        <v>0.1220449383633065</v>
      </c>
      <c r="O1080" t="n">
        <v>74186.90114667179</v>
      </c>
      <c r="P1080" t="n">
        <v>81197.2221633188</v>
      </c>
      <c r="Q1080">
        <f>'_live'!$C$21</f>
        <v/>
      </c>
      <c r="R1080" t="inlineStr">
        <is>
          <t>shuffled: 540 of 10,000</t>
        </is>
      </c>
      <c r="S1080" t="inlineStr">
        <is>
          <t>shuffled: 355 of 10,000</t>
        </is>
      </c>
      <c r="T1080" t="n">
        <v>0.07454135750131105</v>
      </c>
      <c r="U1080" t="n">
        <v>0.07057257279049441</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0.1165411230348162</v>
      </c>
      <c r="AI1080">
        <f>IF($Y1080="worse","Yes",IF($Y1080="worse, not significant","Not sure",IF(OR($Y1080="too few losses to test",$Y1080="too few loans to test"),"Too few losses",IF($Y1080="","","No"))))</f>
        <v/>
      </c>
      <c r="AJ1080">
        <f>IF($AA1080="yes","Yes",IF($AA1080="","","No"))</f>
        <v/>
      </c>
    </row>
    <row r="1081">
      <c r="A1081" t="inlineStr">
        <is>
          <t>three-way</t>
        </is>
      </c>
      <c r="B1081" t="inlineStr">
        <is>
          <t>ORIG_BAL x ASSET_CLASS / REV_DEBT</t>
        </is>
      </c>
      <c r="C1081" t="inlineStr">
        <is>
          <t>5,005 - 15,448</t>
        </is>
      </c>
      <c r="D1081" t="inlineStr">
        <is>
          <t>3 / REV_DEBT high half</t>
        </is>
      </c>
      <c r="E1081" t="inlineStr">
        <is>
          <t>gco_rate</t>
        </is>
      </c>
      <c r="F1081" t="inlineStr">
        <is>
          <t>GCO per booked dollar</t>
        </is>
      </c>
      <c r="G1081" t="n">
        <v>177</v>
      </c>
      <c r="H1081" t="n">
        <v>1766364.65</v>
      </c>
      <c r="I1081" t="b">
        <v>0</v>
      </c>
      <c r="J1081" t="b">
        <v>0</v>
      </c>
      <c r="K1081" t="n">
        <v>1.606406366467502</v>
      </c>
      <c r="L1081" t="n">
        <v>0.1337866213378662</v>
      </c>
      <c r="M1081" t="n">
        <v>1.736676705087449</v>
      </c>
      <c r="N1081" t="n">
        <v>0.08159184081591841</v>
      </c>
      <c r="O1081" t="n">
        <v>44380.61249124129</v>
      </c>
      <c r="P1081" t="n">
        <v>49870.40717787675</v>
      </c>
      <c r="Q1081">
        <f>'_live'!$C$22</f>
        <v/>
      </c>
      <c r="R1081" t="inlineStr">
        <is>
          <t>shuffled: 445 of 10,000</t>
        </is>
      </c>
      <c r="S1081" t="inlineStr">
        <is>
          <t>shuffled: 237 of 10,000</t>
        </is>
      </c>
      <c r="T1081" t="n">
        <v>0.0414332666297181</v>
      </c>
      <c r="U1081" t="n">
        <v>0.03832530436007267</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0.06655866329752466</v>
      </c>
      <c r="AI1081">
        <f>IF($Y1081="worse","Yes",IF($Y1081="worse, not significant","Not sure",IF(OR($Y1081="too few losses to test",$Y1081="too few loans to test"),"Too few losses",IF($Y1081="","","No"))))</f>
        <v/>
      </c>
      <c r="AJ1081">
        <f>IF($AA1081="yes","Yes",IF($AA1081="","","No"))</f>
        <v/>
      </c>
    </row>
    <row r="1082">
      <c r="A1082" t="inlineStr">
        <is>
          <t>three-way</t>
        </is>
      </c>
      <c r="B1082" t="inlineStr">
        <is>
          <t>ORIG_BAL x ASSET_CLASS / REV_DEBT</t>
        </is>
      </c>
      <c r="C1082" t="inlineStr">
        <is>
          <t>5,005 - 15,448</t>
        </is>
      </c>
      <c r="D1082" t="inlineStr">
        <is>
          <t>3 / REV_DEBT high half</t>
        </is>
      </c>
      <c r="E1082" t="inlineStr">
        <is>
          <t>ranr_rate</t>
        </is>
      </c>
      <c r="F1082" t="inlineStr">
        <is>
          <t>Profit after losses: RANR per booked dollar</t>
        </is>
      </c>
      <c r="G1082" t="n">
        <v>177</v>
      </c>
      <c r="H1082" t="n">
        <v>1766364.65</v>
      </c>
      <c r="I1082" t="b">
        <v>0</v>
      </c>
      <c r="J1082" t="b">
        <v>0</v>
      </c>
      <c r="K1082" t="n">
        <v>0.02686319978010832</v>
      </c>
      <c r="L1082" t="n">
        <v>0.2610405626104056</v>
      </c>
      <c r="M1082" t="n">
        <v>0.008964990566959152</v>
      </c>
      <c r="N1082" t="n">
        <v>0.7548210696171761</v>
      </c>
      <c r="O1082" t="n">
        <v>-47450.2064774711</v>
      </c>
      <c r="P1082" t="n">
        <v>-15835.44242506009</v>
      </c>
      <c r="Q1082">
        <f>'_live'!$C$23</f>
        <v/>
      </c>
      <c r="R1082" t="inlineStr">
        <is>
          <t>shuffled: 836 of 10,000</t>
        </is>
      </c>
      <c r="S1082" t="inlineStr">
        <is>
          <t>shuffled: 5,472 of 10,000</t>
        </is>
      </c>
      <c r="T1082" t="n">
        <v>0.1278061828980381</v>
      </c>
      <c r="U1082" t="n">
        <v>0.1457043921111873</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0.1546693826781464</v>
      </c>
      <c r="AI1082">
        <f>IF($Y1082="worse","Yes",IF($Y1082="worse, not significant","Not sure",IF(OR($Y1082="too few losses to test",$Y1082="too few loans to test"),"Too few losses",IF($Y1082="","","No"))))</f>
        <v/>
      </c>
      <c r="AJ1082">
        <f>IF($AA1082="yes","Yes",IF($AA1082="","","No"))</f>
        <v/>
      </c>
    </row>
    <row r="1083">
      <c r="A1083" t="inlineStr">
        <is>
          <t>three-way</t>
        </is>
      </c>
      <c r="B1083" t="inlineStr">
        <is>
          <t>ORIG_BAL x ASSET_CLASS / REV_DEBT</t>
        </is>
      </c>
      <c r="C1083" t="inlineStr">
        <is>
          <t>5,005 - 15,448</t>
        </is>
      </c>
      <c r="D1083" t="inlineStr">
        <is>
          <t>3 / REV_DEBT high half</t>
        </is>
      </c>
      <c r="E1083" t="inlineStr">
        <is>
          <t>contribution_rate</t>
        </is>
      </c>
      <c r="F1083" t="inlineStr">
        <is>
          <t>Contribution before losses per booked dollar</t>
        </is>
      </c>
      <c r="G1083" t="n">
        <v>177</v>
      </c>
      <c r="H1083" t="n">
        <v>1766364.65</v>
      </c>
      <c r="I1083" t="b">
        <v>0</v>
      </c>
      <c r="J1083" t="b">
        <v>0</v>
      </c>
      <c r="K1083" t="n">
        <v>0.05199150387596563</v>
      </c>
      <c r="L1083" t="n">
        <v>0.0003076615415381539</v>
      </c>
      <c r="M1083" t="n">
        <v>0.03719834950441106</v>
      </c>
      <c r="N1083" t="n">
        <v>0.0006153230830763077</v>
      </c>
      <c r="O1083" t="n">
        <v>-91835.95454684366</v>
      </c>
      <c r="P1083" t="n">
        <v>-65705.84960293671</v>
      </c>
      <c r="Q1083">
        <f>'_live'!$C$24</f>
        <v/>
      </c>
      <c r="R1083" t="inlineStr">
        <is>
          <t>shuffled: 0 of 10,000</t>
        </is>
      </c>
      <c r="S1083" t="inlineStr">
        <is>
          <t>shuffled: 3 of 10,000</t>
        </is>
      </c>
      <c r="T1083" t="n">
        <v>0.1692365420997054</v>
      </c>
      <c r="U1083" t="n">
        <v>0.18402969647126</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0.221228045975671</v>
      </c>
      <c r="AI1083">
        <f>IF($Y1083="worse","Yes",IF($Y1083="worse, not significant","Not sure",IF(OR($Y1083="too few losses to test",$Y1083="too few loans to test"),"Too few losses",IF($Y1083="","","No"))))</f>
        <v/>
      </c>
      <c r="AJ1083">
        <f>IF($AA1083="yes","Yes",IF($AA1083="","","No"))</f>
        <v/>
      </c>
    </row>
    <row r="1084">
      <c r="A1084" t="inlineStr">
        <is>
          <t>three-way</t>
        </is>
      </c>
      <c r="B1084" t="inlineStr">
        <is>
          <t>ORIG_BAL x ASSET_CLASS / REV_DEBT</t>
        </is>
      </c>
      <c r="C1084" t="inlineStr">
        <is>
          <t>49,152 - 59,984</t>
        </is>
      </c>
      <c r="D1084" t="inlineStr">
        <is>
          <t>3 / REV_DEBT low half</t>
        </is>
      </c>
      <c r="E1084" t="inlineStr">
        <is>
          <t>outcome_loans</t>
        </is>
      </c>
      <c r="F1084" t="inlineStr">
        <is>
          <t>Outcome, share of loans</t>
        </is>
      </c>
      <c r="G1084" t="n">
        <v>203</v>
      </c>
      <c r="H1084" t="n">
        <v>203</v>
      </c>
      <c r="I1084" t="b">
        <v>1</v>
      </c>
      <c r="J1084" t="b">
        <v>0</v>
      </c>
      <c r="K1084" t="n">
        <v>0.3758950168355579</v>
      </c>
      <c r="M1084" t="n">
        <v>0.4256767050936976</v>
      </c>
      <c r="O1084" t="n">
        <v>-9.961903540277067</v>
      </c>
      <c r="P1084" t="n">
        <v>-8.095204008589835</v>
      </c>
      <c r="Q1084">
        <f>'_live'!$C$20</f>
        <v/>
      </c>
      <c r="T1084" t="n">
        <v>0.07863006670087225</v>
      </c>
      <c r="U1084" t="n">
        <v>0.06943450250536864</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0.02955665024630542</v>
      </c>
      <c r="AI1084">
        <f>IF($Y1084="worse","Yes",IF($Y1084="worse, not significant","Not sure",IF(OR($Y1084="too few losses to test",$Y1084="too few loans to test"),"Too few losses",IF($Y1084="","","No"))))</f>
        <v/>
      </c>
      <c r="AJ1084">
        <f>IF($AA1084="yes","Yes",IF($AA1084="","","No"))</f>
        <v/>
      </c>
    </row>
    <row r="1085">
      <c r="A1085" t="inlineStr">
        <is>
          <t>three-way</t>
        </is>
      </c>
      <c r="B1085" t="inlineStr">
        <is>
          <t>ORIG_BAL x ASSET_CLASS / REV_DEBT</t>
        </is>
      </c>
      <c r="C1085" t="inlineStr">
        <is>
          <t>49,152 - 59,984</t>
        </is>
      </c>
      <c r="D1085" t="inlineStr">
        <is>
          <t>3 / REV_DEBT low half</t>
        </is>
      </c>
      <c r="E1085" t="inlineStr">
        <is>
          <t>outcome_booked</t>
        </is>
      </c>
      <c r="F1085" t="inlineStr">
        <is>
          <t>Outcome, share of booked dollars</t>
        </is>
      </c>
      <c r="G1085" t="n">
        <v>203</v>
      </c>
      <c r="H1085" t="n">
        <v>11099814.89</v>
      </c>
      <c r="I1085" t="b">
        <v>1</v>
      </c>
      <c r="J1085" t="b">
        <v>0</v>
      </c>
      <c r="K1085" t="n">
        <v>0.3883594299931895</v>
      </c>
      <c r="M1085" t="n">
        <v>0.4275041883549225</v>
      </c>
      <c r="O1085" t="n">
        <v>-521748.2364696619</v>
      </c>
      <c r="P1085" t="n">
        <v>-443639.7993571077</v>
      </c>
      <c r="Q1085">
        <f>'_live'!$C$21</f>
        <v/>
      </c>
      <c r="T1085" t="n">
        <v>0.07685090201262464</v>
      </c>
      <c r="U1085" t="n">
        <v>0.06981398852473185</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0.02984577250008536</v>
      </c>
      <c r="AI1085">
        <f>IF($Y1085="worse","Yes",IF($Y1085="worse, not significant","Not sure",IF(OR($Y1085="too few losses to test",$Y1085="too few loans to test"),"Too few losses",IF($Y1085="","","No"))))</f>
        <v/>
      </c>
      <c r="AJ1085">
        <f>IF($AA1085="yes","Yes",IF($AA1085="","","No"))</f>
        <v/>
      </c>
    </row>
    <row r="1086">
      <c r="A1086" t="inlineStr">
        <is>
          <t>three-way</t>
        </is>
      </c>
      <c r="B1086" t="inlineStr">
        <is>
          <t>ORIG_BAL x ASSET_CLASS / REV_DEBT</t>
        </is>
      </c>
      <c r="C1086" t="inlineStr">
        <is>
          <t>49,152 - 59,984</t>
        </is>
      </c>
      <c r="D1086" t="inlineStr">
        <is>
          <t>3 / REV_DEBT low half</t>
        </is>
      </c>
      <c r="E1086" t="inlineStr">
        <is>
          <t>gco_rate</t>
        </is>
      </c>
      <c r="F1086" t="inlineStr">
        <is>
          <t>GCO per booked dollar</t>
        </is>
      </c>
      <c r="G1086" t="n">
        <v>203</v>
      </c>
      <c r="H1086" t="n">
        <v>11099814.89</v>
      </c>
      <c r="I1086" t="b">
        <v>1</v>
      </c>
      <c r="J1086" t="b">
        <v>0</v>
      </c>
      <c r="K1086" t="n">
        <v>0.394960069219881</v>
      </c>
      <c r="M1086" t="n">
        <v>0.4408347005879364</v>
      </c>
      <c r="O1086" t="n">
        <v>-286880.7144239302</v>
      </c>
      <c r="P1086" t="n">
        <v>-237539.011912823</v>
      </c>
      <c r="Q1086">
        <f>'_live'!$C$22</f>
        <v/>
      </c>
      <c r="T1086" t="n">
        <v>0.04271708214261312</v>
      </c>
      <c r="U1086" t="n">
        <v>0.03827180958626086</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0.01687154171991782</v>
      </c>
      <c r="AI1086">
        <f>IF($Y1086="worse","Yes",IF($Y1086="worse, not significant","Not sure",IF(OR($Y1086="too few losses to test",$Y1086="too few loans to test"),"Too few losses",IF($Y1086="","","No"))))</f>
        <v/>
      </c>
      <c r="AJ1086">
        <f>IF($AA1086="yes","Yes",IF($AA1086="","","No"))</f>
        <v/>
      </c>
    </row>
    <row r="1087">
      <c r="A1087" t="inlineStr">
        <is>
          <t>three-way</t>
        </is>
      </c>
      <c r="B1087" t="inlineStr">
        <is>
          <t>ORIG_BAL x ASSET_CLASS / REV_DEBT</t>
        </is>
      </c>
      <c r="C1087" t="inlineStr">
        <is>
          <t>49,152 - 59,984</t>
        </is>
      </c>
      <c r="D1087" t="inlineStr">
        <is>
          <t>3 / REV_DEBT low half</t>
        </is>
      </c>
      <c r="E1087" t="inlineStr">
        <is>
          <t>ranr_rate</t>
        </is>
      </c>
      <c r="F1087" t="inlineStr">
        <is>
          <t>Profit after losses: RANR per booked dollar</t>
        </is>
      </c>
      <c r="G1087" t="n">
        <v>203</v>
      </c>
      <c r="H1087" t="n">
        <v>11099814.89</v>
      </c>
      <c r="I1087" t="b">
        <v>0</v>
      </c>
      <c r="J1087" t="b">
        <v>0</v>
      </c>
      <c r="K1087" t="n">
        <v>-0.0145438204680135</v>
      </c>
      <c r="L1087" t="n">
        <v>0.5594440555944405</v>
      </c>
      <c r="M1087" t="n">
        <v>-0.01873184170617342</v>
      </c>
      <c r="N1087" t="n">
        <v>0.370080638994924</v>
      </c>
      <c r="O1087" t="n">
        <v>161433.714988343</v>
      </c>
      <c r="P1087" t="n">
        <v>207919.9754873067</v>
      </c>
      <c r="Q1087">
        <f>'_live'!$C$23</f>
        <v/>
      </c>
      <c r="R1087" t="inlineStr">
        <is>
          <t>shuffled: 3,106 of 10,000</t>
        </is>
      </c>
      <c r="S1087" t="inlineStr">
        <is>
          <t>shuffled: 1,521 of 10,000</t>
        </is>
      </c>
      <c r="T1087" t="n">
        <v>0.1286155957676825</v>
      </c>
      <c r="U1087" t="n">
        <v>0.1328036170058424</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0.114071775299669</v>
      </c>
      <c r="AI1087">
        <f>IF($Y1087="worse","Yes",IF($Y1087="worse, not significant","Not sure",IF(OR($Y1087="too few losses to test",$Y1087="too few loans to test"),"Too few losses",IF($Y1087="","","No"))))</f>
        <v/>
      </c>
      <c r="AJ1087">
        <f>IF($AA1087="yes","Yes",IF($AA1087="","","No"))</f>
        <v/>
      </c>
    </row>
    <row r="1088">
      <c r="A1088" t="inlineStr">
        <is>
          <t>three-way</t>
        </is>
      </c>
      <c r="B1088" t="inlineStr">
        <is>
          <t>ORIG_BAL x ASSET_CLASS / REV_DEBT</t>
        </is>
      </c>
      <c r="C1088" t="inlineStr">
        <is>
          <t>49,152 - 59,984</t>
        </is>
      </c>
      <c r="D1088" t="inlineStr">
        <is>
          <t>3 / REV_DEBT low half</t>
        </is>
      </c>
      <c r="E1088" t="inlineStr">
        <is>
          <t>contribution_rate</t>
        </is>
      </c>
      <c r="F1088" t="inlineStr">
        <is>
          <t>Contribution before losses per booked dollar</t>
        </is>
      </c>
      <c r="G1088" t="n">
        <v>203</v>
      </c>
      <c r="H1088" t="n">
        <v>11099814.89</v>
      </c>
      <c r="I1088" t="b">
        <v>0</v>
      </c>
      <c r="J1088" t="b">
        <v>0</v>
      </c>
      <c r="K1088" t="n">
        <v>-0.0403864736496527</v>
      </c>
      <c r="L1088" t="n">
        <v>0.0003076615415381539</v>
      </c>
      <c r="M1088" t="n">
        <v>-0.04013210957251648</v>
      </c>
      <c r="N1088" t="n">
        <v>0.000222200002222</v>
      </c>
      <c r="O1088" t="n">
        <v>448282.3815710077</v>
      </c>
      <c r="P1088" t="n">
        <v>445458.9874001299</v>
      </c>
      <c r="Q1088">
        <f>'_live'!$C$24</f>
        <v/>
      </c>
      <c r="R1088" t="inlineStr">
        <is>
          <t>shuffled: 0 of 10,000</t>
        </is>
      </c>
      <c r="S1088" t="inlineStr">
        <is>
          <t>shuffled: 0 of 10,000</t>
        </is>
      </c>
      <c r="T1088" t="n">
        <v>0.1713297906692395</v>
      </c>
      <c r="U1088" t="n">
        <v>0.1710754265921033</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0.1309433170195868</v>
      </c>
      <c r="AI1088">
        <f>IF($Y1088="worse","Yes",IF($Y1088="worse, not significant","Not sure",IF(OR($Y1088="too few losses to test",$Y1088="too few loans to test"),"Too few losses",IF($Y1088="","","No"))))</f>
        <v/>
      </c>
      <c r="AJ1088">
        <f>IF($AA1088="yes","Yes",IF($AA1088="","","No"))</f>
        <v/>
      </c>
    </row>
    <row r="1089">
      <c r="A1089" t="inlineStr">
        <is>
          <t>three-way</t>
        </is>
      </c>
      <c r="B1089" t="inlineStr">
        <is>
          <t>ORIG_BAL x ASSET_CLASS / REV_DEBT</t>
        </is>
      </c>
      <c r="C1089" t="inlineStr">
        <is>
          <t>37,951 - 49,151</t>
        </is>
      </c>
      <c r="D1089" t="inlineStr">
        <is>
          <t>3 / REV_DEBT high half</t>
        </is>
      </c>
      <c r="E1089" t="inlineStr">
        <is>
          <t>outcome_loans</t>
        </is>
      </c>
      <c r="F1089" t="inlineStr">
        <is>
          <t>Outcome, share of loans</t>
        </is>
      </c>
      <c r="G1089" t="n">
        <v>191</v>
      </c>
      <c r="H1089" t="n">
        <v>191</v>
      </c>
      <c r="I1089" t="b">
        <v>0</v>
      </c>
      <c r="J1089" t="b">
        <v>0</v>
      </c>
      <c r="K1089" t="n">
        <v>1.936765266076665</v>
      </c>
      <c r="L1089" t="n">
        <v>0.001395937691818506</v>
      </c>
      <c r="M1089" t="n">
        <v>1.948631828509335</v>
      </c>
      <c r="N1089" t="n">
        <v>0.004003701907150862</v>
      </c>
      <c r="O1089" t="n">
        <v>13.54290471311475</v>
      </c>
      <c r="P1089" t="n">
        <v>13.63094393186657</v>
      </c>
      <c r="Q1089">
        <f>'_live'!$C$20</f>
        <v/>
      </c>
      <c r="R1089" t="inlineStr">
        <is>
          <t>z test</t>
        </is>
      </c>
      <c r="S1089" t="inlineStr">
        <is>
          <t>z test</t>
        </is>
      </c>
      <c r="T1089" t="n">
        <v>0.07569159836065574</v>
      </c>
      <c r="U1089" t="n">
        <v>0.07523066004258339</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0.1465968586387434</v>
      </c>
      <c r="AI1089">
        <f>IF($Y1089="worse","Yes",IF($Y1089="worse, not significant","Not sure",IF(OR($Y1089="too few losses to test",$Y1089="too few loans to test"),"Too few losses",IF($Y1089="","","No"))))</f>
        <v/>
      </c>
      <c r="AJ1089">
        <f>IF($AA1089="yes","Yes",IF($AA1089="","","No"))</f>
        <v/>
      </c>
    </row>
    <row r="1090">
      <c r="A1090" t="inlineStr">
        <is>
          <t>three-way</t>
        </is>
      </c>
      <c r="B1090" t="inlineStr">
        <is>
          <t>ORIG_BAL x ASSET_CLASS / REV_DEBT</t>
        </is>
      </c>
      <c r="C1090" t="inlineStr">
        <is>
          <t>37,951 - 49,151</t>
        </is>
      </c>
      <c r="D1090" t="inlineStr">
        <is>
          <t>3 / REV_DEBT high half</t>
        </is>
      </c>
      <c r="E1090" t="inlineStr">
        <is>
          <t>outcome_booked</t>
        </is>
      </c>
      <c r="F1090" t="inlineStr">
        <is>
          <t>Outcome, share of booked dollars</t>
        </is>
      </c>
      <c r="G1090" t="n">
        <v>191</v>
      </c>
      <c r="H1090" t="n">
        <v>8260335.200000007</v>
      </c>
      <c r="I1090" t="b">
        <v>0</v>
      </c>
      <c r="J1090" t="b">
        <v>0</v>
      </c>
      <c r="K1090" t="n">
        <v>2.006049567346576</v>
      </c>
      <c r="L1090" t="n">
        <v>0.004319568043195681</v>
      </c>
      <c r="M1090" t="n">
        <v>1.946602888539124</v>
      </c>
      <c r="N1090" t="n">
        <v>0.0077992200779922</v>
      </c>
      <c r="O1090" t="n">
        <v>602448.0623766247</v>
      </c>
      <c r="P1090" t="n">
        <v>584160.725464073</v>
      </c>
      <c r="Q1090">
        <f>'_live'!$C$21</f>
        <v/>
      </c>
      <c r="R1090" t="inlineStr">
        <is>
          <t>shuffled: 8 of 10,000</t>
        </is>
      </c>
      <c r="S1090" t="inlineStr">
        <is>
          <t>shuffled: 12 of 10,000</t>
        </is>
      </c>
      <c r="T1090" t="n">
        <v>0.07249408324535965</v>
      </c>
      <c r="U1090" t="n">
        <v>0.07470795671051295</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0.1454267243295404</v>
      </c>
      <c r="AI1090">
        <f>IF($Y1090="worse","Yes",IF($Y1090="worse, not significant","Not sure",IF(OR($Y1090="too few losses to test",$Y1090="too few loans to test"),"Too few losses",IF($Y1090="","","No"))))</f>
        <v/>
      </c>
      <c r="AJ1090">
        <f>IF($AA1090="yes","Yes",IF($AA1090="","","No"))</f>
        <v/>
      </c>
    </row>
    <row r="1091">
      <c r="A1091" t="inlineStr">
        <is>
          <t>three-way</t>
        </is>
      </c>
      <c r="B1091" t="inlineStr">
        <is>
          <t>ORIG_BAL x ASSET_CLASS / REV_DEBT</t>
        </is>
      </c>
      <c r="C1091" t="inlineStr">
        <is>
          <t>37,951 - 49,151</t>
        </is>
      </c>
      <c r="D1091" t="inlineStr">
        <is>
          <t>3 / REV_DEBT high half</t>
        </is>
      </c>
      <c r="E1091" t="inlineStr">
        <is>
          <t>gco_rate</t>
        </is>
      </c>
      <c r="F1091" t="inlineStr">
        <is>
          <t>GCO per booked dollar</t>
        </is>
      </c>
      <c r="G1091" t="n">
        <v>191</v>
      </c>
      <c r="H1091" t="n">
        <v>8260335.200000007</v>
      </c>
      <c r="I1091" t="b">
        <v>0</v>
      </c>
      <c r="J1091" t="b">
        <v>0</v>
      </c>
      <c r="K1091" t="n">
        <v>2.021746193761969</v>
      </c>
      <c r="L1091" t="n">
        <v>0.009599040095990401</v>
      </c>
      <c r="M1091" t="n">
        <v>1.934731802975249</v>
      </c>
      <c r="N1091" t="n">
        <v>0.01007899210078992</v>
      </c>
      <c r="O1091" t="n">
        <v>340025.0126581601</v>
      </c>
      <c r="P1091" t="n">
        <v>325057.8957754396</v>
      </c>
      <c r="Q1091">
        <f>'_live'!$C$22</f>
        <v/>
      </c>
      <c r="R1091" t="inlineStr">
        <is>
          <t>shuffled: 19 of 10,000</t>
        </is>
      </c>
      <c r="S1091" t="inlineStr">
        <is>
          <t>shuffled: 20 of 10,000</t>
        </is>
      </c>
      <c r="T1091" t="n">
        <v>0.04028748583251678</v>
      </c>
      <c r="U1091" t="n">
        <v>0.0420994119251432</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0.08145107113813002</v>
      </c>
      <c r="AI1091">
        <f>IF($Y1091="worse","Yes",IF($Y1091="worse, not significant","Not sure",IF(OR($Y1091="too few losses to test",$Y1091="too few loans to test"),"Too few losses",IF($Y1091="","","No"))))</f>
        <v/>
      </c>
      <c r="AJ1091">
        <f>IF($AA1091="yes","Yes",IF($AA1091="","","No"))</f>
        <v/>
      </c>
    </row>
    <row r="1092">
      <c r="A1092" t="inlineStr">
        <is>
          <t>three-way</t>
        </is>
      </c>
      <c r="B1092" t="inlineStr">
        <is>
          <t>ORIG_BAL x ASSET_CLASS / REV_DEBT</t>
        </is>
      </c>
      <c r="C1092" t="inlineStr">
        <is>
          <t>37,951 - 49,151</t>
        </is>
      </c>
      <c r="D1092" t="inlineStr">
        <is>
          <t>3 / REV_DEBT high half</t>
        </is>
      </c>
      <c r="E1092" t="inlineStr">
        <is>
          <t>ranr_rate</t>
        </is>
      </c>
      <c r="F1092" t="inlineStr">
        <is>
          <t>Profit after losses: RANR per booked dollar</t>
        </is>
      </c>
      <c r="G1092" t="n">
        <v>191</v>
      </c>
      <c r="H1092" t="n">
        <v>8260335.200000007</v>
      </c>
      <c r="I1092" t="b">
        <v>0</v>
      </c>
      <c r="J1092" t="b">
        <v>0</v>
      </c>
      <c r="K1092" t="n">
        <v>-0.01092451894880565</v>
      </c>
      <c r="L1092" t="n">
        <v>0.7314653150069609</v>
      </c>
      <c r="M1092" t="n">
        <v>-0.005687306452511268</v>
      </c>
      <c r="N1092" t="n">
        <v>0.8601564086015639</v>
      </c>
      <c r="O1092" t="n">
        <v>90240.18841588637</v>
      </c>
      <c r="P1092" t="n">
        <v>46979.057682866</v>
      </c>
      <c r="Q1092">
        <f>'_live'!$C$23</f>
        <v/>
      </c>
      <c r="R1092" t="inlineStr">
        <is>
          <t>shuffled: 4,754 of 10,000</t>
        </is>
      </c>
      <c r="S1092" t="inlineStr">
        <is>
          <t>shuffled: 7,096 of 10,000</t>
        </is>
      </c>
      <c r="T1092" t="n">
        <v>0.1283397250532745</v>
      </c>
      <c r="U1092" t="n">
        <v>0.1231025125569801</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0.1174152061044689</v>
      </c>
      <c r="AI1092">
        <f>IF($Y1092="worse","Yes",IF($Y1092="worse, not significant","Not sure",IF(OR($Y1092="too few losses to test",$Y1092="too few loans to test"),"Too few losses",IF($Y1092="","","No"))))</f>
        <v/>
      </c>
      <c r="AJ1092">
        <f>IF($AA1092="yes","Yes",IF($AA1092="","","No"))</f>
        <v/>
      </c>
    </row>
    <row r="1093">
      <c r="A1093" t="inlineStr">
        <is>
          <t>three-way</t>
        </is>
      </c>
      <c r="B1093" t="inlineStr">
        <is>
          <t>ORIG_BAL x ASSET_CLASS / REV_DEBT</t>
        </is>
      </c>
      <c r="C1093" t="inlineStr">
        <is>
          <t>37,951 - 49,151</t>
        </is>
      </c>
      <c r="D1093" t="inlineStr">
        <is>
          <t>3 / REV_DEBT high half</t>
        </is>
      </c>
      <c r="E1093" t="inlineStr">
        <is>
          <t>contribution_rate</t>
        </is>
      </c>
      <c r="F1093" t="inlineStr">
        <is>
          <t>Contribution before losses per booked dollar</t>
        </is>
      </c>
      <c r="G1093" t="n">
        <v>191</v>
      </c>
      <c r="H1093" t="n">
        <v>8260335.200000007</v>
      </c>
      <c r="I1093" t="b">
        <v>0</v>
      </c>
      <c r="J1093" t="b">
        <v>0</v>
      </c>
      <c r="K1093" t="n">
        <v>0.03024196460609951</v>
      </c>
      <c r="L1093" t="n">
        <v>0.003039696030396961</v>
      </c>
      <c r="M1093" t="n">
        <v>0.03367952800046281</v>
      </c>
      <c r="N1093" t="n">
        <v>0.0006153230830763077</v>
      </c>
      <c r="O1093" t="n">
        <v>-249808.7647529182</v>
      </c>
      <c r="P1093" t="n">
        <v>-278204.1906616087</v>
      </c>
      <c r="Q1093">
        <f>'_live'!$C$24</f>
        <v/>
      </c>
      <c r="R1093" t="inlineStr">
        <is>
          <t>shuffled: 18 of 10,000</t>
        </is>
      </c>
      <c r="S1093" t="inlineStr">
        <is>
          <t>shuffled: 3 of 10,000</t>
        </is>
      </c>
      <c r="T1093" t="n">
        <v>0.1686243126364994</v>
      </c>
      <c r="U1093" t="n">
        <v>0.1651867492421361</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0.1988662772425989</v>
      </c>
      <c r="AI1093">
        <f>IF($Y1093="worse","Yes",IF($Y1093="worse, not significant","Not sure",IF(OR($Y1093="too few losses to test",$Y1093="too few loans to test"),"Too few losses",IF($Y1093="","","No"))))</f>
        <v/>
      </c>
      <c r="AJ1093">
        <f>IF($AA1093="yes","Yes",IF($AA1093="","","No"))</f>
        <v/>
      </c>
    </row>
    <row r="1094">
      <c r="A1094" t="inlineStr">
        <is>
          <t>three-way</t>
        </is>
      </c>
      <c r="B1094" t="inlineStr">
        <is>
          <t>ORIG_BAL x ASSET_CLASS / REV_DEBT</t>
        </is>
      </c>
      <c r="C1094" t="inlineStr">
        <is>
          <t>49,152 - 59,984</t>
        </is>
      </c>
      <c r="D1094" t="inlineStr">
        <is>
          <t>4 / REV_DEBT low half</t>
        </is>
      </c>
      <c r="E1094" t="inlineStr">
        <is>
          <t>outcome_loans</t>
        </is>
      </c>
      <c r="F1094" t="inlineStr">
        <is>
          <t>Outcome, share of loans</t>
        </is>
      </c>
      <c r="G1094" t="n">
        <v>192</v>
      </c>
      <c r="H1094" t="n">
        <v>192</v>
      </c>
      <c r="I1094" t="b">
        <v>1</v>
      </c>
      <c r="J1094" t="b">
        <v>0</v>
      </c>
      <c r="K1094" t="n">
        <v>0.4650820397603486</v>
      </c>
      <c r="M1094" t="n">
        <v>0.5347222222222223</v>
      </c>
      <c r="O1094" t="n">
        <v>-8.051107980017933</v>
      </c>
      <c r="P1094" t="n">
        <v>-6.09090909090909</v>
      </c>
      <c r="Q1094">
        <f>'_live'!$C$20</f>
        <v/>
      </c>
      <c r="T1094" t="n">
        <v>0.07839118739592674</v>
      </c>
      <c r="U1094" t="n">
        <v>0.06818181818181818</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0.03645833333333334</v>
      </c>
      <c r="AI1094">
        <f>IF($Y1094="worse","Yes",IF($Y1094="worse, not significant","Not sure",IF(OR($Y1094="too few losses to test",$Y1094="too few loans to test"),"Too few losses",IF($Y1094="","","No"))))</f>
        <v/>
      </c>
      <c r="AJ1094">
        <f>IF($AA1094="yes","Yes",IF($AA1094="","","No"))</f>
        <v/>
      </c>
    </row>
    <row r="1095">
      <c r="A1095" t="inlineStr">
        <is>
          <t>three-way</t>
        </is>
      </c>
      <c r="B1095" t="inlineStr">
        <is>
          <t>ORIG_BAL x ASSET_CLASS / REV_DEBT</t>
        </is>
      </c>
      <c r="C1095" t="inlineStr">
        <is>
          <t>49,152 - 59,984</t>
        </is>
      </c>
      <c r="D1095" t="inlineStr">
        <is>
          <t>4 / REV_DEBT low half</t>
        </is>
      </c>
      <c r="E1095" t="inlineStr">
        <is>
          <t>outcome_booked</t>
        </is>
      </c>
      <c r="F1095" t="inlineStr">
        <is>
          <t>Outcome, share of booked dollars</t>
        </is>
      </c>
      <c r="G1095" t="n">
        <v>192</v>
      </c>
      <c r="H1095" t="n">
        <v>10463205.27</v>
      </c>
      <c r="I1095" t="b">
        <v>1</v>
      </c>
      <c r="J1095" t="b">
        <v>0</v>
      </c>
      <c r="K1095" t="n">
        <v>0.4833715749167229</v>
      </c>
      <c r="M1095" t="n">
        <v>0.5391935122057439</v>
      </c>
      <c r="O1095" t="n">
        <v>-413149.3350107982</v>
      </c>
      <c r="P1095" t="n">
        <v>-330357.2143076903</v>
      </c>
      <c r="Q1095">
        <f>'_live'!$C$21</f>
        <v/>
      </c>
      <c r="T1095" t="n">
        <v>0.07643002735535535</v>
      </c>
      <c r="U1095" t="n">
        <v>0.06851733534877792</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0.03694410269368633</v>
      </c>
      <c r="AI1095">
        <f>IF($Y1095="worse","Yes",IF($Y1095="worse, not significant","Not sure",IF(OR($Y1095="too few losses to test",$Y1095="too few loans to test"),"Too few losses",IF($Y1095="","","No"))))</f>
        <v/>
      </c>
      <c r="AJ1095">
        <f>IF($AA1095="yes","Yes",IF($AA1095="","","No"))</f>
        <v/>
      </c>
    </row>
    <row r="1096">
      <c r="A1096" t="inlineStr">
        <is>
          <t>three-way</t>
        </is>
      </c>
      <c r="B1096" t="inlineStr">
        <is>
          <t>ORIG_BAL x ASSET_CLASS / REV_DEBT</t>
        </is>
      </c>
      <c r="C1096" t="inlineStr">
        <is>
          <t>49,152 - 59,984</t>
        </is>
      </c>
      <c r="D1096" t="inlineStr">
        <is>
          <t>4 / REV_DEBT low half</t>
        </is>
      </c>
      <c r="E1096" t="inlineStr">
        <is>
          <t>gco_rate</t>
        </is>
      </c>
      <c r="F1096" t="inlineStr">
        <is>
          <t>GCO per booked dollar</t>
        </is>
      </c>
      <c r="G1096" t="n">
        <v>192</v>
      </c>
      <c r="H1096" t="n">
        <v>10463205.27</v>
      </c>
      <c r="I1096" t="b">
        <v>1</v>
      </c>
      <c r="J1096" t="b">
        <v>0</v>
      </c>
      <c r="K1096" t="n">
        <v>0.5226148187723312</v>
      </c>
      <c r="M1096" t="n">
        <v>0.5932766627801939</v>
      </c>
      <c r="O1096" t="n">
        <v>-211919.824530783</v>
      </c>
      <c r="P1096" t="n">
        <v>-159047.2627336661</v>
      </c>
      <c r="Q1096">
        <f>'_live'!$C$22</f>
        <v/>
      </c>
      <c r="T1096" t="n">
        <v>0.04242656844395284</v>
      </c>
      <c r="U1096" t="n">
        <v>0.03737337867726514</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0.02217275337846832</v>
      </c>
      <c r="AI1096">
        <f>IF($Y1096="worse","Yes",IF($Y1096="worse, not significant","Not sure",IF(OR($Y1096="too few losses to test",$Y1096="too few loans to test"),"Too few losses",IF($Y1096="","","No"))))</f>
        <v/>
      </c>
      <c r="AJ1096">
        <f>IF($AA1096="yes","Yes",IF($AA1096="","","No"))</f>
        <v/>
      </c>
    </row>
    <row r="1097">
      <c r="A1097" t="inlineStr">
        <is>
          <t>three-way</t>
        </is>
      </c>
      <c r="B1097" t="inlineStr">
        <is>
          <t>ORIG_BAL x ASSET_CLASS / REV_DEBT</t>
        </is>
      </c>
      <c r="C1097" t="inlineStr">
        <is>
          <t>49,152 - 59,984</t>
        </is>
      </c>
      <c r="D1097" t="inlineStr">
        <is>
          <t>4 / REV_DEBT low half</t>
        </is>
      </c>
      <c r="E1097" t="inlineStr">
        <is>
          <t>ranr_rate</t>
        </is>
      </c>
      <c r="F1097" t="inlineStr">
        <is>
          <t>Profit after losses: RANR per booked dollar</t>
        </is>
      </c>
      <c r="G1097" t="n">
        <v>192</v>
      </c>
      <c r="H1097" t="n">
        <v>10463205.27</v>
      </c>
      <c r="I1097" t="b">
        <v>0</v>
      </c>
      <c r="J1097" t="b">
        <v>0</v>
      </c>
      <c r="K1097" t="n">
        <v>-0.01723090982924982</v>
      </c>
      <c r="L1097" t="n">
        <v>0.5222635631173724</v>
      </c>
      <c r="M1097" t="n">
        <v>-0.0215464565680672</v>
      </c>
      <c r="N1097" t="n">
        <v>0.3392994033929941</v>
      </c>
      <c r="O1097" t="n">
        <v>180290.5465323015</v>
      </c>
      <c r="P1097" t="n">
        <v>225444.9979128267</v>
      </c>
      <c r="Q1097">
        <f>'_live'!$C$23</f>
        <v/>
      </c>
      <c r="R1097" t="inlineStr">
        <is>
          <t>shuffled: 2,480 of 10,000</t>
        </is>
      </c>
      <c r="S1097" t="inlineStr">
        <is>
          <t>shuffled: 1,017 of 10,000</t>
        </is>
      </c>
      <c r="T1097" t="n">
        <v>0.1286886648771922</v>
      </c>
      <c r="U1097" t="n">
        <v>0.1330042116160096</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0.1114577550479424</v>
      </c>
      <c r="AI1097">
        <f>IF($Y1097="worse","Yes",IF($Y1097="worse, not significant","Not sure",IF(OR($Y1097="too few losses to test",$Y1097="too few loans to test"),"Too few losses",IF($Y1097="","","No"))))</f>
        <v/>
      </c>
      <c r="AJ1097">
        <f>IF($AA1097="yes","Yes",IF($AA1097="","","No"))</f>
        <v/>
      </c>
    </row>
    <row r="1098">
      <c r="A1098" t="inlineStr">
        <is>
          <t>three-way</t>
        </is>
      </c>
      <c r="B1098" t="inlineStr">
        <is>
          <t>ORIG_BAL x ASSET_CLASS / REV_DEBT</t>
        </is>
      </c>
      <c r="C1098" t="inlineStr">
        <is>
          <t>49,152 - 59,984</t>
        </is>
      </c>
      <c r="D1098" t="inlineStr">
        <is>
          <t>4 / REV_DEBT low half</t>
        </is>
      </c>
      <c r="E1098" t="inlineStr">
        <is>
          <t>contribution_rate</t>
        </is>
      </c>
      <c r="F1098" t="inlineStr">
        <is>
          <t>Contribution before losses per booked dollar</t>
        </is>
      </c>
      <c r="G1098" t="n">
        <v>192</v>
      </c>
      <c r="H1098" t="n">
        <v>10463205.27</v>
      </c>
      <c r="I1098" t="b">
        <v>0</v>
      </c>
      <c r="J1098" t="b">
        <v>0</v>
      </c>
      <c r="K1098" t="n">
        <v>-0.03748185679103908</v>
      </c>
      <c r="L1098" t="n">
        <v>0.0003076615415381539</v>
      </c>
      <c r="M1098" t="n">
        <v>-0.03674708186686398</v>
      </c>
      <c r="N1098" t="n">
        <v>0.000222200002222</v>
      </c>
      <c r="O1098" t="n">
        <v>392180.3615053853</v>
      </c>
      <c r="P1098" t="n">
        <v>384492.2606464925</v>
      </c>
      <c r="Q1098">
        <f>'_live'!$C$24</f>
        <v/>
      </c>
      <c r="R1098" t="inlineStr">
        <is>
          <t>shuffled: 0 of 10,000</t>
        </is>
      </c>
      <c r="S1098" t="inlineStr">
        <is>
          <t>shuffled: 0 of 10,000</t>
        </is>
      </c>
      <c r="T1098" t="n">
        <v>0.1711123652174498</v>
      </c>
      <c r="U1098" t="n">
        <v>0.1703775902932747</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0.1336305084264107</v>
      </c>
      <c r="AI1098">
        <f>IF($Y1098="worse","Yes",IF($Y1098="worse, not significant","Not sure",IF(OR($Y1098="too few losses to test",$Y1098="too few loans to test"),"Too few losses",IF($Y1098="","","No"))))</f>
        <v/>
      </c>
      <c r="AJ1098">
        <f>IF($AA1098="yes","Yes",IF($AA1098="","","No"))</f>
        <v/>
      </c>
    </row>
    <row r="1099">
      <c r="A1099" t="inlineStr">
        <is>
          <t>three-way</t>
        </is>
      </c>
      <c r="B1099" t="inlineStr">
        <is>
          <t>ORIG_BAL x ASSET_CLASS / REV_DEBT</t>
        </is>
      </c>
      <c r="C1099" t="inlineStr">
        <is>
          <t>49,152 - 59,984</t>
        </is>
      </c>
      <c r="D1099" t="inlineStr">
        <is>
          <t>3 / REV_DEBT high half</t>
        </is>
      </c>
      <c r="E1099" t="inlineStr">
        <is>
          <t>outcome_loans</t>
        </is>
      </c>
      <c r="F1099" t="inlineStr">
        <is>
          <t>Outcome, share of loans</t>
        </is>
      </c>
      <c r="G1099" t="n">
        <v>202</v>
      </c>
      <c r="H1099" t="n">
        <v>202</v>
      </c>
      <c r="I1099" t="b">
        <v>0</v>
      </c>
      <c r="J1099" t="b">
        <v>0</v>
      </c>
      <c r="K1099" t="n">
        <v>0.8932002291138206</v>
      </c>
      <c r="L1099" t="n">
        <v>0.8896135182978477</v>
      </c>
      <c r="M1099" t="n">
        <v>1.088663922572032</v>
      </c>
      <c r="N1099" t="n">
        <v>0.8685067628000225</v>
      </c>
      <c r="O1099" t="n">
        <v>-1.673977170706683</v>
      </c>
      <c r="P1099" t="n">
        <v>1.140200286123031</v>
      </c>
      <c r="Q1099">
        <f>'_live'!$C$20</f>
        <v/>
      </c>
      <c r="R1099" t="inlineStr">
        <is>
          <t>z test</t>
        </is>
      </c>
      <c r="S1099" t="inlineStr">
        <is>
          <t>z test</t>
        </is>
      </c>
      <c r="T1099" t="n">
        <v>0.07759394638963704</v>
      </c>
      <c r="U1099" t="n">
        <v>0.06366237482117311</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0.06930693069306931</v>
      </c>
      <c r="AI1099">
        <f>IF($Y1099="worse","Yes",IF($Y1099="worse, not significant","Not sure",IF(OR($Y1099="too few losses to test",$Y1099="too few loans to test"),"Too few losses",IF($Y1099="","","No"))))</f>
        <v/>
      </c>
      <c r="AJ1099">
        <f>IF($AA1099="yes","Yes",IF($AA1099="","","No"))</f>
        <v/>
      </c>
    </row>
    <row r="1100">
      <c r="A1100" t="inlineStr">
        <is>
          <t>three-way</t>
        </is>
      </c>
      <c r="B1100" t="inlineStr">
        <is>
          <t>ORIG_BAL x ASSET_CLASS / REV_DEBT</t>
        </is>
      </c>
      <c r="C1100" t="inlineStr">
        <is>
          <t>49,152 - 59,984</t>
        </is>
      </c>
      <c r="D1100" t="inlineStr">
        <is>
          <t>3 / REV_DEBT high half</t>
        </is>
      </c>
      <c r="E1100" t="inlineStr">
        <is>
          <t>outcome_booked</t>
        </is>
      </c>
      <c r="F1100" t="inlineStr">
        <is>
          <t>Outcome, share of booked dollars</t>
        </is>
      </c>
      <c r="G1100" t="n">
        <v>202</v>
      </c>
      <c r="H1100" t="n">
        <v>11000785.6</v>
      </c>
      <c r="I1100" t="b">
        <v>0</v>
      </c>
      <c r="J1100" t="b">
        <v>0</v>
      </c>
      <c r="K1100" t="n">
        <v>0.9069431705627743</v>
      </c>
      <c r="L1100" t="n">
        <v>0.8018470880184708</v>
      </c>
      <c r="M1100" t="n">
        <v>1.06054224078534</v>
      </c>
      <c r="N1100" t="n">
        <v>0.9125348334731744</v>
      </c>
      <c r="O1100" t="n">
        <v>-76907.29756567255</v>
      </c>
      <c r="P1100" t="n">
        <v>42788.77906086517</v>
      </c>
      <c r="Q1100">
        <f>'_live'!$C$21</f>
        <v/>
      </c>
      <c r="R1100" t="inlineStr">
        <is>
          <t>shuffled: 7,350 of 10,000</t>
        </is>
      </c>
      <c r="S1100" t="inlineStr">
        <is>
          <t>shuffled: 8,745 of 10,000</t>
        </is>
      </c>
      <c r="T1100" t="n">
        <v>0.07512692253230285</v>
      </c>
      <c r="U1100" t="n">
        <v>0.06424623809949856</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0.06813584931607068</v>
      </c>
      <c r="AI1100">
        <f>IF($Y1100="worse","Yes",IF($Y1100="worse, not significant","Not sure",IF(OR($Y1100="too few losses to test",$Y1100="too few loans to test"),"Too few losses",IF($Y1100="","","No"))))</f>
        <v/>
      </c>
      <c r="AJ1100">
        <f>IF($AA1100="yes","Yes",IF($AA1100="","","No"))</f>
        <v/>
      </c>
    </row>
    <row r="1101">
      <c r="A1101" t="inlineStr">
        <is>
          <t>three-way</t>
        </is>
      </c>
      <c r="B1101" t="inlineStr">
        <is>
          <t>ORIG_BAL x ASSET_CLASS / REV_DEBT</t>
        </is>
      </c>
      <c r="C1101" t="inlineStr">
        <is>
          <t>49,152 - 59,984</t>
        </is>
      </c>
      <c r="D1101" t="inlineStr">
        <is>
          <t>3 / REV_DEBT high half</t>
        </is>
      </c>
      <c r="E1101" t="inlineStr">
        <is>
          <t>gco_rate</t>
        </is>
      </c>
      <c r="F1101" t="inlineStr">
        <is>
          <t>GCO per booked dollar</t>
        </is>
      </c>
      <c r="G1101" t="n">
        <v>202</v>
      </c>
      <c r="H1101" t="n">
        <v>11000785.6</v>
      </c>
      <c r="I1101" t="b">
        <v>0</v>
      </c>
      <c r="J1101" t="b">
        <v>0</v>
      </c>
      <c r="K1101" t="n">
        <v>0.833331707335226</v>
      </c>
      <c r="L1101" t="n">
        <v>0.8043430951022545</v>
      </c>
      <c r="M1101" t="n">
        <v>0.9796577723964374</v>
      </c>
      <c r="N1101" t="n">
        <v>0.9542045795420458</v>
      </c>
      <c r="O1101" t="n">
        <v>-76828.43343601417</v>
      </c>
      <c r="P1101" t="n">
        <v>-7976.475187990523</v>
      </c>
      <c r="Q1101">
        <f>'_live'!$C$22</f>
        <v/>
      </c>
      <c r="R1101" t="inlineStr">
        <is>
          <t>shuffled: 5,621 of 10,000</t>
        </is>
      </c>
      <c r="S1101" t="inlineStr">
        <is>
          <t>shuffled: 9,460 of 10,000</t>
        </is>
      </c>
      <c r="T1101" t="n">
        <v>0.04190301676600389</v>
      </c>
      <c r="U1101" t="n">
        <v>0.03564419482804852</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0.03491911250411062</v>
      </c>
      <c r="AI1101">
        <f>IF($Y1101="worse","Yes",IF($Y1101="worse, not significant","Not sure",IF(OR($Y1101="too few losses to test",$Y1101="too few loans to test"),"Too few losses",IF($Y1101="","","No"))))</f>
        <v/>
      </c>
      <c r="AJ1101">
        <f>IF($AA1101="yes","Yes",IF($AA1101="","","No"))</f>
        <v/>
      </c>
    </row>
    <row r="1102">
      <c r="A1102" t="inlineStr">
        <is>
          <t>three-way</t>
        </is>
      </c>
      <c r="B1102" t="inlineStr">
        <is>
          <t>ORIG_BAL x ASSET_CLASS / REV_DEBT</t>
        </is>
      </c>
      <c r="C1102" t="inlineStr">
        <is>
          <t>49,152 - 59,984</t>
        </is>
      </c>
      <c r="D1102" t="inlineStr">
        <is>
          <t>3 / REV_DEBT high half</t>
        </is>
      </c>
      <c r="E1102" t="inlineStr">
        <is>
          <t>ranr_rate</t>
        </is>
      </c>
      <c r="F1102" t="inlineStr">
        <is>
          <t>Profit after losses: RANR per booked dollar</t>
        </is>
      </c>
      <c r="G1102" t="n">
        <v>202</v>
      </c>
      <c r="H1102" t="n">
        <v>11000785.6</v>
      </c>
      <c r="I1102" t="b">
        <v>0</v>
      </c>
      <c r="J1102" t="b">
        <v>0</v>
      </c>
      <c r="K1102" t="n">
        <v>0.02783550786960165</v>
      </c>
      <c r="L1102" t="n">
        <v>0.240864802408648</v>
      </c>
      <c r="M1102" t="n">
        <v>0.02770363391911279</v>
      </c>
      <c r="N1102" t="n">
        <v>0.2045509734740812</v>
      </c>
      <c r="O1102" t="n">
        <v>-306212.4541406005</v>
      </c>
      <c r="P1102" t="n">
        <v>-304761.7370850474</v>
      </c>
      <c r="Q1102">
        <f>'_live'!$C$23</f>
        <v/>
      </c>
      <c r="R1102" t="inlineStr">
        <is>
          <t>shuffled: 541 of 10,000</t>
        </is>
      </c>
      <c r="S1102" t="inlineStr">
        <is>
          <t>shuffled: 357 of 10,000</t>
        </is>
      </c>
      <c r="T1102" t="n">
        <v>0.1268034944576503</v>
      </c>
      <c r="U1102" t="n">
        <v>0.1269353684081392</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0.1546390023272519</v>
      </c>
      <c r="AI1102">
        <f>IF($Y1102="worse","Yes",IF($Y1102="worse, not significant","Not sure",IF(OR($Y1102="too few losses to test",$Y1102="too few loans to test"),"Too few losses",IF($Y1102="","","No"))))</f>
        <v/>
      </c>
      <c r="AJ1102">
        <f>IF($AA1102="yes","Yes",IF($AA1102="","","No"))</f>
        <v/>
      </c>
    </row>
    <row r="1103">
      <c r="A1103" t="inlineStr">
        <is>
          <t>three-way</t>
        </is>
      </c>
      <c r="B1103" t="inlineStr">
        <is>
          <t>ORIG_BAL x ASSET_CLASS / REV_DEBT</t>
        </is>
      </c>
      <c r="C1103" t="inlineStr">
        <is>
          <t>49,152 - 59,984</t>
        </is>
      </c>
      <c r="D1103" t="inlineStr">
        <is>
          <t>3 / REV_DEBT high half</t>
        </is>
      </c>
      <c r="E1103" t="inlineStr">
        <is>
          <t>contribution_rate</t>
        </is>
      </c>
      <c r="F1103" t="inlineStr">
        <is>
          <t>Contribution before losses per booked dollar</t>
        </is>
      </c>
      <c r="G1103" t="n">
        <v>202</v>
      </c>
      <c r="H1103" t="n">
        <v>11000785.6</v>
      </c>
      <c r="I1103" t="b">
        <v>0</v>
      </c>
      <c r="J1103" t="b">
        <v>0</v>
      </c>
      <c r="K1103" t="n">
        <v>0.02085478080088785</v>
      </c>
      <c r="L1103" t="n">
        <v>0.03256817175425315</v>
      </c>
      <c r="M1103" t="n">
        <v>0.0269785515951749</v>
      </c>
      <c r="N1103" t="n">
        <v>0.003351016249726379</v>
      </c>
      <c r="O1103" t="n">
        <v>-229418.9723255634</v>
      </c>
      <c r="P1103" t="n">
        <v>-296785.2618970571</v>
      </c>
      <c r="Q1103">
        <f>'_live'!$C$24</f>
        <v/>
      </c>
      <c r="R1103" t="inlineStr">
        <is>
          <t>shuffled: 284 of 10,000</t>
        </is>
      </c>
      <c r="S1103" t="inlineStr">
        <is>
          <t>shuffled: 30 of 10,000</t>
        </is>
      </c>
      <c r="T1103" t="n">
        <v>0.1687033340304747</v>
      </c>
      <c r="U1103" t="n">
        <v>0.1625795632361877</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0.1895581148313626</v>
      </c>
      <c r="AI1103">
        <f>IF($Y1103="worse","Yes",IF($Y1103="worse, not significant","Not sure",IF(OR($Y1103="too few losses to test",$Y1103="too few loans to test"),"Too few losses",IF($Y1103="","","No"))))</f>
        <v/>
      </c>
      <c r="AJ1103">
        <f>IF($AA1103="yes","Yes",IF($AA1103="","","No"))</f>
        <v/>
      </c>
    </row>
    <row r="1104">
      <c r="A1104" t="inlineStr">
        <is>
          <t>three-way</t>
        </is>
      </c>
      <c r="B1104" t="inlineStr">
        <is>
          <t>ORIG_BAL x ASSET_CLASS / REV_DEBT</t>
        </is>
      </c>
      <c r="C1104" t="inlineStr">
        <is>
          <t>37,951 - 49,151</t>
        </is>
      </c>
      <c r="D1104" t="inlineStr">
        <is>
          <t>1 / REV_DEBT high half</t>
        </is>
      </c>
      <c r="E1104" t="inlineStr">
        <is>
          <t>outcome_loans</t>
        </is>
      </c>
      <c r="F1104" t="inlineStr">
        <is>
          <t>Outcome, share of loans</t>
        </is>
      </c>
      <c r="G1104" t="n">
        <v>192</v>
      </c>
      <c r="H1104" t="n">
        <v>192</v>
      </c>
      <c r="I1104" t="b">
        <v>0</v>
      </c>
      <c r="J1104" t="b">
        <v>0</v>
      </c>
      <c r="K1104" t="n">
        <v>1.148247162236988</v>
      </c>
      <c r="L1104" t="n">
        <v>0.8896135182978477</v>
      </c>
      <c r="M1104" t="n">
        <v>1.065527065527065</v>
      </c>
      <c r="N1104" t="n">
        <v>0.8709102683208017</v>
      </c>
      <c r="O1104" t="n">
        <v>2.194825156910465</v>
      </c>
      <c r="P1104" t="n">
        <v>1.045454545454545</v>
      </c>
      <c r="Q1104">
        <f>'_live'!$C$20</f>
        <v/>
      </c>
      <c r="R1104" t="inlineStr">
        <is>
          <t>z test</t>
        </is>
      </c>
      <c r="S1104" t="inlineStr">
        <is>
          <t>z test</t>
        </is>
      </c>
      <c r="T1104" t="n">
        <v>0.07711028564109133</v>
      </c>
      <c r="U1104" t="n">
        <v>0.08309659090909091</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0.08854166666666667</v>
      </c>
      <c r="AI1104">
        <f>IF($Y1104="worse","Yes",IF($Y1104="worse, not significant","Not sure",IF(OR($Y1104="too few losses to test",$Y1104="too few loans to test"),"Too few losses",IF($Y1104="","","No"))))</f>
        <v/>
      </c>
      <c r="AJ1104">
        <f>IF($AA1104="yes","Yes",IF($AA1104="","","No"))</f>
        <v/>
      </c>
    </row>
    <row r="1105">
      <c r="A1105" t="inlineStr">
        <is>
          <t>three-way</t>
        </is>
      </c>
      <c r="B1105" t="inlineStr">
        <is>
          <t>ORIG_BAL x ASSET_CLASS / REV_DEBT</t>
        </is>
      </c>
      <c r="C1105" t="inlineStr">
        <is>
          <t>37,951 - 49,151</t>
        </is>
      </c>
      <c r="D1105" t="inlineStr">
        <is>
          <t>1 / REV_DEBT high half</t>
        </is>
      </c>
      <c r="E1105" t="inlineStr">
        <is>
          <t>outcome_booked</t>
        </is>
      </c>
      <c r="F1105" t="inlineStr">
        <is>
          <t>Outcome, share of booked dollars</t>
        </is>
      </c>
      <c r="G1105" t="n">
        <v>192</v>
      </c>
      <c r="H1105" t="n">
        <v>8302943.920000002</v>
      </c>
      <c r="I1105" t="b">
        <v>0</v>
      </c>
      <c r="J1105" t="b">
        <v>0</v>
      </c>
      <c r="K1105" t="n">
        <v>1.185068518910537</v>
      </c>
      <c r="L1105" t="n">
        <v>0.8018470880184708</v>
      </c>
      <c r="M1105" t="n">
        <v>1.069751165133794</v>
      </c>
      <c r="N1105" t="n">
        <v>0.8576960485769605</v>
      </c>
      <c r="O1105" t="n">
        <v>114302.3655510218</v>
      </c>
      <c r="P1105" t="n">
        <v>47723.77931767097</v>
      </c>
      <c r="Q1105">
        <f>'_live'!$C$21</f>
        <v/>
      </c>
      <c r="R1105" t="inlineStr">
        <is>
          <t>shuffled: 5,206 of 10,000</t>
        </is>
      </c>
      <c r="S1105" t="inlineStr">
        <is>
          <t>shuffled: 7,862 of 10,000</t>
        </is>
      </c>
      <c r="T1105" t="n">
        <v>0.07438589016135112</v>
      </c>
      <c r="U1105" t="n">
        <v>0.08240456243890046</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0.08815237668135423</v>
      </c>
      <c r="AI1105">
        <f>IF($Y1105="worse","Yes",IF($Y1105="worse, not significant","Not sure",IF(OR($Y1105="too few losses to test",$Y1105="too few loans to test"),"Too few losses",IF($Y1105="","","No"))))</f>
        <v/>
      </c>
      <c r="AJ1105">
        <f>IF($AA1105="yes","Yes",IF($AA1105="","","No"))</f>
        <v/>
      </c>
    </row>
    <row r="1106">
      <c r="A1106" t="inlineStr">
        <is>
          <t>three-way</t>
        </is>
      </c>
      <c r="B1106" t="inlineStr">
        <is>
          <t>ORIG_BAL x ASSET_CLASS / REV_DEBT</t>
        </is>
      </c>
      <c r="C1106" t="inlineStr">
        <is>
          <t>37,951 - 49,151</t>
        </is>
      </c>
      <c r="D1106" t="inlineStr">
        <is>
          <t>1 / REV_DEBT high half</t>
        </is>
      </c>
      <c r="E1106" t="inlineStr">
        <is>
          <t>gco_rate</t>
        </is>
      </c>
      <c r="F1106" t="inlineStr">
        <is>
          <t>GCO per booked dollar</t>
        </is>
      </c>
      <c r="G1106" t="n">
        <v>192</v>
      </c>
      <c r="H1106" t="n">
        <v>8302943.920000002</v>
      </c>
      <c r="I1106" t="b">
        <v>0</v>
      </c>
      <c r="J1106" t="b">
        <v>0</v>
      </c>
      <c r="K1106" t="n">
        <v>1.304993020109638</v>
      </c>
      <c r="L1106" t="n">
        <v>0.7201679832016799</v>
      </c>
      <c r="M1106" t="n">
        <v>1.173476736068573</v>
      </c>
      <c r="N1106" t="n">
        <v>0.5939977430828345</v>
      </c>
      <c r="O1106" t="n">
        <v>104334.715829298</v>
      </c>
      <c r="P1106" t="n">
        <v>65995.43321319151</v>
      </c>
      <c r="Q1106">
        <f>'_live'!$C$22</f>
        <v/>
      </c>
      <c r="R1106" t="inlineStr">
        <is>
          <t>shuffled: 3,000 of 10,000</t>
        </is>
      </c>
      <c r="S1106" t="inlineStr">
        <is>
          <t>shuffled: 5,197 of 10,000</t>
        </is>
      </c>
      <c r="T1106" t="n">
        <v>0.04120091228686775</v>
      </c>
      <c r="U1106" t="n">
        <v>0.04581846516757015</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0.05376690295651182</v>
      </c>
      <c r="AI1106">
        <f>IF($Y1106="worse","Yes",IF($Y1106="worse, not significant","Not sure",IF(OR($Y1106="too few losses to test",$Y1106="too few loans to test"),"Too few losses",IF($Y1106="","","No"))))</f>
        <v/>
      </c>
      <c r="AJ1106">
        <f>IF($AA1106="yes","Yes",IF($AA1106="","","No"))</f>
        <v/>
      </c>
    </row>
    <row r="1107">
      <c r="A1107" t="inlineStr">
        <is>
          <t>three-way</t>
        </is>
      </c>
      <c r="B1107" t="inlineStr">
        <is>
          <t>ORIG_BAL x ASSET_CLASS / REV_DEBT</t>
        </is>
      </c>
      <c r="C1107" t="inlineStr">
        <is>
          <t>37,951 - 49,151</t>
        </is>
      </c>
      <c r="D1107" t="inlineStr">
        <is>
          <t>1 / REV_DEBT high half</t>
        </is>
      </c>
      <c r="E1107" t="inlineStr">
        <is>
          <t>ranr_rate</t>
        </is>
      </c>
      <c r="F1107" t="inlineStr">
        <is>
          <t>Profit after losses: RANR per booked dollar</t>
        </is>
      </c>
      <c r="G1107" t="n">
        <v>192</v>
      </c>
      <c r="H1107" t="n">
        <v>8302943.920000002</v>
      </c>
      <c r="I1107" t="b">
        <v>0</v>
      </c>
      <c r="J1107" t="b">
        <v>0</v>
      </c>
      <c r="K1107" t="n">
        <v>0.01484224214808291</v>
      </c>
      <c r="L1107" t="n">
        <v>0.5594440555944405</v>
      </c>
      <c r="M1107" t="n">
        <v>0.02262109018584262</v>
      </c>
      <c r="N1107" t="n">
        <v>0.3653920322253489</v>
      </c>
      <c r="O1107" t="n">
        <v>-123234.3042025927</v>
      </c>
      <c r="P1107" t="n">
        <v>-187821.6432223136</v>
      </c>
      <c r="Q1107">
        <f>'_live'!$C$23</f>
        <v/>
      </c>
      <c r="R1107" t="inlineStr">
        <is>
          <t>shuffled: 3,140 of 10,000</t>
        </is>
      </c>
      <c r="S1107" t="inlineStr">
        <is>
          <t>shuffled: 1,278 of 10,000</t>
        </is>
      </c>
      <c r="T1107" t="n">
        <v>0.1275125239912986</v>
      </c>
      <c r="U1107" t="n">
        <v>0.1197336759535389</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0.1423547661393816</v>
      </c>
      <c r="AI1107">
        <f>IF($Y1107="worse","Yes",IF($Y1107="worse, not significant","Not sure",IF(OR($Y1107="too few losses to test",$Y1107="too few loans to test"),"Too few losses",IF($Y1107="","","No"))))</f>
        <v/>
      </c>
      <c r="AJ1107">
        <f>IF($AA1107="yes","Yes",IF($AA1107="","","No"))</f>
        <v/>
      </c>
    </row>
    <row r="1108">
      <c r="A1108" t="inlineStr">
        <is>
          <t>three-way</t>
        </is>
      </c>
      <c r="B1108" t="inlineStr">
        <is>
          <t>ORIG_BAL x ASSET_CLASS / REV_DEBT</t>
        </is>
      </c>
      <c r="C1108" t="inlineStr">
        <is>
          <t>37,951 - 49,151</t>
        </is>
      </c>
      <c r="D1108" t="inlineStr">
        <is>
          <t>1 / REV_DEBT high half</t>
        </is>
      </c>
      <c r="E1108" t="inlineStr">
        <is>
          <t>contribution_rate</t>
        </is>
      </c>
      <c r="F1108" t="inlineStr">
        <is>
          <t>Contribution before losses per booked dollar</t>
        </is>
      </c>
      <c r="G1108" t="n">
        <v>192</v>
      </c>
      <c r="H1108" t="n">
        <v>8302943.920000002</v>
      </c>
      <c r="I1108" t="b">
        <v>0</v>
      </c>
      <c r="J1108" t="b">
        <v>0</v>
      </c>
      <c r="K1108" t="n">
        <v>0.02741126301370198</v>
      </c>
      <c r="L1108" t="n">
        <v>0.005499450054994501</v>
      </c>
      <c r="M1108" t="n">
        <v>0.0305868927095381</v>
      </c>
      <c r="N1108" t="n">
        <v>0.0010665600106656</v>
      </c>
      <c r="O1108" t="n">
        <v>-227594.1795791378</v>
      </c>
      <c r="P1108" t="n">
        <v>-253961.2548543517</v>
      </c>
      <c r="Q1108">
        <f>'_live'!$C$24</f>
        <v/>
      </c>
      <c r="R1108" t="inlineStr">
        <is>
          <t>shuffled: 43 of 10,000</t>
        </is>
      </c>
      <c r="S1108" t="inlineStr">
        <is>
          <t>shuffled: 7 of 10,000</t>
        </is>
      </c>
      <c r="T1108" t="n">
        <v>0.1687104060821914</v>
      </c>
      <c r="U1108" t="n">
        <v>0.1655347763863553</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0.1961216690958934</v>
      </c>
      <c r="AI1108">
        <f>IF($Y1108="worse","Yes",IF($Y1108="worse, not significant","Not sure",IF(OR($Y1108="too few losses to test",$Y1108="too few loans to test"),"Too few losses",IF($Y1108="","","No"))))</f>
        <v/>
      </c>
      <c r="AJ1108">
        <f>IF($AA1108="yes","Yes",IF($AA1108="","","No"))</f>
        <v/>
      </c>
    </row>
    <row r="1109">
      <c r="A1109" t="inlineStr">
        <is>
          <t>three-way</t>
        </is>
      </c>
      <c r="B1109" t="inlineStr">
        <is>
          <t>ORIG_BAL x ASSET_CLASS / REV_DEBT</t>
        </is>
      </c>
      <c r="C1109" t="inlineStr">
        <is>
          <t>49,152 - 59,984</t>
        </is>
      </c>
      <c r="D1109" t="inlineStr">
        <is>
          <t>2 / REV_DEBT low half</t>
        </is>
      </c>
      <c r="E1109" t="inlineStr">
        <is>
          <t>outcome_loans</t>
        </is>
      </c>
      <c r="F1109" t="inlineStr">
        <is>
          <t>Outcome, share of loans</t>
        </is>
      </c>
      <c r="G1109" t="n">
        <v>199</v>
      </c>
      <c r="H1109" t="n">
        <v>199</v>
      </c>
      <c r="I1109" t="b">
        <v>1</v>
      </c>
      <c r="J1109" t="b">
        <v>0</v>
      </c>
      <c r="K1109" t="n">
        <v>0.4483200315302001</v>
      </c>
      <c r="M1109" t="n">
        <v>0.5133479899497487</v>
      </c>
      <c r="O1109" t="n">
        <v>-8.613846153846152</v>
      </c>
      <c r="P1109" t="n">
        <v>-6.635974304068522</v>
      </c>
      <c r="Q1109">
        <f>'_live'!$C$20</f>
        <v/>
      </c>
      <c r="T1109" t="n">
        <v>0.07846153846153846</v>
      </c>
      <c r="U1109" t="n">
        <v>0.06852248394004283</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0.03517587939698492</v>
      </c>
      <c r="AI1109">
        <f>IF($Y1109="worse","Yes",IF($Y1109="worse, not significant","Not sure",IF(OR($Y1109="too few losses to test",$Y1109="too few loans to test"),"Too few losses",IF($Y1109="","","No"))))</f>
        <v/>
      </c>
      <c r="AJ1109">
        <f>IF($AA1109="yes","Yes",IF($AA1109="","","No"))</f>
        <v/>
      </c>
    </row>
    <row r="1110">
      <c r="A1110" t="inlineStr">
        <is>
          <t>three-way</t>
        </is>
      </c>
      <c r="B1110" t="inlineStr">
        <is>
          <t>ORIG_BAL x ASSET_CLASS / REV_DEBT</t>
        </is>
      </c>
      <c r="C1110" t="inlineStr">
        <is>
          <t>49,152 - 59,984</t>
        </is>
      </c>
      <c r="D1110" t="inlineStr">
        <is>
          <t>2 / REV_DEBT low half</t>
        </is>
      </c>
      <c r="E1110" t="inlineStr">
        <is>
          <t>outcome_booked</t>
        </is>
      </c>
      <c r="F1110" t="inlineStr">
        <is>
          <t>Outcome, share of booked dollars</t>
        </is>
      </c>
      <c r="G1110" t="n">
        <v>199</v>
      </c>
      <c r="H1110" t="n">
        <v>10872616.06000001</v>
      </c>
      <c r="I1110" t="b">
        <v>1</v>
      </c>
      <c r="J1110" t="b">
        <v>0</v>
      </c>
      <c r="K1110" t="n">
        <v>0.4726658520445552</v>
      </c>
      <c r="M1110" t="n">
        <v>0.5257986079549213</v>
      </c>
      <c r="O1110" t="n">
        <v>-438781.2389129667</v>
      </c>
      <c r="P1110" t="n">
        <v>-354698.8455088936</v>
      </c>
      <c r="Q1110">
        <f>'_live'!$C$21</f>
        <v/>
      </c>
      <c r="T1110" t="n">
        <v>0.07652936370798016</v>
      </c>
      <c r="U1110" t="n">
        <v>0.06879595410903282</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0.0361728169034601</v>
      </c>
      <c r="AI1110">
        <f>IF($Y1110="worse","Yes",IF($Y1110="worse, not significant","Not sure",IF(OR($Y1110="too few losses to test",$Y1110="too few loans to test"),"Too few losses",IF($Y1110="","","No"))))</f>
        <v/>
      </c>
      <c r="AJ1110">
        <f>IF($AA1110="yes","Yes",IF($AA1110="","","No"))</f>
        <v/>
      </c>
    </row>
    <row r="1111">
      <c r="A1111" t="inlineStr">
        <is>
          <t>three-way</t>
        </is>
      </c>
      <c r="B1111" t="inlineStr">
        <is>
          <t>ORIG_BAL x ASSET_CLASS / REV_DEBT</t>
        </is>
      </c>
      <c r="C1111" t="inlineStr">
        <is>
          <t>49,152 - 59,984</t>
        </is>
      </c>
      <c r="D1111" t="inlineStr">
        <is>
          <t>2 / REV_DEBT low half</t>
        </is>
      </c>
      <c r="E1111" t="inlineStr">
        <is>
          <t>gco_rate</t>
        </is>
      </c>
      <c r="F1111" t="inlineStr">
        <is>
          <t>GCO per booked dollar</t>
        </is>
      </c>
      <c r="G1111" t="n">
        <v>199</v>
      </c>
      <c r="H1111" t="n">
        <v>10872616.06000001</v>
      </c>
      <c r="I1111" t="b">
        <v>1</v>
      </c>
      <c r="J1111" t="b">
        <v>0</v>
      </c>
      <c r="K1111" t="n">
        <v>0.4490115900693639</v>
      </c>
      <c r="M1111" t="n">
        <v>0.5047859428769835</v>
      </c>
      <c r="O1111" t="n">
        <v>-255168.3315169375</v>
      </c>
      <c r="P1111" t="n">
        <v>-203998.7815290249</v>
      </c>
      <c r="Q1111">
        <f>'_live'!$C$22</f>
        <v/>
      </c>
      <c r="T1111" t="n">
        <v>0.042594179630853</v>
      </c>
      <c r="U1111" t="n">
        <v>0.03788790197830499</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0.01912528032374942</v>
      </c>
      <c r="AI1111">
        <f>IF($Y1111="worse","Yes",IF($Y1111="worse, not significant","Not sure",IF(OR($Y1111="too few losses to test",$Y1111="too few loans to test"),"Too few losses",IF($Y1111="","","No"))))</f>
        <v/>
      </c>
      <c r="AJ1111">
        <f>IF($AA1111="yes","Yes",IF($AA1111="","","No"))</f>
        <v/>
      </c>
    </row>
    <row r="1112">
      <c r="A1112" t="inlineStr">
        <is>
          <t>three-way</t>
        </is>
      </c>
      <c r="B1112" t="inlineStr">
        <is>
          <t>ORIG_BAL x ASSET_CLASS / REV_DEBT</t>
        </is>
      </c>
      <c r="C1112" t="inlineStr">
        <is>
          <t>49,152 - 59,984</t>
        </is>
      </c>
      <c r="D1112" t="inlineStr">
        <is>
          <t>2 / REV_DEBT low half</t>
        </is>
      </c>
      <c r="E1112" t="inlineStr">
        <is>
          <t>ranr_rate</t>
        </is>
      </c>
      <c r="F1112" t="inlineStr">
        <is>
          <t>Profit after losses: RANR per booked dollar</t>
        </is>
      </c>
      <c r="G1112" t="n">
        <v>199</v>
      </c>
      <c r="H1112" t="n">
        <v>10872616.06000001</v>
      </c>
      <c r="I1112" t="b">
        <v>0</v>
      </c>
      <c r="J1112" t="b">
        <v>0</v>
      </c>
      <c r="K1112" t="n">
        <v>-0.02441623116111444</v>
      </c>
      <c r="L1112" t="n">
        <v>0.2610405626104056</v>
      </c>
      <c r="M1112" t="n">
        <v>-0.02949144309212767</v>
      </c>
      <c r="N1112" t="n">
        <v>0.160650601606506</v>
      </c>
      <c r="O1112" t="n">
        <v>265468.3070470055</v>
      </c>
      <c r="P1112" t="n">
        <v>320649.1377960437</v>
      </c>
      <c r="Q1112">
        <f>'_live'!$C$23</f>
        <v/>
      </c>
      <c r="R1112" t="inlineStr">
        <is>
          <t>shuffled: 978 of 10,000</t>
        </is>
      </c>
      <c r="S1112" t="inlineStr">
        <is>
          <t>shuffled: 225 of 10,000</t>
        </is>
      </c>
      <c r="T1112" t="n">
        <v>0.1290187236729304</v>
      </c>
      <c r="U1112" t="n">
        <v>0.1340939356039437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0.104602492511816</v>
      </c>
      <c r="AI1112">
        <f>IF($Y1112="worse","Yes",IF($Y1112="worse, not significant","Not sure",IF(OR($Y1112="too few losses to test",$Y1112="too few loans to test"),"Too few losses",IF($Y1112="","","No"))))</f>
        <v/>
      </c>
      <c r="AJ1112">
        <f>IF($AA1112="yes","Yes",IF($AA1112="","","No"))</f>
        <v/>
      </c>
    </row>
    <row r="1113">
      <c r="A1113" t="inlineStr">
        <is>
          <t>three-way</t>
        </is>
      </c>
      <c r="B1113" t="inlineStr">
        <is>
          <t>ORIG_BAL x ASSET_CLASS / REV_DEBT</t>
        </is>
      </c>
      <c r="C1113" t="inlineStr">
        <is>
          <t>49,152 - 59,984</t>
        </is>
      </c>
      <c r="D1113" t="inlineStr">
        <is>
          <t>2 / REV_DEBT low half</t>
        </is>
      </c>
      <c r="E1113" t="inlineStr">
        <is>
          <t>contribution_rate</t>
        </is>
      </c>
      <c r="F1113" t="inlineStr">
        <is>
          <t>Contribution before losses per booked dollar</t>
        </is>
      </c>
      <c r="G1113" t="n">
        <v>199</v>
      </c>
      <c r="H1113" t="n">
        <v>10872616.06000001</v>
      </c>
      <c r="I1113" t="b">
        <v>0</v>
      </c>
      <c r="J1113" t="b">
        <v>0</v>
      </c>
      <c r="K1113" t="n">
        <v>-0.04788231060917625</v>
      </c>
      <c r="L1113" t="n">
        <v>0.0003076615415381539</v>
      </c>
      <c r="M1113" t="n">
        <v>-0.04825406474668334</v>
      </c>
      <c r="N1113" t="n">
        <v>0.000222200002222</v>
      </c>
      <c r="O1113" t="n">
        <v>520605.9793192383</v>
      </c>
      <c r="P1113" t="n">
        <v>524647.9193250693</v>
      </c>
      <c r="Q1113">
        <f>'_live'!$C$24</f>
        <v/>
      </c>
      <c r="R1113" t="inlineStr">
        <is>
          <t>shuffled: 0 of 10,000</t>
        </is>
      </c>
      <c r="S1113" t="inlineStr">
        <is>
          <t>shuffled: 0 of 10,000</t>
        </is>
      </c>
      <c r="T1113" t="n">
        <v>0.1716100834447416</v>
      </c>
      <c r="U1113" t="n">
        <v>0.1719818375822487</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0.1237277728355653</v>
      </c>
      <c r="AI1113">
        <f>IF($Y1113="worse","Yes",IF($Y1113="worse, not significant","Not sure",IF(OR($Y1113="too few losses to test",$Y1113="too few loans to test"),"Too few losses",IF($Y1113="","","No"))))</f>
        <v/>
      </c>
      <c r="AJ1113">
        <f>IF($AA1113="yes","Yes",IF($AA1113="","","No"))</f>
        <v/>
      </c>
    </row>
    <row r="1114">
      <c r="A1114" t="inlineStr">
        <is>
          <t>three-way</t>
        </is>
      </c>
      <c r="B1114" t="inlineStr">
        <is>
          <t>ORIG_BAL x ASSET_CLASS / REV_DEBT</t>
        </is>
      </c>
      <c r="C1114" t="inlineStr">
        <is>
          <t>5,005 - 15,448</t>
        </is>
      </c>
      <c r="D1114" t="inlineStr">
        <is>
          <t>2 / REV_DEBT low half</t>
        </is>
      </c>
      <c r="E1114" t="inlineStr">
        <is>
          <t>outcome_loans</t>
        </is>
      </c>
      <c r="F1114" t="inlineStr">
        <is>
          <t>Outcome, share of loans</t>
        </is>
      </c>
      <c r="G1114" t="n">
        <v>202</v>
      </c>
      <c r="H1114" t="n">
        <v>202</v>
      </c>
      <c r="I1114" t="b">
        <v>1</v>
      </c>
      <c r="J1114" t="b">
        <v>0</v>
      </c>
      <c r="K1114" t="n">
        <v>0.4414919433119783</v>
      </c>
      <c r="M1114" t="n">
        <v>0.4176340047797883</v>
      </c>
      <c r="O1114" t="n">
        <v>-8.855328972681802</v>
      </c>
      <c r="P1114" t="n">
        <v>-9.761087267525038</v>
      </c>
      <c r="Q1114">
        <f>'_live'!$C$20</f>
        <v/>
      </c>
      <c r="T1114" t="n">
        <v>0.07849172758753367</v>
      </c>
      <c r="U1114" t="n">
        <v>0.08297567954220315</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0.03465346534653466</v>
      </c>
      <c r="AI1114">
        <f>IF($Y1114="worse","Yes",IF($Y1114="worse, not significant","Not sure",IF(OR($Y1114="too few losses to test",$Y1114="too few loans to test"),"Too few losses",IF($Y1114="","","No"))))</f>
        <v/>
      </c>
      <c r="AJ1114">
        <f>IF($AA1114="yes","Yes",IF($AA1114="","","No"))</f>
        <v/>
      </c>
    </row>
    <row r="1115">
      <c r="A1115" t="inlineStr">
        <is>
          <t>three-way</t>
        </is>
      </c>
      <c r="B1115" t="inlineStr">
        <is>
          <t>ORIG_BAL x ASSET_CLASS / REV_DEBT</t>
        </is>
      </c>
      <c r="C1115" t="inlineStr">
        <is>
          <t>5,005 - 15,448</t>
        </is>
      </c>
      <c r="D1115" t="inlineStr">
        <is>
          <t>2 / REV_DEBT low half</t>
        </is>
      </c>
      <c r="E1115" t="inlineStr">
        <is>
          <t>outcome_booked</t>
        </is>
      </c>
      <c r="F1115" t="inlineStr">
        <is>
          <t>Outcome, share of booked dollars</t>
        </is>
      </c>
      <c r="G1115" t="n">
        <v>202</v>
      </c>
      <c r="H1115" t="n">
        <v>2039535.49</v>
      </c>
      <c r="I1115" t="b">
        <v>1</v>
      </c>
      <c r="J1115" t="b">
        <v>0</v>
      </c>
      <c r="K1115" t="n">
        <v>0.4365935863893703</v>
      </c>
      <c r="M1115" t="n">
        <v>0.4015719483307469</v>
      </c>
      <c r="O1115" t="n">
        <v>-86369.53630535453</v>
      </c>
      <c r="P1115" t="n">
        <v>-99738.93544236702</v>
      </c>
      <c r="Q1115">
        <f>'_live'!$C$21</f>
        <v/>
      </c>
      <c r="T1115" t="n">
        <v>0.07516359340496424</v>
      </c>
      <c r="U1115" t="n">
        <v>0.08171871304007905</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0.03281594281058576</v>
      </c>
      <c r="AI1115">
        <f>IF($Y1115="worse","Yes",IF($Y1115="worse, not significant","Not sure",IF(OR($Y1115="too few losses to test",$Y1115="too few loans to test"),"Too few losses",IF($Y1115="","","No"))))</f>
        <v/>
      </c>
      <c r="AJ1115">
        <f>IF($AA1115="yes","Yes",IF($AA1115="","","No"))</f>
        <v/>
      </c>
    </row>
    <row r="1116">
      <c r="A1116" t="inlineStr">
        <is>
          <t>three-way</t>
        </is>
      </c>
      <c r="B1116" t="inlineStr">
        <is>
          <t>ORIG_BAL x ASSET_CLASS / REV_DEBT</t>
        </is>
      </c>
      <c r="C1116" t="inlineStr">
        <is>
          <t>5,005 - 15,448</t>
        </is>
      </c>
      <c r="D1116" t="inlineStr">
        <is>
          <t>2 / REV_DEBT low half</t>
        </is>
      </c>
      <c r="E1116" t="inlineStr">
        <is>
          <t>gco_rate</t>
        </is>
      </c>
      <c r="F1116" t="inlineStr">
        <is>
          <t>GCO per booked dollar</t>
        </is>
      </c>
      <c r="G1116" t="n">
        <v>202</v>
      </c>
      <c r="H1116" t="n">
        <v>2039535.49</v>
      </c>
      <c r="I1116" t="b">
        <v>1</v>
      </c>
      <c r="J1116" t="b">
        <v>0</v>
      </c>
      <c r="K1116" t="n">
        <v>0.461213177015257</v>
      </c>
      <c r="M1116" t="n">
        <v>0.4323082756270127</v>
      </c>
      <c r="O1116" t="n">
        <v>-45914.51711333841</v>
      </c>
      <c r="P1116" t="n">
        <v>-51612.36693395214</v>
      </c>
      <c r="Q1116">
        <f>'_live'!$C$22</f>
        <v/>
      </c>
      <c r="T1116" t="n">
        <v>0.04178320874099543</v>
      </c>
      <c r="U1116" t="n">
        <v>0.04457690850672676</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0.01927096644932616</v>
      </c>
      <c r="AI1116">
        <f>IF($Y1116="worse","Yes",IF($Y1116="worse, not significant","Not sure",IF(OR($Y1116="too few losses to test",$Y1116="too few loans to test"),"Too few losses",IF($Y1116="","","No"))))</f>
        <v/>
      </c>
      <c r="AJ1116">
        <f>IF($AA1116="yes","Yes",IF($AA1116="","","No"))</f>
        <v/>
      </c>
    </row>
    <row r="1117">
      <c r="A1117" t="inlineStr">
        <is>
          <t>three-way</t>
        </is>
      </c>
      <c r="B1117" t="inlineStr">
        <is>
          <t>ORIG_BAL x ASSET_CLASS / REV_DEBT</t>
        </is>
      </c>
      <c r="C1117" t="inlineStr">
        <is>
          <t>5,005 - 15,448</t>
        </is>
      </c>
      <c r="D1117" t="inlineStr">
        <is>
          <t>2 / REV_DEBT low half</t>
        </is>
      </c>
      <c r="E1117" t="inlineStr">
        <is>
          <t>ranr_rate</t>
        </is>
      </c>
      <c r="F1117" t="inlineStr">
        <is>
          <t>Profit after losses: RANR per booked dollar</t>
        </is>
      </c>
      <c r="G1117" t="n">
        <v>202</v>
      </c>
      <c r="H1117" t="n">
        <v>2039535.49</v>
      </c>
      <c r="I1117" t="b">
        <v>0</v>
      </c>
      <c r="J1117" t="b">
        <v>0</v>
      </c>
      <c r="K1117" t="n">
        <v>0.002605054564720682</v>
      </c>
      <c r="L1117" t="n">
        <v>0.9556822095568221</v>
      </c>
      <c r="M1117" t="n">
        <v>-0.01841963688672546</v>
      </c>
      <c r="N1117" t="n">
        <v>0.4083802146101179</v>
      </c>
      <c r="O1117" t="n">
        <v>-5313.101238134317</v>
      </c>
      <c r="P1117" t="n">
        <v>37567.50314338971</v>
      </c>
      <c r="Q1117">
        <f>'_live'!$C$23</f>
        <v/>
      </c>
      <c r="R1117" t="inlineStr">
        <is>
          <t>shuffled: 8,601 of 10,000</t>
        </is>
      </c>
      <c r="S1117" t="inlineStr">
        <is>
          <t>shuffled: 1,939 of 10,000</t>
        </is>
      </c>
      <c r="T1117" t="n">
        <v>0.1279694616943712</v>
      </c>
      <c r="U1117" t="n">
        <v>0.1489941531458174</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0.1305745162590919</v>
      </c>
      <c r="AI1117">
        <f>IF($Y1117="worse","Yes",IF($Y1117="worse, not significant","Not sure",IF(OR($Y1117="too few losses to test",$Y1117="too few loans to test"),"Too few losses",IF($Y1117="","","No"))))</f>
        <v/>
      </c>
      <c r="AJ1117">
        <f>IF($AA1117="yes","Yes",IF($AA1117="","","No"))</f>
        <v/>
      </c>
    </row>
    <row r="1118">
      <c r="A1118" t="inlineStr">
        <is>
          <t>three-way</t>
        </is>
      </c>
      <c r="B1118" t="inlineStr">
        <is>
          <t>ORIG_BAL x ASSET_CLASS / REV_DEBT</t>
        </is>
      </c>
      <c r="C1118" t="inlineStr">
        <is>
          <t>5,005 - 15,448</t>
        </is>
      </c>
      <c r="D1118" t="inlineStr">
        <is>
          <t>2 / REV_DEBT low half</t>
        </is>
      </c>
      <c r="E1118" t="inlineStr">
        <is>
          <t>contribution_rate</t>
        </is>
      </c>
      <c r="F1118" t="inlineStr">
        <is>
          <t>Contribution before losses per booked dollar</t>
        </is>
      </c>
      <c r="G1118" t="n">
        <v>202</v>
      </c>
      <c r="H1118" t="n">
        <v>2039535.49</v>
      </c>
      <c r="I1118" t="b">
        <v>0</v>
      </c>
      <c r="J1118" t="b">
        <v>0</v>
      </c>
      <c r="K1118" t="n">
        <v>-0.01990430250843175</v>
      </c>
      <c r="L1118" t="n">
        <v>0.04244020042440201</v>
      </c>
      <c r="M1118" t="n">
        <v>-0.04372557894412613</v>
      </c>
      <c r="N1118" t="n">
        <v>0.000222200002222</v>
      </c>
      <c r="O1118" t="n">
        <v>40595.53136964259</v>
      </c>
      <c r="P1118" t="n">
        <v>89179.87007734197</v>
      </c>
      <c r="Q1118">
        <f>'_live'!$C$24</f>
        <v/>
      </c>
      <c r="R1118" t="inlineStr">
        <is>
          <t>shuffled: 381 of 10,000</t>
        </is>
      </c>
      <c r="S1118" t="inlineStr">
        <is>
          <t>shuffled: 0 of 10,000</t>
        </is>
      </c>
      <c r="T1118" t="n">
        <v>0.1697497852168498</v>
      </c>
      <c r="U1118" t="n">
        <v>0.1935710616525441</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0.149845482708418</v>
      </c>
      <c r="AI1118">
        <f>IF($Y1118="worse","Yes",IF($Y1118="worse, not significant","Not sure",IF(OR($Y1118="too few losses to test",$Y1118="too few loans to test"),"Too few losses",IF($Y1118="","","No"))))</f>
        <v/>
      </c>
      <c r="AJ1118">
        <f>IF($AA1118="yes","Yes",IF($AA1118="","","No"))</f>
        <v/>
      </c>
    </row>
    <row r="1119">
      <c r="A1119" t="inlineStr">
        <is>
          <t>three-way</t>
        </is>
      </c>
      <c r="B1119" t="inlineStr">
        <is>
          <t>ORIG_BAL x ASSET_CLASS / REV_DEBT</t>
        </is>
      </c>
      <c r="C1119" t="inlineStr">
        <is>
          <t>15,449 - 26,323</t>
        </is>
      </c>
      <c r="D1119" t="inlineStr">
        <is>
          <t>2 / REV_DEBT low half</t>
        </is>
      </c>
      <c r="E1119" t="inlineStr">
        <is>
          <t>outcome_loans</t>
        </is>
      </c>
      <c r="F1119" t="inlineStr">
        <is>
          <t>Outcome, share of loans</t>
        </is>
      </c>
      <c r="G1119" t="n">
        <v>178</v>
      </c>
      <c r="H1119" t="n">
        <v>178</v>
      </c>
      <c r="I1119" t="b">
        <v>1</v>
      </c>
      <c r="J1119" t="b">
        <v>0</v>
      </c>
      <c r="K1119" t="n">
        <v>0.5025611368142763</v>
      </c>
      <c r="M1119" t="n">
        <v>0.3938123120746954</v>
      </c>
      <c r="O1119" t="n">
        <v>-6.928653624856157</v>
      </c>
      <c r="P1119" t="n">
        <v>-10.77496483825598</v>
      </c>
      <c r="Q1119">
        <f>'_live'!$C$20</f>
        <v/>
      </c>
      <c r="T1119" t="n">
        <v>0.07825086306098965</v>
      </c>
      <c r="U1119" t="n">
        <v>0.09985935302390998</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0.03932584269662921</v>
      </c>
      <c r="AI1119">
        <f>IF($Y1119="worse","Yes",IF($Y1119="worse, not significant","Not sure",IF(OR($Y1119="too few losses to test",$Y1119="too few loans to test"),"Too few losses",IF($Y1119="","","No"))))</f>
        <v/>
      </c>
      <c r="AJ1119">
        <f>IF($AA1119="yes","Yes",IF($AA1119="","","No"))</f>
        <v/>
      </c>
    </row>
    <row r="1120">
      <c r="A1120" t="inlineStr">
        <is>
          <t>three-way</t>
        </is>
      </c>
      <c r="B1120" t="inlineStr">
        <is>
          <t>ORIG_BAL x ASSET_CLASS / REV_DEBT</t>
        </is>
      </c>
      <c r="C1120" t="inlineStr">
        <is>
          <t>15,449 - 26,323</t>
        </is>
      </c>
      <c r="D1120" t="inlineStr">
        <is>
          <t>2 / REV_DEBT low half</t>
        </is>
      </c>
      <c r="E1120" t="inlineStr">
        <is>
          <t>outcome_booked</t>
        </is>
      </c>
      <c r="F1120" t="inlineStr">
        <is>
          <t>Outcome, share of booked dollars</t>
        </is>
      </c>
      <c r="G1120" t="n">
        <v>178</v>
      </c>
      <c r="H1120" t="n">
        <v>3725246.249999998</v>
      </c>
      <c r="I1120" t="b">
        <v>1</v>
      </c>
      <c r="J1120" t="b">
        <v>0</v>
      </c>
      <c r="K1120" t="n">
        <v>0.5615914430393982</v>
      </c>
      <c r="M1120" t="n">
        <v>0.4218954417332069</v>
      </c>
      <c r="O1120" t="n">
        <v>-122987.4335923284</v>
      </c>
      <c r="P1120" t="n">
        <v>-215875.7002113448</v>
      </c>
      <c r="Q1120">
        <f>'_live'!$C$21</f>
        <v/>
      </c>
      <c r="T1120" t="n">
        <v>0.07530550593597096</v>
      </c>
      <c r="U1120" t="n">
        <v>0.100240304976173</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0.0422909277473939</v>
      </c>
      <c r="AI1120">
        <f>IF($Y1120="worse","Yes",IF($Y1120="worse, not significant","Not sure",IF(OR($Y1120="too few losses to test",$Y1120="too few loans to test"),"Too few losses",IF($Y1120="","","No"))))</f>
        <v/>
      </c>
      <c r="AJ1120">
        <f>IF($AA1120="yes","Yes",IF($AA1120="","","No"))</f>
        <v/>
      </c>
    </row>
    <row r="1121">
      <c r="A1121" t="inlineStr">
        <is>
          <t>three-way</t>
        </is>
      </c>
      <c r="B1121" t="inlineStr">
        <is>
          <t>ORIG_BAL x ASSET_CLASS / REV_DEBT</t>
        </is>
      </c>
      <c r="C1121" t="inlineStr">
        <is>
          <t>15,449 - 26,323</t>
        </is>
      </c>
      <c r="D1121" t="inlineStr">
        <is>
          <t>2 / REV_DEBT low half</t>
        </is>
      </c>
      <c r="E1121" t="inlineStr">
        <is>
          <t>gco_rate</t>
        </is>
      </c>
      <c r="F1121" t="inlineStr">
        <is>
          <t>GCO per booked dollar</t>
        </is>
      </c>
      <c r="G1121" t="n">
        <v>178</v>
      </c>
      <c r="H1121" t="n">
        <v>3725246.249999998</v>
      </c>
      <c r="I1121" t="b">
        <v>1</v>
      </c>
      <c r="J1121" t="b">
        <v>0</v>
      </c>
      <c r="K1121" t="n">
        <v>0.5714662108263187</v>
      </c>
      <c r="M1121" t="n">
        <v>0.4209814889253301</v>
      </c>
      <c r="O1121" t="n">
        <v>-66831.87242614238</v>
      </c>
      <c r="P1121" t="n">
        <v>-122579.7025699371</v>
      </c>
      <c r="Q1121">
        <f>'_live'!$C$22</f>
        <v/>
      </c>
      <c r="T1121" t="n">
        <v>0.04186427472442728</v>
      </c>
      <c r="U1121" t="n">
        <v>0.05682914587725235</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0.02392401844576048</v>
      </c>
      <c r="AI1121">
        <f>IF($Y1121="worse","Yes",IF($Y1121="worse, not significant","Not sure",IF(OR($Y1121="too few losses to test",$Y1121="too few loans to test"),"Too few losses",IF($Y1121="","","No"))))</f>
        <v/>
      </c>
      <c r="AJ1121">
        <f>IF($AA1121="yes","Yes",IF($AA1121="","","No"))</f>
        <v/>
      </c>
    </row>
    <row r="1122">
      <c r="A1122" t="inlineStr">
        <is>
          <t>three-way</t>
        </is>
      </c>
      <c r="B1122" t="inlineStr">
        <is>
          <t>ORIG_BAL x ASSET_CLASS / REV_DEBT</t>
        </is>
      </c>
      <c r="C1122" t="inlineStr">
        <is>
          <t>15,449 - 26,323</t>
        </is>
      </c>
      <c r="D1122" t="inlineStr">
        <is>
          <t>2 / REV_DEBT low half</t>
        </is>
      </c>
      <c r="E1122" t="inlineStr">
        <is>
          <t>ranr_rate</t>
        </is>
      </c>
      <c r="F1122" t="inlineStr">
        <is>
          <t>Profit after losses: RANR per booked dollar</t>
        </is>
      </c>
      <c r="G1122" t="n">
        <v>178</v>
      </c>
      <c r="H1122" t="n">
        <v>3725246.249999998</v>
      </c>
      <c r="I1122" t="b">
        <v>0</v>
      </c>
      <c r="J1122" t="b">
        <v>0</v>
      </c>
      <c r="K1122" t="n">
        <v>-0.02621137918885158</v>
      </c>
      <c r="L1122" t="n">
        <v>0.2610405626104056</v>
      </c>
      <c r="M1122" t="n">
        <v>-0.0190238811954405</v>
      </c>
      <c r="N1122" t="n">
        <v>0.4713814332852428</v>
      </c>
      <c r="O1122" t="n">
        <v>97643.84203059733</v>
      </c>
      <c r="P1122" t="n">
        <v>70868.64208376023</v>
      </c>
      <c r="Q1122">
        <f>'_live'!$C$23</f>
        <v/>
      </c>
      <c r="R1122" t="inlineStr">
        <is>
          <t>shuffled: 911 of 10,000</t>
        </is>
      </c>
      <c r="S1122" t="inlineStr">
        <is>
          <t>shuffled: 2,474 of 10,000</t>
        </is>
      </c>
      <c r="T1122" t="n">
        <v>0.1283684137741492</v>
      </c>
      <c r="U1122" t="n">
        <v>0.1211809157807381</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0.1021570345852976</v>
      </c>
      <c r="AI1122">
        <f>IF($Y1122="worse","Yes",IF($Y1122="worse, not significant","Not sure",IF(OR($Y1122="too few losses to test",$Y1122="too few loans to test"),"Too few losses",IF($Y1122="","","No"))))</f>
        <v/>
      </c>
      <c r="AJ1122">
        <f>IF($AA1122="yes","Yes",IF($AA1122="","","No"))</f>
        <v/>
      </c>
    </row>
    <row r="1123">
      <c r="A1123" t="inlineStr">
        <is>
          <t>three-way</t>
        </is>
      </c>
      <c r="B1123" t="inlineStr">
        <is>
          <t>ORIG_BAL x ASSET_CLASS / REV_DEBT</t>
        </is>
      </c>
      <c r="C1123" t="inlineStr">
        <is>
          <t>15,449 - 26,323</t>
        </is>
      </c>
      <c r="D1123" t="inlineStr">
        <is>
          <t>2 / REV_DEBT low half</t>
        </is>
      </c>
      <c r="E1123" t="inlineStr">
        <is>
          <t>contribution_rate</t>
        </is>
      </c>
      <c r="F1123" t="inlineStr">
        <is>
          <t>Contribution before losses per booked dollar</t>
        </is>
      </c>
      <c r="G1123" t="n">
        <v>178</v>
      </c>
      <c r="H1123" t="n">
        <v>3725246.249999998</v>
      </c>
      <c r="I1123" t="b">
        <v>0</v>
      </c>
      <c r="J1123" t="b">
        <v>0</v>
      </c>
      <c r="K1123" t="n">
        <v>-0.04414879338069777</v>
      </c>
      <c r="L1123" t="n">
        <v>0.0003076615415381539</v>
      </c>
      <c r="M1123" t="n">
        <v>-0.05192900862693237</v>
      </c>
      <c r="N1123" t="n">
        <v>0.000222200002222</v>
      </c>
      <c r="O1123" t="n">
        <v>164465.1269834691</v>
      </c>
      <c r="P1123" t="n">
        <v>193448.3446536973</v>
      </c>
      <c r="Q1123">
        <f>'_live'!$C$24</f>
        <v/>
      </c>
      <c r="R1123" t="inlineStr">
        <is>
          <t>shuffled: 0 of 10,000</t>
        </is>
      </c>
      <c r="S1123" t="inlineStr">
        <is>
          <t>shuffled: 0 of 10,000</t>
        </is>
      </c>
      <c r="T1123" t="n">
        <v>0.1702298464117558</v>
      </c>
      <c r="U1123" t="n">
        <v>0.1780100616579904</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0.1260810530310581</v>
      </c>
      <c r="AI1123">
        <f>IF($Y1123="worse","Yes",IF($Y1123="worse, not significant","Not sure",IF(OR($Y1123="too few losses to test",$Y1123="too few loans to test"),"Too few losses",IF($Y1123="","","No"))))</f>
        <v/>
      </c>
      <c r="AJ1123">
        <f>IF($AA1123="yes","Yes",IF($AA1123="","","No"))</f>
        <v/>
      </c>
    </row>
    <row r="1124">
      <c r="A1124" t="inlineStr">
        <is>
          <t>three-way</t>
        </is>
      </c>
      <c r="B1124" t="inlineStr">
        <is>
          <t>ORIG_BAL x ASSET_CLASS / REV_DEBT</t>
        </is>
      </c>
      <c r="C1124" t="inlineStr">
        <is>
          <t>37,951 - 49,151</t>
        </is>
      </c>
      <c r="D1124" t="inlineStr">
        <is>
          <t>2 / REV_DEBT high half</t>
        </is>
      </c>
      <c r="E1124" t="inlineStr">
        <is>
          <t>outcome_loans</t>
        </is>
      </c>
      <c r="F1124" t="inlineStr">
        <is>
          <t>Outcome, share of loans</t>
        </is>
      </c>
      <c r="G1124" t="n">
        <v>210</v>
      </c>
      <c r="H1124" t="n">
        <v>210</v>
      </c>
      <c r="I1124" t="b">
        <v>0</v>
      </c>
      <c r="J1124" t="b">
        <v>0</v>
      </c>
      <c r="K1124" t="n">
        <v>1.047405473817434</v>
      </c>
      <c r="L1124" t="n">
        <v>0.9253161866229574</v>
      </c>
      <c r="M1124" t="n">
        <v>0.9617419617419618</v>
      </c>
      <c r="N1124" t="n">
        <v>0.8752301002678324</v>
      </c>
      <c r="O1124" t="n">
        <v>0.7694184105790214</v>
      </c>
      <c r="P1124" t="n">
        <v>-0.6762589928057565</v>
      </c>
      <c r="Q1124">
        <f>'_live'!$C$20</f>
        <v/>
      </c>
      <c r="R1124" t="inlineStr">
        <is>
          <t>z test</t>
        </is>
      </c>
      <c r="S1124" t="inlineStr">
        <is>
          <t>z test</t>
        </is>
      </c>
      <c r="T1124" t="n">
        <v>0.07728848375914751</v>
      </c>
      <c r="U1124" t="n">
        <v>0.0841726618705036</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0.08095238095238096</v>
      </c>
      <c r="AI1124">
        <f>IF($Y1124="worse","Yes",IF($Y1124="worse, not significant","Not sure",IF(OR($Y1124="too few losses to test",$Y1124="too few loans to test"),"Too few losses",IF($Y1124="","","No"))))</f>
        <v/>
      </c>
      <c r="AJ1124">
        <f>IF($AA1124="yes","Yes",IF($AA1124="","","No"))</f>
        <v/>
      </c>
    </row>
    <row r="1125">
      <c r="A1125" t="inlineStr">
        <is>
          <t>three-way</t>
        </is>
      </c>
      <c r="B1125" t="inlineStr">
        <is>
          <t>ORIG_BAL x ASSET_CLASS / REV_DEBT</t>
        </is>
      </c>
      <c r="C1125" t="inlineStr">
        <is>
          <t>37,951 - 49,151</t>
        </is>
      </c>
      <c r="D1125" t="inlineStr">
        <is>
          <t>2 / REV_DEBT high half</t>
        </is>
      </c>
      <c r="E1125" t="inlineStr">
        <is>
          <t>outcome_booked</t>
        </is>
      </c>
      <c r="F1125" t="inlineStr">
        <is>
          <t>Outcome, share of booked dollars</t>
        </is>
      </c>
      <c r="G1125" t="n">
        <v>210</v>
      </c>
      <c r="H1125" t="n">
        <v>9126271.180000005</v>
      </c>
      <c r="I1125" t="b">
        <v>0</v>
      </c>
      <c r="J1125" t="b">
        <v>0</v>
      </c>
      <c r="K1125" t="n">
        <v>1.097257279156556</v>
      </c>
      <c r="L1125" t="n">
        <v>0.8018470880184708</v>
      </c>
      <c r="M1125" t="n">
        <v>0.9825321974782512</v>
      </c>
      <c r="N1125" t="n">
        <v>0.9536046395360464</v>
      </c>
      <c r="O1125" t="n">
        <v>66190.14126427402</v>
      </c>
      <c r="P1125" t="n">
        <v>-13276.11926738918</v>
      </c>
      <c r="Q1125">
        <f>'_live'!$C$21</f>
        <v/>
      </c>
      <c r="R1125" t="inlineStr">
        <is>
          <t>shuffled: 7,208 of 10,000</t>
        </is>
      </c>
      <c r="S1125" t="inlineStr">
        <is>
          <t>shuffled: 9,536 of 10,000</t>
        </is>
      </c>
      <c r="T1125" t="n">
        <v>0.07457234891586088</v>
      </c>
      <c r="U1125" t="n">
        <v>0.08327976719922414</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0.08182505267173087</v>
      </c>
      <c r="AI1125">
        <f>IF($Y1125="worse","Yes",IF($Y1125="worse, not significant","Not sure",IF(OR($Y1125="too few losses to test",$Y1125="too few loans to test"),"Too few losses",IF($Y1125="","","No"))))</f>
        <v/>
      </c>
      <c r="AJ1125">
        <f>IF($AA1125="yes","Yes",IF($AA1125="","","No"))</f>
        <v/>
      </c>
    </row>
    <row r="1126">
      <c r="A1126" t="inlineStr">
        <is>
          <t>three-way</t>
        </is>
      </c>
      <c r="B1126" t="inlineStr">
        <is>
          <t>ORIG_BAL x ASSET_CLASS / REV_DEBT</t>
        </is>
      </c>
      <c r="C1126" t="inlineStr">
        <is>
          <t>37,951 - 49,151</t>
        </is>
      </c>
      <c r="D1126" t="inlineStr">
        <is>
          <t>2 / REV_DEBT high half</t>
        </is>
      </c>
      <c r="E1126" t="inlineStr">
        <is>
          <t>gco_rate</t>
        </is>
      </c>
      <c r="F1126" t="inlineStr">
        <is>
          <t>GCO per booked dollar</t>
        </is>
      </c>
      <c r="G1126" t="n">
        <v>210</v>
      </c>
      <c r="H1126" t="n">
        <v>9126271.180000005</v>
      </c>
      <c r="I1126" t="b">
        <v>0</v>
      </c>
      <c r="J1126" t="b">
        <v>0</v>
      </c>
      <c r="K1126" t="n">
        <v>1.114116644653413</v>
      </c>
      <c r="L1126" t="n">
        <v>0.8463953604639537</v>
      </c>
      <c r="M1126" t="n">
        <v>0.9852862702086436</v>
      </c>
      <c r="N1126" t="n">
        <v>0.9542045795420458</v>
      </c>
      <c r="O1126" t="n">
        <v>43156.00963930867</v>
      </c>
      <c r="P1126" t="n">
        <v>-6291.921498338575</v>
      </c>
      <c r="Q1126">
        <f>'_live'!$C$22</f>
        <v/>
      </c>
      <c r="R1126" t="inlineStr">
        <is>
          <t>shuffled: 6,870 of 10,000</t>
        </is>
      </c>
      <c r="S1126" t="inlineStr">
        <is>
          <t>shuffled: 9,542 of 10,000</t>
        </is>
      </c>
      <c r="T1126" t="n">
        <v>0.04143801262332105</v>
      </c>
      <c r="U1126" t="n">
        <v>0.04685620918601044</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0.04616677958500021</v>
      </c>
      <c r="AI1126">
        <f>IF($Y1126="worse","Yes",IF($Y1126="worse, not significant","Not sure",IF(OR($Y1126="too few losses to test",$Y1126="too few loans to test"),"Too few losses",IF($Y1126="","","No"))))</f>
        <v/>
      </c>
      <c r="AJ1126">
        <f>IF($AA1126="yes","Yes",IF($AA1126="","","No"))</f>
        <v/>
      </c>
    </row>
    <row r="1127">
      <c r="A1127" t="inlineStr">
        <is>
          <t>three-way</t>
        </is>
      </c>
      <c r="B1127" t="inlineStr">
        <is>
          <t>ORIG_BAL x ASSET_CLASS / REV_DEBT</t>
        </is>
      </c>
      <c r="C1127" t="inlineStr">
        <is>
          <t>37,951 - 49,151</t>
        </is>
      </c>
      <c r="D1127" t="inlineStr">
        <is>
          <t>2 / REV_DEBT high half</t>
        </is>
      </c>
      <c r="E1127" t="inlineStr">
        <is>
          <t>ranr_rate</t>
        </is>
      </c>
      <c r="F1127" t="inlineStr">
        <is>
          <t>Profit after losses: RANR per booked dollar</t>
        </is>
      </c>
      <c r="G1127" t="n">
        <v>210</v>
      </c>
      <c r="H1127" t="n">
        <v>9126271.180000005</v>
      </c>
      <c r="I1127" t="b">
        <v>0</v>
      </c>
      <c r="J1127" t="b">
        <v>0</v>
      </c>
      <c r="K1127" t="n">
        <v>0.04401041799735095</v>
      </c>
      <c r="L1127" t="n">
        <v>0.051994800519948</v>
      </c>
      <c r="M1127" t="n">
        <v>0.05525009363266513</v>
      </c>
      <c r="N1127" t="n">
        <v>0.011998800119988</v>
      </c>
      <c r="O1127" t="n">
        <v>-401651.0093889777</v>
      </c>
      <c r="P1127" t="n">
        <v>-504227.3372120936</v>
      </c>
      <c r="Q1127">
        <f>'_live'!$C$23</f>
        <v/>
      </c>
      <c r="R1127" t="inlineStr">
        <is>
          <t>shuffled: 25 of 10,000</t>
        </is>
      </c>
      <c r="S1127" t="inlineStr">
        <is>
          <t>shuffled: 2 of 10,000</t>
        </is>
      </c>
      <c r="T1127" t="n">
        <v>0.1264336756877985</v>
      </c>
      <c r="U1127" t="n">
        <v>0.1151940000524843</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0.1704440936851495</v>
      </c>
      <c r="AI1127">
        <f>IF($Y1127="worse","Yes",IF($Y1127="worse, not significant","Not sure",IF(OR($Y1127="too few losses to test",$Y1127="too few loans to test"),"Too few losses",IF($Y1127="","","No"))))</f>
        <v/>
      </c>
      <c r="AJ1127">
        <f>IF($AA1127="yes","Yes",IF($AA1127="","","No"))</f>
        <v/>
      </c>
    </row>
    <row r="1128">
      <c r="A1128" t="inlineStr">
        <is>
          <t>three-way</t>
        </is>
      </c>
      <c r="B1128" t="inlineStr">
        <is>
          <t>ORIG_BAL x ASSET_CLASS / REV_DEBT</t>
        </is>
      </c>
      <c r="C1128" t="inlineStr">
        <is>
          <t>37,951 - 49,151</t>
        </is>
      </c>
      <c r="D1128" t="inlineStr">
        <is>
          <t>2 / REV_DEBT high half</t>
        </is>
      </c>
      <c r="E1128" t="inlineStr">
        <is>
          <t>contribution_rate</t>
        </is>
      </c>
      <c r="F1128" t="inlineStr">
        <is>
          <t>Contribution before losses per booked dollar</t>
        </is>
      </c>
      <c r="G1128" t="n">
        <v>210</v>
      </c>
      <c r="H1128" t="n">
        <v>9126271.180000005</v>
      </c>
      <c r="I1128" t="b">
        <v>0</v>
      </c>
      <c r="J1128" t="b">
        <v>0</v>
      </c>
      <c r="K1128" t="n">
        <v>0.04874239718742623</v>
      </c>
      <c r="L1128" t="n">
        <v>0.0003076615415381539</v>
      </c>
      <c r="M1128" t="n">
        <v>0.05458124114363305</v>
      </c>
      <c r="N1128" t="n">
        <v>0.000222200002222</v>
      </c>
      <c r="O1128" t="n">
        <v>-444836.3346957215</v>
      </c>
      <c r="P1128" t="n">
        <v>-498123.208017769</v>
      </c>
      <c r="Q1128">
        <f>'_live'!$C$24</f>
        <v/>
      </c>
      <c r="R1128" t="inlineStr">
        <is>
          <t>shuffled: 0 of 10,000</t>
        </is>
      </c>
      <c r="S1128" t="inlineStr">
        <is>
          <t>shuffled: 0 of 10,000</t>
        </is>
      </c>
      <c r="T1128" t="n">
        <v>0.1678684760827235</v>
      </c>
      <c r="U1128" t="n">
        <v>0.1620296321265167</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0.2166108732701498</v>
      </c>
      <c r="AI1128">
        <f>IF($Y1128="worse","Yes",IF($Y1128="worse, not significant","Not sure",IF(OR($Y1128="too few losses to test",$Y1128="too few loans to test"),"Too few losses",IF($Y1128="","","No"))))</f>
        <v/>
      </c>
      <c r="AJ1128">
        <f>IF($AA1128="yes","Yes",IF($AA1128="","","No"))</f>
        <v/>
      </c>
    </row>
    <row r="1129">
      <c r="A1129" t="inlineStr">
        <is>
          <t>three-way</t>
        </is>
      </c>
      <c r="B1129" t="inlineStr">
        <is>
          <t>ORIG_BAL x ASSET_CLASS / REV_DEBT</t>
        </is>
      </c>
      <c r="C1129" t="inlineStr">
        <is>
          <t>37,951 - 49,151</t>
        </is>
      </c>
      <c r="D1129" t="inlineStr">
        <is>
          <t>4 / REV_DEBT low half</t>
        </is>
      </c>
      <c r="E1129" t="inlineStr">
        <is>
          <t>outcome_loans</t>
        </is>
      </c>
      <c r="F1129" t="inlineStr">
        <is>
          <t>Outcome, share of loans</t>
        </is>
      </c>
      <c r="G1129" t="n">
        <v>207</v>
      </c>
      <c r="H1129" t="n">
        <v>207</v>
      </c>
      <c r="I1129" t="b">
        <v>0</v>
      </c>
      <c r="J1129" t="b">
        <v>0</v>
      </c>
      <c r="K1129" t="n">
        <v>0.8710663951770671</v>
      </c>
      <c r="L1129" t="n">
        <v>0.8896135182978477</v>
      </c>
      <c r="M1129" t="n">
        <v>0.7851046698872785</v>
      </c>
      <c r="N1129" t="n">
        <v>0.521853420987292</v>
      </c>
      <c r="O1129" t="n">
        <v>-2.072253593429156</v>
      </c>
      <c r="P1129" t="n">
        <v>-3.832017229002155</v>
      </c>
      <c r="Q1129">
        <f>'_live'!$C$20</f>
        <v/>
      </c>
      <c r="R1129" t="inlineStr">
        <is>
          <t>z test</t>
        </is>
      </c>
      <c r="S1129" t="inlineStr">
        <is>
          <t>z test</t>
        </is>
      </c>
      <c r="T1129" t="n">
        <v>0.07764373716632443</v>
      </c>
      <c r="U1129" t="n">
        <v>0.08614501076812635</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0.06763285024154589</v>
      </c>
      <c r="AI1129">
        <f>IF($Y1129="worse","Yes",IF($Y1129="worse, not significant","Not sure",IF(OR($Y1129="too few losses to test",$Y1129="too few loans to test"),"Too few losses",IF($Y1129="","","No"))))</f>
        <v/>
      </c>
      <c r="AJ1129">
        <f>IF($AA1129="yes","Yes",IF($AA1129="","","No"))</f>
        <v/>
      </c>
    </row>
    <row r="1130">
      <c r="A1130" t="inlineStr">
        <is>
          <t>three-way</t>
        </is>
      </c>
      <c r="B1130" t="inlineStr">
        <is>
          <t>ORIG_BAL x ASSET_CLASS / REV_DEBT</t>
        </is>
      </c>
      <c r="C1130" t="inlineStr">
        <is>
          <t>37,951 - 49,151</t>
        </is>
      </c>
      <c r="D1130" t="inlineStr">
        <is>
          <t>4 / REV_DEBT low half</t>
        </is>
      </c>
      <c r="E1130" t="inlineStr">
        <is>
          <t>outcome_booked</t>
        </is>
      </c>
      <c r="F1130" t="inlineStr">
        <is>
          <t>Outcome, share of booked dollars</t>
        </is>
      </c>
      <c r="G1130" t="n">
        <v>207</v>
      </c>
      <c r="H1130" t="n">
        <v>9036881.250000002</v>
      </c>
      <c r="I1130" t="b">
        <v>0</v>
      </c>
      <c r="J1130" t="b">
        <v>0</v>
      </c>
      <c r="K1130" t="n">
        <v>0.8676504674206867</v>
      </c>
      <c r="L1130" t="n">
        <v>0.8018470880184708</v>
      </c>
      <c r="M1130" t="n">
        <v>0.7606704975439602</v>
      </c>
      <c r="N1130" t="n">
        <v>0.4579306775204832</v>
      </c>
      <c r="O1130" t="n">
        <v>-89914.11767482141</v>
      </c>
      <c r="P1130" t="n">
        <v>-185459.8676663226</v>
      </c>
      <c r="Q1130">
        <f>'_live'!$C$21</f>
        <v/>
      </c>
      <c r="R1130" t="inlineStr">
        <is>
          <t>shuffled: 6,332 of 10,000</t>
        </is>
      </c>
      <c r="S1130" t="inlineStr">
        <is>
          <t>shuffled: 3,160 of 10,000</t>
        </is>
      </c>
      <c r="T1130" t="n">
        <v>0.0751773304174846</v>
      </c>
      <c r="U1130" t="n">
        <v>0.08575019813017046</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0.06522764587616993</v>
      </c>
      <c r="AI1130">
        <f>IF($Y1130="worse","Yes",IF($Y1130="worse, not significant","Not sure",IF(OR($Y1130="too few losses to test",$Y1130="too few loans to test"),"Too few losses",IF($Y1130="","","No"))))</f>
        <v/>
      </c>
      <c r="AJ1130">
        <f>IF($AA1130="yes","Yes",IF($AA1130="","","No"))</f>
        <v/>
      </c>
    </row>
    <row r="1131">
      <c r="A1131" t="inlineStr">
        <is>
          <t>three-way</t>
        </is>
      </c>
      <c r="B1131" t="inlineStr">
        <is>
          <t>ORIG_BAL x ASSET_CLASS / REV_DEBT</t>
        </is>
      </c>
      <c r="C1131" t="inlineStr">
        <is>
          <t>37,951 - 49,151</t>
        </is>
      </c>
      <c r="D1131" t="inlineStr">
        <is>
          <t>4 / REV_DEBT low half</t>
        </is>
      </c>
      <c r="E1131" t="inlineStr">
        <is>
          <t>gco_rate</t>
        </is>
      </c>
      <c r="F1131" t="inlineStr">
        <is>
          <t>GCO per booked dollar</t>
        </is>
      </c>
      <c r="G1131" t="n">
        <v>207</v>
      </c>
      <c r="H1131" t="n">
        <v>9036881.250000002</v>
      </c>
      <c r="I1131" t="b">
        <v>0</v>
      </c>
      <c r="J1131" t="b">
        <v>0</v>
      </c>
      <c r="K1131" t="n">
        <v>0.8932510325662988</v>
      </c>
      <c r="L1131" t="n">
        <v>0.8463953604639537</v>
      </c>
      <c r="M1131" t="n">
        <v>0.7743077615077939</v>
      </c>
      <c r="N1131" t="n">
        <v>0.5540622408347401</v>
      </c>
      <c r="O1131" t="n">
        <v>-40286.28953197255</v>
      </c>
      <c r="P1131" t="n">
        <v>-98258.49890771718</v>
      </c>
      <c r="Q1131">
        <f>'_live'!$C$22</f>
        <v/>
      </c>
      <c r="R1131" t="inlineStr">
        <is>
          <t>shuffled: 7,053 of 10,000</t>
        </is>
      </c>
      <c r="S1131" t="inlineStr">
        <is>
          <t>shuffled: 3,641 of 10,000</t>
        </is>
      </c>
      <c r="T1131" t="n">
        <v>0.04176139633703525</v>
      </c>
      <c r="U1131" t="n">
        <v>0.04817646451951741</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0.03730341039946718</v>
      </c>
      <c r="AI1131">
        <f>IF($Y1131="worse","Yes",IF($Y1131="worse, not significant","Not sure",IF(OR($Y1131="too few losses to test",$Y1131="too few loans to test"),"Too few losses",IF($Y1131="","","No"))))</f>
        <v/>
      </c>
      <c r="AJ1131">
        <f>IF($AA1131="yes","Yes",IF($AA1131="","","No"))</f>
        <v/>
      </c>
    </row>
    <row r="1132">
      <c r="A1132" t="inlineStr">
        <is>
          <t>three-way</t>
        </is>
      </c>
      <c r="B1132" t="inlineStr">
        <is>
          <t>ORIG_BAL x ASSET_CLASS / REV_DEBT</t>
        </is>
      </c>
      <c r="C1132" t="inlineStr">
        <is>
          <t>37,951 - 49,151</t>
        </is>
      </c>
      <c r="D1132" t="inlineStr">
        <is>
          <t>4 / REV_DEBT low half</t>
        </is>
      </c>
      <c r="E1132" t="inlineStr">
        <is>
          <t>ranr_rate</t>
        </is>
      </c>
      <c r="F1132" t="inlineStr">
        <is>
          <t>Profit after losses: RANR per booked dollar</t>
        </is>
      </c>
      <c r="G1132" t="n">
        <v>207</v>
      </c>
      <c r="H1132" t="n">
        <v>9036881.250000002</v>
      </c>
      <c r="I1132" t="b">
        <v>0</v>
      </c>
      <c r="J1132" t="b">
        <v>0</v>
      </c>
      <c r="K1132" t="n">
        <v>-0.02361033128043144</v>
      </c>
      <c r="L1132" t="n">
        <v>0.2610405626104056</v>
      </c>
      <c r="M1132" t="n">
        <v>-0.01978760346681518</v>
      </c>
      <c r="N1132" t="n">
        <v>0.3868502038685021</v>
      </c>
      <c r="O1132" t="n">
        <v>213363.7600544193</v>
      </c>
      <c r="P1132" t="n">
        <v>178818.2227516971</v>
      </c>
      <c r="Q1132">
        <f>'_live'!$C$23</f>
        <v/>
      </c>
      <c r="R1132" t="inlineStr">
        <is>
          <t>shuffled: 976 of 10,000</t>
        </is>
      </c>
      <c r="S1132" t="inlineStr">
        <is>
          <t>shuffled: 1,740 of 10,000</t>
        </is>
      </c>
      <c r="T1132" t="n">
        <v>0.1288168216279724</v>
      </c>
      <c r="U1132" t="n">
        <v>0.1249940938143562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0.105206490347541</v>
      </c>
      <c r="AI1132">
        <f>IF($Y1132="worse","Yes",IF($Y1132="worse, not significant","Not sure",IF(OR($Y1132="too few losses to test",$Y1132="too few loans to test"),"Too few losses",IF($Y1132="","","No"))))</f>
        <v/>
      </c>
      <c r="AJ1132">
        <f>IF($AA1132="yes","Yes",IF($AA1132="","","No"))</f>
        <v/>
      </c>
    </row>
    <row r="1133">
      <c r="A1133" t="inlineStr">
        <is>
          <t>three-way</t>
        </is>
      </c>
      <c r="B1133" t="inlineStr">
        <is>
          <t>ORIG_BAL x ASSET_CLASS / REV_DEBT</t>
        </is>
      </c>
      <c r="C1133" t="inlineStr">
        <is>
          <t>37,951 - 49,151</t>
        </is>
      </c>
      <c r="D1133" t="inlineStr">
        <is>
          <t>4 / REV_DEBT low half</t>
        </is>
      </c>
      <c r="E1133" t="inlineStr">
        <is>
          <t>contribution_rate</t>
        </is>
      </c>
      <c r="F1133" t="inlineStr">
        <is>
          <t>Contribution before losses per booked dollar</t>
        </is>
      </c>
      <c r="G1133" t="n">
        <v>207</v>
      </c>
      <c r="H1133" t="n">
        <v>9036881.250000002</v>
      </c>
      <c r="I1133" t="b">
        <v>0</v>
      </c>
      <c r="J1133" t="b">
        <v>0</v>
      </c>
      <c r="K1133" t="n">
        <v>-0.02806548596961364</v>
      </c>
      <c r="L1133" t="n">
        <v>0.004570971474281143</v>
      </c>
      <c r="M1133" t="n">
        <v>-0.03064652623834174</v>
      </c>
      <c r="N1133" t="n">
        <v>0.001290193561289032</v>
      </c>
      <c r="O1133" t="n">
        <v>253624.4639309398</v>
      </c>
      <c r="P1133" t="n">
        <v>276949.0183409036</v>
      </c>
      <c r="Q1133">
        <f>'_live'!$C$24</f>
        <v/>
      </c>
      <c r="R1133" t="inlineStr">
        <is>
          <t>shuffled: 31 of 10,000</t>
        </is>
      </c>
      <c r="S1133" t="inlineStr">
        <is>
          <t>shuffled: 9 of 10,000</t>
        </is>
      </c>
      <c r="T1133" t="n">
        <v>0.1705753867166219</v>
      </c>
      <c r="U1133" t="n">
        <v>0.17315642698535</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0.1425099007470082</v>
      </c>
      <c r="AI1133">
        <f>IF($Y1133="worse","Yes",IF($Y1133="worse, not significant","Not sure",IF(OR($Y1133="too few losses to test",$Y1133="too few loans to test"),"Too few losses",IF($Y1133="","","No"))))</f>
        <v/>
      </c>
      <c r="AJ1133">
        <f>IF($AA1133="yes","Yes",IF($AA1133="","","No"))</f>
        <v/>
      </c>
    </row>
    <row r="1134">
      <c r="A1134" t="inlineStr">
        <is>
          <t>three-way</t>
        </is>
      </c>
      <c r="B1134" t="inlineStr">
        <is>
          <t>ORIG_BAL x ASSET_CLASS / REV_DEBT</t>
        </is>
      </c>
      <c r="C1134" t="inlineStr">
        <is>
          <t>5,005 - 15,448</t>
        </is>
      </c>
      <c r="D1134" t="inlineStr">
        <is>
          <t>4 / REV_DEBT high half</t>
        </is>
      </c>
      <c r="E1134" t="inlineStr">
        <is>
          <t>outcome_loans</t>
        </is>
      </c>
      <c r="F1134" t="inlineStr">
        <is>
          <t>Outcome, share of loans</t>
        </is>
      </c>
      <c r="G1134" t="n">
        <v>212</v>
      </c>
      <c r="H1134" t="n">
        <v>212</v>
      </c>
      <c r="I1134" t="b">
        <v>0</v>
      </c>
      <c r="J1134" t="b">
        <v>0</v>
      </c>
      <c r="K1134" t="n">
        <v>1.481591882035833</v>
      </c>
      <c r="L1134" t="n">
        <v>0.1276769934893162</v>
      </c>
      <c r="M1134" t="n">
        <v>1.587192681532304</v>
      </c>
      <c r="N1134" t="n">
        <v>0.09899752147771196</v>
      </c>
      <c r="O1134" t="n">
        <v>7.801207140105305</v>
      </c>
      <c r="P1134" t="n">
        <v>8.878962536023055</v>
      </c>
      <c r="Q1134">
        <f>'_live'!$C$20</f>
        <v/>
      </c>
      <c r="R1134" t="inlineStr">
        <is>
          <t>z test</t>
        </is>
      </c>
      <c r="S1134" t="inlineStr">
        <is>
          <t>z test</t>
        </is>
      </c>
      <c r="T1134" t="n">
        <v>0.07640940028252215</v>
      </c>
      <c r="U1134" t="n">
        <v>0.07132564841498559</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0.1132075471698113</v>
      </c>
      <c r="AI1134">
        <f>IF($Y1134="worse","Yes",IF($Y1134="worse, not significant","Not sure",IF(OR($Y1134="too few losses to test",$Y1134="too few loans to test"),"Too few losses",IF($Y1134="","","No"))))</f>
        <v/>
      </c>
      <c r="AJ1134">
        <f>IF($AA1134="yes","Yes",IF($AA1134="","","No"))</f>
        <v/>
      </c>
    </row>
    <row r="1135">
      <c r="A1135" t="inlineStr">
        <is>
          <t>three-way</t>
        </is>
      </c>
      <c r="B1135" t="inlineStr">
        <is>
          <t>ORIG_BAL x ASSET_CLASS / REV_DEBT</t>
        </is>
      </c>
      <c r="C1135" t="inlineStr">
        <is>
          <t>5,005 - 15,448</t>
        </is>
      </c>
      <c r="D1135" t="inlineStr">
        <is>
          <t>4 / REV_DEBT high half</t>
        </is>
      </c>
      <c r="E1135" t="inlineStr">
        <is>
          <t>outcome_booked</t>
        </is>
      </c>
      <c r="F1135" t="inlineStr">
        <is>
          <t>Outcome, share of booked dollars</t>
        </is>
      </c>
      <c r="G1135" t="n">
        <v>212</v>
      </c>
      <c r="H1135" t="n">
        <v>2106304.450000001</v>
      </c>
      <c r="I1135" t="b">
        <v>0</v>
      </c>
      <c r="J1135" t="b">
        <v>0</v>
      </c>
      <c r="K1135" t="n">
        <v>1.424571682566953</v>
      </c>
      <c r="L1135" t="n">
        <v>0.3055694430556944</v>
      </c>
      <c r="M1135" t="n">
        <v>1.496132915062591</v>
      </c>
      <c r="N1135" t="n">
        <v>0.2146452021464521</v>
      </c>
      <c r="O1135" t="n">
        <v>66686.63247713746</v>
      </c>
      <c r="P1135" t="n">
        <v>74199.32122719567</v>
      </c>
      <c r="Q1135">
        <f>'_live'!$C$21</f>
        <v/>
      </c>
      <c r="R1135" t="inlineStr">
        <is>
          <t>shuffled: 1,145 of 10,000</t>
        </is>
      </c>
      <c r="S1135" t="inlineStr">
        <is>
          <t>shuffled: 800 of 10,000</t>
        </is>
      </c>
      <c r="T1135" t="n">
        <v>0.07457042476592711</v>
      </c>
      <c r="U1135" t="n">
        <v>0.07100366177966545</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0.1062309154785292</v>
      </c>
      <c r="AI1135">
        <f>IF($Y1135="worse","Yes",IF($Y1135="worse, not significant","Not sure",IF(OR($Y1135="too few losses to test",$Y1135="too few loans to test"),"Too few losses",IF($Y1135="","","No"))))</f>
        <v/>
      </c>
      <c r="AJ1135">
        <f>IF($AA1135="yes","Yes",IF($AA1135="","","No"))</f>
        <v/>
      </c>
    </row>
    <row r="1136">
      <c r="A1136" t="inlineStr">
        <is>
          <t>three-way</t>
        </is>
      </c>
      <c r="B1136" t="inlineStr">
        <is>
          <t>ORIG_BAL x ASSET_CLASS / REV_DEBT</t>
        </is>
      </c>
      <c r="C1136" t="inlineStr">
        <is>
          <t>5,005 - 15,448</t>
        </is>
      </c>
      <c r="D1136" t="inlineStr">
        <is>
          <t>4 / REV_DEBT high half</t>
        </is>
      </c>
      <c r="E1136" t="inlineStr">
        <is>
          <t>gco_rate</t>
        </is>
      </c>
      <c r="F1136" t="inlineStr">
        <is>
          <t>GCO per booked dollar</t>
        </is>
      </c>
      <c r="G1136" t="n">
        <v>212</v>
      </c>
      <c r="H1136" t="n">
        <v>2106304.450000001</v>
      </c>
      <c r="I1136" t="b">
        <v>0</v>
      </c>
      <c r="J1136" t="b">
        <v>0</v>
      </c>
      <c r="K1136" t="n">
        <v>1.351565717542291</v>
      </c>
      <c r="L1136" t="n">
        <v>0.5586108055861081</v>
      </c>
      <c r="M1136" t="n">
        <v>1.430041929927986</v>
      </c>
      <c r="N1136" t="n">
        <v>0.3172046431720464</v>
      </c>
      <c r="O1136" t="n">
        <v>30720.71958447943</v>
      </c>
      <c r="P1136" t="n">
        <v>35516.00131432617</v>
      </c>
      <c r="Q1136">
        <f>'_live'!$C$22</f>
        <v/>
      </c>
      <c r="R1136" t="inlineStr">
        <is>
          <t>shuffled: 2,094 of 10,000</t>
        </is>
      </c>
      <c r="S1136" t="inlineStr">
        <is>
          <t>shuffled: 1,432 of 10,000</t>
        </is>
      </c>
      <c r="T1136" t="n">
        <v>0.04148620604942487</v>
      </c>
      <c r="U1136" t="n">
        <v>0.03920957328161832</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0.05607133384729826</v>
      </c>
      <c r="AI1136">
        <f>IF($Y1136="worse","Yes",IF($Y1136="worse, not significant","Not sure",IF(OR($Y1136="too few losses to test",$Y1136="too few loans to test"),"Too few losses",IF($Y1136="","","No"))))</f>
        <v/>
      </c>
      <c r="AJ1136">
        <f>IF($AA1136="yes","Yes",IF($AA1136="","","No"))</f>
        <v/>
      </c>
    </row>
    <row r="1137">
      <c r="A1137" t="inlineStr">
        <is>
          <t>three-way</t>
        </is>
      </c>
      <c r="B1137" t="inlineStr">
        <is>
          <t>ORIG_BAL x ASSET_CLASS / REV_DEBT</t>
        </is>
      </c>
      <c r="C1137" t="inlineStr">
        <is>
          <t>5,005 - 15,448</t>
        </is>
      </c>
      <c r="D1137" t="inlineStr">
        <is>
          <t>4 / REV_DEBT high half</t>
        </is>
      </c>
      <c r="E1137" t="inlineStr">
        <is>
          <t>ranr_rate</t>
        </is>
      </c>
      <c r="F1137" t="inlineStr">
        <is>
          <t>Profit after losses: RANR per booked dollar</t>
        </is>
      </c>
      <c r="G1137" t="n">
        <v>212</v>
      </c>
      <c r="H1137" t="n">
        <v>2106304.450000001</v>
      </c>
      <c r="I1137" t="b">
        <v>0</v>
      </c>
      <c r="J1137" t="b">
        <v>0</v>
      </c>
      <c r="K1137" t="n">
        <v>0.03409813253443741</v>
      </c>
      <c r="L1137" t="n">
        <v>0.191980801919808</v>
      </c>
      <c r="M1137" t="n">
        <v>0.01738586636778905</v>
      </c>
      <c r="N1137" t="n">
        <v>0.4281571842815718</v>
      </c>
      <c r="O1137" t="n">
        <v>-71821.04829397536</v>
      </c>
      <c r="P1137" t="n">
        <v>-36619.92769757943</v>
      </c>
      <c r="Q1137">
        <f>'_live'!$C$23</f>
        <v/>
      </c>
      <c r="R1137" t="inlineStr">
        <is>
          <t>shuffled: 191 of 10,000</t>
        </is>
      </c>
      <c r="S1137" t="inlineStr">
        <is>
          <t>shuffled: 2,140 of 10,000</t>
        </is>
      </c>
      <c r="T1137" t="n">
        <v>0.1277117473240987</v>
      </c>
      <c r="U1137" t="n">
        <v>0.144424013490747</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0.1618098798585361</v>
      </c>
      <c r="AI1137">
        <f>IF($Y1137="worse","Yes",IF($Y1137="worse, not significant","Not sure",IF(OR($Y1137="too few losses to test",$Y1137="too few loans to test"),"Too few losses",IF($Y1137="","","No"))))</f>
        <v/>
      </c>
      <c r="AJ1137">
        <f>IF($AA1137="yes","Yes",IF($AA1137="","","No"))</f>
        <v/>
      </c>
    </row>
    <row r="1138">
      <c r="A1138" t="inlineStr">
        <is>
          <t>three-way</t>
        </is>
      </c>
      <c r="B1138" t="inlineStr">
        <is>
          <t>ORIG_BAL x ASSET_CLASS / REV_DEBT</t>
        </is>
      </c>
      <c r="C1138" t="inlineStr">
        <is>
          <t>5,005 - 15,448</t>
        </is>
      </c>
      <c r="D1138" t="inlineStr">
        <is>
          <t>4 / REV_DEBT high half</t>
        </is>
      </c>
      <c r="E1138" t="inlineStr">
        <is>
          <t>contribution_rate</t>
        </is>
      </c>
      <c r="F1138" t="inlineStr">
        <is>
          <t>Contribution before losses per booked dollar</t>
        </is>
      </c>
      <c r="G1138" t="n">
        <v>212</v>
      </c>
      <c r="H1138" t="n">
        <v>2106304.450000001</v>
      </c>
      <c r="I1138" t="b">
        <v>0</v>
      </c>
      <c r="J1138" t="b">
        <v>0</v>
      </c>
      <c r="K1138" t="n">
        <v>0.0486861862658593</v>
      </c>
      <c r="L1138" t="n">
        <v>0.0003076615415381539</v>
      </c>
      <c r="M1138" t="n">
        <v>0.03424762693346903</v>
      </c>
      <c r="N1138" t="n">
        <v>0.0003809142895234286</v>
      </c>
      <c r="O1138" t="n">
        <v>-102547.9307853084</v>
      </c>
      <c r="P1138" t="n">
        <v>-72135.92901190574</v>
      </c>
      <c r="Q1138">
        <f>'_live'!$C$24</f>
        <v/>
      </c>
      <c r="R1138" t="inlineStr">
        <is>
          <t>shuffled: 0 of 10,000</t>
        </is>
      </c>
      <c r="S1138" t="inlineStr">
        <is>
          <t>shuffled: 1 of 10,000</t>
        </is>
      </c>
      <c r="T1138" t="n">
        <v>0.1691950274399751</v>
      </c>
      <c r="U1138" t="n">
        <v>0.1836335867723653</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0.2178812137058344</v>
      </c>
      <c r="AI1138">
        <f>IF($Y1138="worse","Yes",IF($Y1138="worse, not significant","Not sure",IF(OR($Y1138="too few losses to test",$Y1138="too few loans to test"),"Too few losses",IF($Y1138="","","No"))))</f>
        <v/>
      </c>
      <c r="AJ1138">
        <f>IF($AA1138="yes","Yes",IF($AA1138="","","No"))</f>
        <v/>
      </c>
    </row>
    <row r="1139">
      <c r="A1139" t="inlineStr">
        <is>
          <t>three-way</t>
        </is>
      </c>
      <c r="B1139" t="inlineStr">
        <is>
          <t>ORIG_BAL x ASSET_CLASS / REV_DEBT</t>
        </is>
      </c>
      <c r="C1139" t="inlineStr">
        <is>
          <t>49,152 - 59,984</t>
        </is>
      </c>
      <c r="D1139" t="inlineStr">
        <is>
          <t>2 / REV_DEBT high half</t>
        </is>
      </c>
      <c r="E1139" t="inlineStr">
        <is>
          <t>outcome_loans</t>
        </is>
      </c>
      <c r="F1139" t="inlineStr">
        <is>
          <t>Outcome, share of loans</t>
        </is>
      </c>
      <c r="G1139" t="n">
        <v>199</v>
      </c>
      <c r="H1139" t="n">
        <v>199</v>
      </c>
      <c r="I1139" t="b">
        <v>0</v>
      </c>
      <c r="J1139" t="b">
        <v>0</v>
      </c>
      <c r="K1139" t="n">
        <v>1.106863219753251</v>
      </c>
      <c r="L1139" t="n">
        <v>0.8896135182978477</v>
      </c>
      <c r="M1139" t="n">
        <v>1.391667640528222</v>
      </c>
      <c r="N1139" t="n">
        <v>0.3811378412389527</v>
      </c>
      <c r="O1139" t="n">
        <v>1.641282051282051</v>
      </c>
      <c r="P1139" t="n">
        <v>4.784439685938615</v>
      </c>
      <c r="Q1139">
        <f>'_live'!$C$20</f>
        <v/>
      </c>
      <c r="R1139" t="inlineStr">
        <is>
          <t>z test</t>
        </is>
      </c>
      <c r="S1139" t="inlineStr">
        <is>
          <t>z test</t>
        </is>
      </c>
      <c r="T1139" t="n">
        <v>0.07717948717948718</v>
      </c>
      <c r="U1139" t="n">
        <v>0.06138472519628837</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0.08542713567839195</v>
      </c>
      <c r="AI1139">
        <f>IF($Y1139="worse","Yes",IF($Y1139="worse, not significant","Not sure",IF(OR($Y1139="too few losses to test",$Y1139="too few loans to test"),"Too few losses",IF($Y1139="","","No"))))</f>
        <v/>
      </c>
      <c r="AJ1139">
        <f>IF($AA1139="yes","Yes",IF($AA1139="","","No"))</f>
        <v/>
      </c>
    </row>
    <row r="1140">
      <c r="A1140" t="inlineStr">
        <is>
          <t>three-way</t>
        </is>
      </c>
      <c r="B1140" t="inlineStr">
        <is>
          <t>ORIG_BAL x ASSET_CLASS / REV_DEBT</t>
        </is>
      </c>
      <c r="C1140" t="inlineStr">
        <is>
          <t>49,152 - 59,984</t>
        </is>
      </c>
      <c r="D1140" t="inlineStr">
        <is>
          <t>2 / REV_DEBT high half</t>
        </is>
      </c>
      <c r="E1140" t="inlineStr">
        <is>
          <t>outcome_booked</t>
        </is>
      </c>
      <c r="F1140" t="inlineStr">
        <is>
          <t>Outcome, share of booked dollars</t>
        </is>
      </c>
      <c r="G1140" t="n">
        <v>199</v>
      </c>
      <c r="H1140" t="n">
        <v>10838135.96</v>
      </c>
      <c r="I1140" t="b">
        <v>0</v>
      </c>
      <c r="J1140" t="b">
        <v>0</v>
      </c>
      <c r="K1140" t="n">
        <v>1.153984145353809</v>
      </c>
      <c r="L1140" t="n">
        <v>0.8018470880184708</v>
      </c>
      <c r="M1140" t="n">
        <v>1.389340533588812</v>
      </c>
      <c r="N1140" t="n">
        <v>0.4168198564758909</v>
      </c>
      <c r="O1140" t="n">
        <v>124079.4576651902</v>
      </c>
      <c r="P1140" t="n">
        <v>260582.1332628545</v>
      </c>
      <c r="Q1140">
        <f>'_live'!$C$21</f>
        <v/>
      </c>
      <c r="R1140" t="inlineStr">
        <is>
          <t>shuffled: 5,917 of 10,000</t>
        </is>
      </c>
      <c r="S1140" t="inlineStr">
        <is>
          <t>shuffled: 1,940 of 10,000</t>
        </is>
      </c>
      <c r="T1140" t="n">
        <v>0.0743479990755541</v>
      </c>
      <c r="U1140" t="n">
        <v>0.06175333555578918</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0.08579641217196908</v>
      </c>
      <c r="AI1140">
        <f>IF($Y1140="worse","Yes",IF($Y1140="worse, not significant","Not sure",IF(OR($Y1140="too few losses to test",$Y1140="too few loans to test"),"Too few losses",IF($Y1140="","","No"))))</f>
        <v/>
      </c>
      <c r="AJ1140">
        <f>IF($AA1140="yes","Yes",IF($AA1140="","","No"))</f>
        <v/>
      </c>
    </row>
    <row r="1141">
      <c r="A1141" t="inlineStr">
        <is>
          <t>three-way</t>
        </is>
      </c>
      <c r="B1141" t="inlineStr">
        <is>
          <t>ORIG_BAL x ASSET_CLASS / REV_DEBT</t>
        </is>
      </c>
      <c r="C1141" t="inlineStr">
        <is>
          <t>49,152 - 59,984</t>
        </is>
      </c>
      <c r="D1141" t="inlineStr">
        <is>
          <t>2 / REV_DEBT high half</t>
        </is>
      </c>
      <c r="E1141" t="inlineStr">
        <is>
          <t>gco_rate</t>
        </is>
      </c>
      <c r="F1141" t="inlineStr">
        <is>
          <t>GCO per booked dollar</t>
        </is>
      </c>
      <c r="G1141" t="n">
        <v>199</v>
      </c>
      <c r="H1141" t="n">
        <v>10838135.96</v>
      </c>
      <c r="I1141" t="b">
        <v>0</v>
      </c>
      <c r="J1141" t="b">
        <v>0</v>
      </c>
      <c r="K1141" t="n">
        <v>1.121149609313446</v>
      </c>
      <c r="L1141" t="n">
        <v>0.8463953604639537</v>
      </c>
      <c r="M1141" t="n">
        <v>1.364372182448683</v>
      </c>
      <c r="N1141" t="n">
        <v>0.4165297755938692</v>
      </c>
      <c r="O1141" t="n">
        <v>54352.62331818452</v>
      </c>
      <c r="P1141" t="n">
        <v>134330.4345663098</v>
      </c>
      <c r="Q1141">
        <f>'_live'!$C$22</f>
        <v/>
      </c>
      <c r="R1141" t="inlineStr">
        <is>
          <t>shuffled: 6,758 of 10,000</t>
        </is>
      </c>
      <c r="S1141" t="inlineStr">
        <is>
          <t>shuffled: 2,429 of 10,000</t>
        </is>
      </c>
      <c r="T1141" t="n">
        <v>0.04139461973328257</v>
      </c>
      <c r="U1141" t="n">
        <v>0.0340153239260241</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0.04640956174164841</v>
      </c>
      <c r="AI1141">
        <f>IF($Y1141="worse","Yes",IF($Y1141="worse, not significant","Not sure",IF(OR($Y1141="too few losses to test",$Y1141="too few loans to test"),"Too few losses",IF($Y1141="","","No"))))</f>
        <v/>
      </c>
      <c r="AJ1141">
        <f>IF($AA1141="yes","Yes",IF($AA1141="","","No"))</f>
        <v/>
      </c>
    </row>
    <row r="1142">
      <c r="A1142" t="inlineStr">
        <is>
          <t>three-way</t>
        </is>
      </c>
      <c r="B1142" t="inlineStr">
        <is>
          <t>ORIG_BAL x ASSET_CLASS / REV_DEBT</t>
        </is>
      </c>
      <c r="C1142" t="inlineStr">
        <is>
          <t>49,152 - 59,984</t>
        </is>
      </c>
      <c r="D1142" t="inlineStr">
        <is>
          <t>2 / REV_DEBT high half</t>
        </is>
      </c>
      <c r="E1142" t="inlineStr">
        <is>
          <t>ranr_rate</t>
        </is>
      </c>
      <c r="F1142" t="inlineStr">
        <is>
          <t>Profit after losses: RANR per booked dollar</t>
        </is>
      </c>
      <c r="G1142" t="n">
        <v>199</v>
      </c>
      <c r="H1142" t="n">
        <v>10838135.96</v>
      </c>
      <c r="I1142" t="b">
        <v>0</v>
      </c>
      <c r="J1142" t="b">
        <v>0</v>
      </c>
      <c r="K1142" t="n">
        <v>0.0238479320505452</v>
      </c>
      <c r="L1142" t="n">
        <v>0.268973102689731</v>
      </c>
      <c r="M1142" t="n">
        <v>0.0233036509280829</v>
      </c>
      <c r="N1142" t="n">
        <v>0.277972202779722</v>
      </c>
      <c r="O1142" t="n">
        <v>-258467.1299286503</v>
      </c>
      <c r="P1142" t="n">
        <v>-252568.1371229426</v>
      </c>
      <c r="Q1142">
        <f>'_live'!$C$23</f>
        <v/>
      </c>
      <c r="R1142" t="inlineStr">
        <is>
          <t>shuffled: 1,075 of 10,000</t>
        </is>
      </c>
      <c r="S1142" t="inlineStr">
        <is>
          <t>shuffled: 694 of 10,000</t>
        </is>
      </c>
      <c r="T1142" t="n">
        <v>0.1269885047715668</v>
      </c>
      <c r="U1142" t="n">
        <v>0.1275327858940291</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0.150836436822112</v>
      </c>
      <c r="AI1142">
        <f>IF($Y1142="worse","Yes",IF($Y1142="worse, not significant","Not sure",IF(OR($Y1142="too few losses to test",$Y1142="too few loans to test"),"Too few losses",IF($Y1142="","","No"))))</f>
        <v/>
      </c>
      <c r="AJ1142">
        <f>IF($AA1142="yes","Yes",IF($AA1142="","","No"))</f>
        <v/>
      </c>
    </row>
    <row r="1143">
      <c r="A1143" t="inlineStr">
        <is>
          <t>three-way</t>
        </is>
      </c>
      <c r="B1143" t="inlineStr">
        <is>
          <t>ORIG_BAL x ASSET_CLASS / REV_DEBT</t>
        </is>
      </c>
      <c r="C1143" t="inlineStr">
        <is>
          <t>49,152 - 59,984</t>
        </is>
      </c>
      <c r="D1143" t="inlineStr">
        <is>
          <t>2 / REV_DEBT high half</t>
        </is>
      </c>
      <c r="E1143" t="inlineStr">
        <is>
          <t>contribution_rate</t>
        </is>
      </c>
      <c r="F1143" t="inlineStr">
        <is>
          <t>Contribution before losses per booked dollar</t>
        </is>
      </c>
      <c r="G1143" t="n">
        <v>199</v>
      </c>
      <c r="H1143" t="n">
        <v>10838135.96</v>
      </c>
      <c r="I1143" t="b">
        <v>0</v>
      </c>
      <c r="J1143" t="b">
        <v>0</v>
      </c>
      <c r="K1143" t="n">
        <v>0.02886601945963005</v>
      </c>
      <c r="L1143" t="n">
        <v>0.00444400004444</v>
      </c>
      <c r="M1143" t="n">
        <v>0.03569788874370713</v>
      </c>
      <c r="N1143" t="n">
        <v>0.0003809142895234286</v>
      </c>
      <c r="O1143" t="n">
        <v>-312853.8435274763</v>
      </c>
      <c r="P1143" t="n">
        <v>-386898.5716892518</v>
      </c>
      <c r="Q1143">
        <f>'_live'!$C$24</f>
        <v/>
      </c>
      <c r="R1143" t="inlineStr">
        <is>
          <t>shuffled: 29 of 10,000</t>
        </is>
      </c>
      <c r="S1143" t="inlineStr">
        <is>
          <t>shuffled: 1 of 10,000</t>
        </is>
      </c>
      <c r="T1143" t="n">
        <v>0.1683799791041303</v>
      </c>
      <c r="U1143" t="n">
        <v>0.1615481098200532</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0.1972459985637603</v>
      </c>
      <c r="AI1143">
        <f>IF($Y1143="worse","Yes",IF($Y1143="worse, not significant","Not sure",IF(OR($Y1143="too few losses to test",$Y1143="too few loans to test"),"Too few losses",IF($Y1143="","","No"))))</f>
        <v/>
      </c>
      <c r="AJ1143">
        <f>IF($AA1143="yes","Yes",IF($AA1143="","","No"))</f>
        <v/>
      </c>
    </row>
    <row r="1144">
      <c r="A1144" t="inlineStr">
        <is>
          <t>three-way</t>
        </is>
      </c>
      <c r="B1144" t="inlineStr">
        <is>
          <t>ORIG_BAL x ASSET_CLASS / REV_DEBT</t>
        </is>
      </c>
      <c r="C1144" t="inlineStr">
        <is>
          <t>15,449 - 26,323</t>
        </is>
      </c>
      <c r="D1144" t="inlineStr">
        <is>
          <t>3 / REV_DEBT high half</t>
        </is>
      </c>
      <c r="E1144" t="inlineStr">
        <is>
          <t>outcome_loans</t>
        </is>
      </c>
      <c r="F1144" t="inlineStr">
        <is>
          <t>Outcome, share of loans</t>
        </is>
      </c>
      <c r="G1144" t="n">
        <v>213</v>
      </c>
      <c r="H1144" t="n">
        <v>213</v>
      </c>
      <c r="I1144" t="b">
        <v>0</v>
      </c>
      <c r="J1144" t="b">
        <v>0</v>
      </c>
      <c r="K1144" t="n">
        <v>1.538467618279825</v>
      </c>
      <c r="L1144" t="n">
        <v>0.08054383079113712</v>
      </c>
      <c r="M1144" t="n">
        <v>1.312850219597153</v>
      </c>
      <c r="N1144" t="n">
        <v>0.3811378412389527</v>
      </c>
      <c r="O1144" t="n">
        <v>8.750064217826868</v>
      </c>
      <c r="P1144" t="n">
        <v>5.957462148521991</v>
      </c>
      <c r="Q1144">
        <f>'_live'!$C$20</f>
        <v/>
      </c>
      <c r="R1144" t="inlineStr">
        <is>
          <t>z test</t>
        </is>
      </c>
      <c r="S1144" t="inlineStr">
        <is>
          <t>z test</t>
        </is>
      </c>
      <c r="T1144" t="n">
        <v>0.07629077832006165</v>
      </c>
      <c r="U1144" t="n">
        <v>0.08940158615717375</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0.1173708920187793</v>
      </c>
      <c r="AI1144">
        <f>IF($Y1144="worse","Yes",IF($Y1144="worse, not significant","Not sure",IF(OR($Y1144="too few losses to test",$Y1144="too few loans to test"),"Too few losses",IF($Y1144="","","No"))))</f>
        <v/>
      </c>
      <c r="AJ1144">
        <f>IF($AA1144="yes","Yes",IF($AA1144="","","No"))</f>
        <v/>
      </c>
    </row>
    <row r="1145">
      <c r="A1145" t="inlineStr">
        <is>
          <t>three-way</t>
        </is>
      </c>
      <c r="B1145" t="inlineStr">
        <is>
          <t>ORIG_BAL x ASSET_CLASS / REV_DEBT</t>
        </is>
      </c>
      <c r="C1145" t="inlineStr">
        <is>
          <t>15,449 - 26,323</t>
        </is>
      </c>
      <c r="D1145" t="inlineStr">
        <is>
          <t>3 / REV_DEBT high half</t>
        </is>
      </c>
      <c r="E1145" t="inlineStr">
        <is>
          <t>outcome_booked</t>
        </is>
      </c>
      <c r="F1145" t="inlineStr">
        <is>
          <t>Outcome, share of booked dollars</t>
        </is>
      </c>
      <c r="G1145" t="n">
        <v>213</v>
      </c>
      <c r="H1145" t="n">
        <v>4416449.409999999</v>
      </c>
      <c r="I1145" t="b">
        <v>0</v>
      </c>
      <c r="J1145" t="b">
        <v>0</v>
      </c>
      <c r="K1145" t="n">
        <v>1.611969422242608</v>
      </c>
      <c r="L1145" t="n">
        <v>0.07610667504678104</v>
      </c>
      <c r="M1145" t="n">
        <v>1.328114183268922</v>
      </c>
      <c r="N1145" t="n">
        <v>0.4168198564758909</v>
      </c>
      <c r="O1145" t="n">
        <v>200145.9626280005</v>
      </c>
      <c r="P1145" t="n">
        <v>130245.7316636291</v>
      </c>
      <c r="Q1145">
        <f>'_live'!$C$21</f>
        <v/>
      </c>
      <c r="R1145" t="inlineStr">
        <is>
          <t>shuffled: 221 of 10,000</t>
        </is>
      </c>
      <c r="S1145" t="inlineStr">
        <is>
          <t>shuffled: 1,786 of 10,000</t>
        </is>
      </c>
      <c r="T1145" t="n">
        <v>0.07405320360547263</v>
      </c>
      <c r="U1145" t="n">
        <v>0.08988044953884593</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0.1193714998311279</v>
      </c>
      <c r="AI1145">
        <f>IF($Y1145="worse","Yes",IF($Y1145="worse, not significant","Not sure",IF(OR($Y1145="too few losses to test",$Y1145="too few loans to test"),"Too few losses",IF($Y1145="","","No"))))</f>
        <v/>
      </c>
      <c r="AJ1145">
        <f>IF($AA1145="yes","Yes",IF($AA1145="","","No"))</f>
        <v/>
      </c>
    </row>
    <row r="1146">
      <c r="A1146" t="inlineStr">
        <is>
          <t>three-way</t>
        </is>
      </c>
      <c r="B1146" t="inlineStr">
        <is>
          <t>ORIG_BAL x ASSET_CLASS / REV_DEBT</t>
        </is>
      </c>
      <c r="C1146" t="inlineStr">
        <is>
          <t>15,449 - 26,323</t>
        </is>
      </c>
      <c r="D1146" t="inlineStr">
        <is>
          <t>3 / REV_DEBT high half</t>
        </is>
      </c>
      <c r="E1146" t="inlineStr">
        <is>
          <t>gco_rate</t>
        </is>
      </c>
      <c r="F1146" t="inlineStr">
        <is>
          <t>GCO per booked dollar</t>
        </is>
      </c>
      <c r="G1146" t="n">
        <v>213</v>
      </c>
      <c r="H1146" t="n">
        <v>4416449.409999999</v>
      </c>
      <c r="I1146" t="b">
        <v>0</v>
      </c>
      <c r="J1146" t="b">
        <v>0</v>
      </c>
      <c r="K1146" t="n">
        <v>1.772132975008038</v>
      </c>
      <c r="L1146" t="n">
        <v>0.02125501735540732</v>
      </c>
      <c r="M1146" t="n">
        <v>1.450339067243906</v>
      </c>
      <c r="N1146" t="n">
        <v>0.2252774722527747</v>
      </c>
      <c r="O1146" t="n">
        <v>140026.9576796758</v>
      </c>
      <c r="P1146" t="n">
        <v>99789.75085911312</v>
      </c>
      <c r="Q1146">
        <f>'_live'!$C$22</f>
        <v/>
      </c>
      <c r="R1146" t="inlineStr">
        <is>
          <t>shuffled: 61 of 10,000</t>
        </is>
      </c>
      <c r="S1146" t="inlineStr">
        <is>
          <t>shuffled: 750 of 10,000</t>
        </is>
      </c>
      <c r="T1146" t="n">
        <v>0.0410625856847128</v>
      </c>
      <c r="U1146" t="n">
        <v>0.05017334482291443</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0.07276836213097256</v>
      </c>
      <c r="AI1146">
        <f>IF($Y1146="worse","Yes",IF($Y1146="worse, not significant","Not sure",IF(OR($Y1146="too few losses to test",$Y1146="too few loans to test"),"Too few losses",IF($Y1146="","","No"))))</f>
        <v/>
      </c>
      <c r="AJ1146">
        <f>IF($AA1146="yes","Yes",IF($AA1146="","","No"))</f>
        <v/>
      </c>
    </row>
    <row r="1147">
      <c r="A1147" t="inlineStr">
        <is>
          <t>three-way</t>
        </is>
      </c>
      <c r="B1147" t="inlineStr">
        <is>
          <t>ORIG_BAL x ASSET_CLASS / REV_DEBT</t>
        </is>
      </c>
      <c r="C1147" t="inlineStr">
        <is>
          <t>15,449 - 26,323</t>
        </is>
      </c>
      <c r="D1147" t="inlineStr">
        <is>
          <t>3 / REV_DEBT high half</t>
        </is>
      </c>
      <c r="E1147" t="inlineStr">
        <is>
          <t>ranr_rate</t>
        </is>
      </c>
      <c r="F1147" t="inlineStr">
        <is>
          <t>Profit after losses: RANR per booked dollar</t>
        </is>
      </c>
      <c r="G1147" t="n">
        <v>213</v>
      </c>
      <c r="H1147" t="n">
        <v>4416449.409999999</v>
      </c>
      <c r="I1147" t="b">
        <v>0</v>
      </c>
      <c r="J1147" t="b">
        <v>0</v>
      </c>
      <c r="K1147" t="n">
        <v>0.0003070193715097314</v>
      </c>
      <c r="L1147" t="n">
        <v>0.9959004099590041</v>
      </c>
      <c r="M1147" t="n">
        <v>0.0106383740305827</v>
      </c>
      <c r="N1147" t="n">
        <v>0.6983587355550159</v>
      </c>
      <c r="O1147" t="n">
        <v>-1355.935522162705</v>
      </c>
      <c r="P1147" t="n">
        <v>-46983.84071072628</v>
      </c>
      <c r="Q1147">
        <f>'_live'!$C$23</f>
        <v/>
      </c>
      <c r="R1147" t="inlineStr">
        <is>
          <t>shuffled: 9,808 of 10,000</t>
        </is>
      </c>
      <c r="S1147" t="inlineStr">
        <is>
          <t>shuffled: 4,798 of 10,000</t>
        </is>
      </c>
      <c r="T1147" t="n">
        <v>0.1279847954780121</v>
      </c>
      <c r="U1147" t="n">
        <v>0.1176534408189392</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0.1282918148495219</v>
      </c>
      <c r="AI1147">
        <f>IF($Y1147="worse","Yes",IF($Y1147="worse, not significant","Not sure",IF(OR($Y1147="too few losses to test",$Y1147="too few loans to test"),"Too few losses",IF($Y1147="","","No"))))</f>
        <v/>
      </c>
      <c r="AJ1147">
        <f>IF($AA1147="yes","Yes",IF($AA1147="","","No"))</f>
        <v/>
      </c>
    </row>
    <row r="1148">
      <c r="A1148" t="inlineStr">
        <is>
          <t>three-way</t>
        </is>
      </c>
      <c r="B1148" t="inlineStr">
        <is>
          <t>ORIG_BAL x ASSET_CLASS / REV_DEBT</t>
        </is>
      </c>
      <c r="C1148" t="inlineStr">
        <is>
          <t>15,449 - 26,323</t>
        </is>
      </c>
      <c r="D1148" t="inlineStr">
        <is>
          <t>3 / REV_DEBT high half</t>
        </is>
      </c>
      <c r="E1148" t="inlineStr">
        <is>
          <t>contribution_rate</t>
        </is>
      </c>
      <c r="F1148" t="inlineStr">
        <is>
          <t>Contribution before losses per booked dollar</t>
        </is>
      </c>
      <c r="G1148" t="n">
        <v>213</v>
      </c>
      <c r="H1148" t="n">
        <v>4416449.409999999</v>
      </c>
      <c r="I1148" t="b">
        <v>0</v>
      </c>
      <c r="J1148" t="b">
        <v>0</v>
      </c>
      <c r="K1148" t="n">
        <v>0.03201570567784862</v>
      </c>
      <c r="L1148" t="n">
        <v>0.001411623543528</v>
      </c>
      <c r="M1148" t="n">
        <v>0.03323339133864076</v>
      </c>
      <c r="N1148" t="n">
        <v>0.0003809142895234286</v>
      </c>
      <c r="O1148" t="n">
        <v>-141395.7444516681</v>
      </c>
      <c r="P1148" t="n">
        <v>-146773.591569839</v>
      </c>
      <c r="Q1148">
        <f>'_live'!$C$24</f>
        <v/>
      </c>
      <c r="R1148" t="inlineStr">
        <is>
          <t>shuffled: 5 of 10,000</t>
        </is>
      </c>
      <c r="S1148" t="inlineStr">
        <is>
          <t>shuffled: 1 of 10,000</t>
        </is>
      </c>
      <c r="T1148" t="n">
        <v>0.1690444713026457</v>
      </c>
      <c r="U1148" t="n">
        <v>0.1678267856418536</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0.2010601769804944</v>
      </c>
      <c r="AI1148">
        <f>IF($Y1148="worse","Yes",IF($Y1148="worse, not significant","Not sure",IF(OR($Y1148="too few losses to test",$Y1148="too few loans to test"),"Too few losses",IF($Y1148="","","No"))))</f>
        <v/>
      </c>
      <c r="AJ1148">
        <f>IF($AA1148="yes","Yes",IF($AA1148="","","No"))</f>
        <v/>
      </c>
    </row>
    <row r="1149">
      <c r="A1149" t="inlineStr">
        <is>
          <t>three-way</t>
        </is>
      </c>
      <c r="B1149" t="inlineStr">
        <is>
          <t>ORIG_BAL x ASSET_CLASS / REV_DEBT</t>
        </is>
      </c>
      <c r="C1149" t="inlineStr">
        <is>
          <t>15,449 - 26,323</t>
        </is>
      </c>
      <c r="D1149" t="inlineStr">
        <is>
          <t>1 / REV_DEBT low half</t>
        </is>
      </c>
      <c r="E1149" t="inlineStr">
        <is>
          <t>outcome_loans</t>
        </is>
      </c>
      <c r="F1149" t="inlineStr">
        <is>
          <t>Outcome, share of loans</t>
        </is>
      </c>
      <c r="G1149" t="n">
        <v>202</v>
      </c>
      <c r="H1149" t="n">
        <v>202</v>
      </c>
      <c r="I1149" t="b">
        <v>1</v>
      </c>
      <c r="J1149" t="b">
        <v>0</v>
      </c>
      <c r="K1149" t="n">
        <v>0.5053880183435692</v>
      </c>
      <c r="M1149" t="n">
        <v>0.3926690541394565</v>
      </c>
      <c r="O1149" t="n">
        <v>-7.829421572399641</v>
      </c>
      <c r="P1149" t="n">
        <v>-12.37339055793991</v>
      </c>
      <c r="Q1149">
        <f>'_live'!$C$20</f>
        <v/>
      </c>
      <c r="T1149" t="n">
        <v>0.07836347313069129</v>
      </c>
      <c r="U1149" t="n">
        <v>0.1008583690987124</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0.0396039603960396</v>
      </c>
      <c r="AI1149">
        <f>IF($Y1149="worse","Yes",IF($Y1149="worse, not significant","Not sure",IF(OR($Y1149="too few losses to test",$Y1149="too few loans to test"),"Too few losses",IF($Y1149="","","No"))))</f>
        <v/>
      </c>
      <c r="AJ1149">
        <f>IF($AA1149="yes","Yes",IF($AA1149="","","No"))</f>
        <v/>
      </c>
    </row>
    <row r="1150">
      <c r="A1150" t="inlineStr">
        <is>
          <t>three-way</t>
        </is>
      </c>
      <c r="B1150" t="inlineStr">
        <is>
          <t>ORIG_BAL x ASSET_CLASS / REV_DEBT</t>
        </is>
      </c>
      <c r="C1150" t="inlineStr">
        <is>
          <t>15,449 - 26,323</t>
        </is>
      </c>
      <c r="D1150" t="inlineStr">
        <is>
          <t>1 / REV_DEBT low half</t>
        </is>
      </c>
      <c r="E1150" t="inlineStr">
        <is>
          <t>outcome_booked</t>
        </is>
      </c>
      <c r="F1150" t="inlineStr">
        <is>
          <t>Outcome, share of booked dollars</t>
        </is>
      </c>
      <c r="G1150" t="n">
        <v>202</v>
      </c>
      <c r="H1150" t="n">
        <v>4199150.850000001</v>
      </c>
      <c r="I1150" t="b">
        <v>1</v>
      </c>
      <c r="J1150" t="b">
        <v>0</v>
      </c>
      <c r="K1150" t="n">
        <v>0.5057252042274293</v>
      </c>
      <c r="M1150" t="n">
        <v>0.3748407921862624</v>
      </c>
      <c r="O1150" t="n">
        <v>-156569.293538996</v>
      </c>
      <c r="P1150" t="n">
        <v>-267175.425819866</v>
      </c>
      <c r="Q1150">
        <f>'_live'!$C$21</f>
        <v/>
      </c>
      <c r="T1150" t="n">
        <v>0.07543565231503792</v>
      </c>
      <c r="U1150" t="n">
        <v>0.1017757711228369</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0.0381497106730519</v>
      </c>
      <c r="AI1150">
        <f>IF($Y1150="worse","Yes",IF($Y1150="worse, not significant","Not sure",IF(OR($Y1150="too few losses to test",$Y1150="too few loans to test"),"Too few losses",IF($Y1150="","","No"))))</f>
        <v/>
      </c>
      <c r="AJ1150">
        <f>IF($AA1150="yes","Yes",IF($AA1150="","","No"))</f>
        <v/>
      </c>
    </row>
    <row r="1151">
      <c r="A1151" t="inlineStr">
        <is>
          <t>three-way</t>
        </is>
      </c>
      <c r="B1151" t="inlineStr">
        <is>
          <t>ORIG_BAL x ASSET_CLASS / REV_DEBT</t>
        </is>
      </c>
      <c r="C1151" t="inlineStr">
        <is>
          <t>15,449 - 26,323</t>
        </is>
      </c>
      <c r="D1151" t="inlineStr">
        <is>
          <t>1 / REV_DEBT low half</t>
        </is>
      </c>
      <c r="E1151" t="inlineStr">
        <is>
          <t>gco_rate</t>
        </is>
      </c>
      <c r="F1151" t="inlineStr">
        <is>
          <t>GCO per booked dollar</t>
        </is>
      </c>
      <c r="G1151" t="n">
        <v>202</v>
      </c>
      <c r="H1151" t="n">
        <v>4199150.850000001</v>
      </c>
      <c r="I1151" t="b">
        <v>1</v>
      </c>
      <c r="J1151" t="b">
        <v>0</v>
      </c>
      <c r="K1151" t="n">
        <v>0.4879019041110971</v>
      </c>
      <c r="M1151" t="n">
        <v>0.3537858078289992</v>
      </c>
      <c r="O1151" t="n">
        <v>-90218.88418778338</v>
      </c>
      <c r="P1151" t="n">
        <v>-157004.7848691589</v>
      </c>
      <c r="Q1151">
        <f>'_live'!$C$22</f>
        <v/>
      </c>
      <c r="T1151" t="n">
        <v>0.04195491195268285</v>
      </c>
      <c r="U1151" t="n">
        <v>0.0578595324502712</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0.02046988142852739</v>
      </c>
      <c r="AI1151">
        <f>IF($Y1151="worse","Yes",IF($Y1151="worse, not significant","Not sure",IF(OR($Y1151="too few losses to test",$Y1151="too few loans to test"),"Too few losses",IF($Y1151="","","No"))))</f>
        <v/>
      </c>
      <c r="AJ1151">
        <f>IF($AA1151="yes","Yes",IF($AA1151="","","No"))</f>
        <v/>
      </c>
    </row>
    <row r="1152">
      <c r="A1152" t="inlineStr">
        <is>
          <t>three-way</t>
        </is>
      </c>
      <c r="B1152" t="inlineStr">
        <is>
          <t>ORIG_BAL x ASSET_CLASS / REV_DEBT</t>
        </is>
      </c>
      <c r="C1152" t="inlineStr">
        <is>
          <t>15,449 - 26,323</t>
        </is>
      </c>
      <c r="D1152" t="inlineStr">
        <is>
          <t>1 / REV_DEBT low half</t>
        </is>
      </c>
      <c r="E1152" t="inlineStr">
        <is>
          <t>ranr_rate</t>
        </is>
      </c>
      <c r="F1152" t="inlineStr">
        <is>
          <t>Profit after losses: RANR per booked dollar</t>
        </is>
      </c>
      <c r="G1152" t="n">
        <v>202</v>
      </c>
      <c r="H1152" t="n">
        <v>4199150.850000001</v>
      </c>
      <c r="I1152" t="b">
        <v>0</v>
      </c>
      <c r="J1152" t="b">
        <v>0</v>
      </c>
      <c r="K1152" t="n">
        <v>-0.004756296386009801</v>
      </c>
      <c r="L1152" t="n">
        <v>0.952033828875177</v>
      </c>
      <c r="M1152" t="n">
        <v>0.004862575468992811</v>
      </c>
      <c r="N1152" t="n">
        <v>0.8833711223472247</v>
      </c>
      <c r="O1152" t="n">
        <v>19972.40601216495</v>
      </c>
      <c r="P1152" t="n">
        <v>-20418.68791381031</v>
      </c>
      <c r="Q1152">
        <f>'_live'!$C$23</f>
        <v/>
      </c>
      <c r="R1152" t="inlineStr">
        <is>
          <t>shuffled: 7,378 of 10,000</t>
        </is>
      </c>
      <c r="S1152" t="inlineStr">
        <is>
          <t>shuffled: 7,517 of 10,000</t>
        </is>
      </c>
      <c r="T1152" t="n">
        <v>0.1280674415428931</v>
      </c>
      <c r="U1152" t="n">
        <v>0.1184485696878905</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0.1233111451568833</v>
      </c>
      <c r="AI1152">
        <f>IF($Y1152="worse","Yes",IF($Y1152="worse, not significant","Not sure",IF(OR($Y1152="too few losses to test",$Y1152="too few loans to test"),"Too few losses",IF($Y1152="","","No"))))</f>
        <v/>
      </c>
      <c r="AJ1152">
        <f>IF($AA1152="yes","Yes",IF($AA1152="","","No"))</f>
        <v/>
      </c>
    </row>
    <row r="1153">
      <c r="A1153" t="inlineStr">
        <is>
          <t>three-way</t>
        </is>
      </c>
      <c r="B1153" t="inlineStr">
        <is>
          <t>ORIG_BAL x ASSET_CLASS / REV_DEBT</t>
        </is>
      </c>
      <c r="C1153" t="inlineStr">
        <is>
          <t>15,449 - 26,323</t>
        </is>
      </c>
      <c r="D1153" t="inlineStr">
        <is>
          <t>1 / REV_DEBT low half</t>
        </is>
      </c>
      <c r="E1153" t="inlineStr">
        <is>
          <t>contribution_rate</t>
        </is>
      </c>
      <c r="F1153" t="inlineStr">
        <is>
          <t>Contribution before losses per booked dollar</t>
        </is>
      </c>
      <c r="G1153" t="n">
        <v>202</v>
      </c>
      <c r="H1153" t="n">
        <v>4199150.850000001</v>
      </c>
      <c r="I1153" t="b">
        <v>0</v>
      </c>
      <c r="J1153" t="b">
        <v>0</v>
      </c>
      <c r="K1153" t="n">
        <v>-0.02623843246227678</v>
      </c>
      <c r="L1153" t="n">
        <v>0.007393200073932001</v>
      </c>
      <c r="M1153" t="n">
        <v>-0.03252707555275092</v>
      </c>
      <c r="N1153" t="n">
        <v>0.0005216869617386087</v>
      </c>
      <c r="O1153" t="n">
        <v>110179.1359766371</v>
      </c>
      <c r="P1153" t="n">
        <v>136586.0969553483</v>
      </c>
      <c r="Q1153">
        <f>'_live'!$C$24</f>
        <v/>
      </c>
      <c r="R1153" t="inlineStr">
        <is>
          <t>shuffled: 60 of 10,000</t>
        </is>
      </c>
      <c r="S1153" t="inlineStr">
        <is>
          <t>shuffled: 2 of 10,000</t>
        </is>
      </c>
      <c r="T1153" t="n">
        <v>0.1700194590476875</v>
      </c>
      <c r="U1153" t="n">
        <v>0.1763081021381617</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0.1437810265854108</v>
      </c>
      <c r="AI1153">
        <f>IF($Y1153="worse","Yes",IF($Y1153="worse, not significant","Not sure",IF(OR($Y1153="too few losses to test",$Y1153="too few loans to test"),"Too few losses",IF($Y1153="","","No"))))</f>
        <v/>
      </c>
      <c r="AJ1153">
        <f>IF($AA1153="yes","Yes",IF($AA1153="","","No"))</f>
        <v/>
      </c>
    </row>
    <row r="1154">
      <c r="A1154" t="inlineStr">
        <is>
          <t>three-way</t>
        </is>
      </c>
      <c r="B1154" t="inlineStr">
        <is>
          <t>ORIG_BAL x ASSET_CLASS / REV_DEBT</t>
        </is>
      </c>
      <c r="C1154" t="inlineStr">
        <is>
          <t>37,951 - 49,151</t>
        </is>
      </c>
      <c r="D1154" t="inlineStr">
        <is>
          <t>3 / REV_DEBT low half</t>
        </is>
      </c>
      <c r="E1154" t="inlineStr">
        <is>
          <t>outcome_loans</t>
        </is>
      </c>
      <c r="F1154" t="inlineStr">
        <is>
          <t>Outcome, share of loans</t>
        </is>
      </c>
      <c r="G1154" t="n">
        <v>191</v>
      </c>
      <c r="H1154" t="n">
        <v>191</v>
      </c>
      <c r="I1154" t="b">
        <v>1</v>
      </c>
      <c r="J1154" t="b">
        <v>0</v>
      </c>
      <c r="K1154" t="n">
        <v>0.6031413612565445</v>
      </c>
      <c r="M1154" t="n">
        <v>0.5311413612565444</v>
      </c>
      <c r="O1154" t="n">
        <v>-5.921875</v>
      </c>
      <c r="P1154" t="n">
        <v>-7.944641589779987</v>
      </c>
      <c r="Q1154">
        <f>'_live'!$C$20</f>
        <v/>
      </c>
      <c r="T1154" t="n">
        <v>0.078125</v>
      </c>
      <c r="U1154" t="n">
        <v>0.0887154009936125</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0.04712041884816754</v>
      </c>
      <c r="AI1154">
        <f>IF($Y1154="worse","Yes",IF($Y1154="worse, not significant","Not sure",IF(OR($Y1154="too few losses to test",$Y1154="too few loans to test"),"Too few losses",IF($Y1154="","","No"))))</f>
        <v/>
      </c>
      <c r="AJ1154">
        <f>IF($AA1154="yes","Yes",IF($AA1154="","","No"))</f>
        <v/>
      </c>
    </row>
    <row r="1155">
      <c r="A1155" t="inlineStr">
        <is>
          <t>three-way</t>
        </is>
      </c>
      <c r="B1155" t="inlineStr">
        <is>
          <t>ORIG_BAL x ASSET_CLASS / REV_DEBT</t>
        </is>
      </c>
      <c r="C1155" t="inlineStr">
        <is>
          <t>37,951 - 49,151</t>
        </is>
      </c>
      <c r="D1155" t="inlineStr">
        <is>
          <t>3 / REV_DEBT low half</t>
        </is>
      </c>
      <c r="E1155" t="inlineStr">
        <is>
          <t>outcome_booked</t>
        </is>
      </c>
      <c r="F1155" t="inlineStr">
        <is>
          <t>Outcome, share of booked dollars</t>
        </is>
      </c>
      <c r="G1155" t="n">
        <v>191</v>
      </c>
      <c r="H1155" t="n">
        <v>8363407.019999998</v>
      </c>
      <c r="I1155" t="b">
        <v>1</v>
      </c>
      <c r="J1155" t="b">
        <v>0</v>
      </c>
      <c r="K1155" t="n">
        <v>0.6075279516683135</v>
      </c>
      <c r="M1155" t="n">
        <v>0.5224210837758781</v>
      </c>
      <c r="O1155" t="n">
        <v>-248783.2970775882</v>
      </c>
      <c r="P1155" t="n">
        <v>-352049.0698323011</v>
      </c>
      <c r="Q1155">
        <f>'_live'!$C$21</f>
        <v/>
      </c>
      <c r="T1155" t="n">
        <v>0.07579302735855468</v>
      </c>
      <c r="U1155" t="n">
        <v>0.08814036050971739</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0.04604638266188318</v>
      </c>
      <c r="AI1155">
        <f>IF($Y1155="worse","Yes",IF($Y1155="worse, not significant","Not sure",IF(OR($Y1155="too few losses to test",$Y1155="too few loans to test"),"Too few losses",IF($Y1155="","","No"))))</f>
        <v/>
      </c>
      <c r="AJ1155">
        <f>IF($AA1155="yes","Yes",IF($AA1155="","","No"))</f>
        <v/>
      </c>
    </row>
    <row r="1156">
      <c r="A1156" t="inlineStr">
        <is>
          <t>three-way</t>
        </is>
      </c>
      <c r="B1156" t="inlineStr">
        <is>
          <t>ORIG_BAL x ASSET_CLASS / REV_DEBT</t>
        </is>
      </c>
      <c r="C1156" t="inlineStr">
        <is>
          <t>37,951 - 49,151</t>
        </is>
      </c>
      <c r="D1156" t="inlineStr">
        <is>
          <t>3 / REV_DEBT low half</t>
        </is>
      </c>
      <c r="E1156" t="inlineStr">
        <is>
          <t>gco_rate</t>
        </is>
      </c>
      <c r="F1156" t="inlineStr">
        <is>
          <t>GCO per booked dollar</t>
        </is>
      </c>
      <c r="G1156" t="n">
        <v>191</v>
      </c>
      <c r="H1156" t="n">
        <v>8363407.019999998</v>
      </c>
      <c r="I1156" t="b">
        <v>1</v>
      </c>
      <c r="J1156" t="b">
        <v>0</v>
      </c>
      <c r="K1156" t="n">
        <v>0.6074260706782981</v>
      </c>
      <c r="M1156" t="n">
        <v>0.5155224312839302</v>
      </c>
      <c r="O1156" t="n">
        <v>-138361.2798362042</v>
      </c>
      <c r="P1156" t="n">
        <v>-201192.9000099908</v>
      </c>
      <c r="Q1156">
        <f>'_live'!$C$22</f>
        <v/>
      </c>
      <c r="T1156" t="n">
        <v>0.04214148958592766</v>
      </c>
      <c r="U1156" t="n">
        <v>0.04965417192023627</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0.02559783943171046</v>
      </c>
      <c r="AI1156">
        <f>IF($Y1156="worse","Yes",IF($Y1156="worse, not significant","Not sure",IF(OR($Y1156="too few losses to test",$Y1156="too few loans to test"),"Too few losses",IF($Y1156="","","No"))))</f>
        <v/>
      </c>
      <c r="AJ1156">
        <f>IF($AA1156="yes","Yes",IF($AA1156="","","No"))</f>
        <v/>
      </c>
    </row>
    <row r="1157">
      <c r="A1157" t="inlineStr">
        <is>
          <t>three-way</t>
        </is>
      </c>
      <c r="B1157" t="inlineStr">
        <is>
          <t>ORIG_BAL x ASSET_CLASS / REV_DEBT</t>
        </is>
      </c>
      <c r="C1157" t="inlineStr">
        <is>
          <t>37,951 - 49,151</t>
        </is>
      </c>
      <c r="D1157" t="inlineStr">
        <is>
          <t>3 / REV_DEBT low half</t>
        </is>
      </c>
      <c r="E1157" t="inlineStr">
        <is>
          <t>ranr_rate</t>
        </is>
      </c>
      <c r="F1157" t="inlineStr">
        <is>
          <t>Profit after losses: RANR per booked dollar</t>
        </is>
      </c>
      <c r="G1157" t="n">
        <v>191</v>
      </c>
      <c r="H1157" t="n">
        <v>8363407.019999998</v>
      </c>
      <c r="I1157" t="b">
        <v>0</v>
      </c>
      <c r="J1157" t="b">
        <v>0</v>
      </c>
      <c r="K1157" t="n">
        <v>-0.01514619296462291</v>
      </c>
      <c r="L1157" t="n">
        <v>0.5594440555944405</v>
      </c>
      <c r="M1157" t="n">
        <v>-0.01033376577685591</v>
      </c>
      <c r="N1157" t="n">
        <v>0.6983587355550159</v>
      </c>
      <c r="O1157" t="n">
        <v>126673.7765666018</v>
      </c>
      <c r="P1157" t="n">
        <v>86425.48924119235</v>
      </c>
      <c r="Q1157">
        <f>'_live'!$C$23</f>
        <v/>
      </c>
      <c r="R1157" t="inlineStr">
        <is>
          <t>shuffled: 3,036 of 10,000</t>
        </is>
      </c>
      <c r="S1157" t="inlineStr">
        <is>
          <t>shuffled: 4,888 of 10,000</t>
        </is>
      </c>
      <c r="T1157" t="n">
        <v>0.1284809030574482</v>
      </c>
      <c r="U1157" t="n">
        <v>0.1236684758696812</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0.1133347100928253</v>
      </c>
      <c r="AI1157">
        <f>IF($Y1157="worse","Yes",IF($Y1157="worse, not significant","Not sure",IF(OR($Y1157="too few losses to test",$Y1157="too few loans to test"),"Too few losses",IF($Y1157="","","No"))))</f>
        <v/>
      </c>
      <c r="AJ1157">
        <f>IF($AA1157="yes","Yes",IF($AA1157="","","No"))</f>
        <v/>
      </c>
    </row>
    <row r="1158">
      <c r="A1158" t="inlineStr">
        <is>
          <t>three-way</t>
        </is>
      </c>
      <c r="B1158" t="inlineStr">
        <is>
          <t>ORIG_BAL x ASSET_CLASS / REV_DEBT</t>
        </is>
      </c>
      <c r="C1158" t="inlineStr">
        <is>
          <t>37,951 - 49,151</t>
        </is>
      </c>
      <c r="D1158" t="inlineStr">
        <is>
          <t>3 / REV_DEBT low half</t>
        </is>
      </c>
      <c r="E1158" t="inlineStr">
        <is>
          <t>contribution_rate</t>
        </is>
      </c>
      <c r="F1158" t="inlineStr">
        <is>
          <t>Contribution before losses per booked dollar</t>
        </is>
      </c>
      <c r="G1158" t="n">
        <v>191</v>
      </c>
      <c r="H1158" t="n">
        <v>8363407.019999998</v>
      </c>
      <c r="I1158" t="b">
        <v>0</v>
      </c>
      <c r="J1158" t="b">
        <v>0</v>
      </c>
      <c r="K1158" t="n">
        <v>-0.03168696611334795</v>
      </c>
      <c r="L1158" t="n">
        <v>0.002181600021816</v>
      </c>
      <c r="M1158" t="n">
        <v>-0.0343752639320079</v>
      </c>
      <c r="N1158" t="n">
        <v>0.0005216869617386087</v>
      </c>
      <c r="O1158" t="n">
        <v>265010.9948348764</v>
      </c>
      <c r="P1158" t="n">
        <v>287494.3236833077</v>
      </c>
      <c r="Q1158">
        <f>'_live'!$C$24</f>
        <v/>
      </c>
      <c r="R1158" t="inlineStr">
        <is>
          <t>shuffled: 11 of 10,000</t>
        </is>
      </c>
      <c r="S1158" t="inlineStr">
        <is>
          <t>shuffled: 2 of 10,000</t>
        </is>
      </c>
      <c r="T1158" t="n">
        <v>0.1706195156378837</v>
      </c>
      <c r="U1158" t="n">
        <v>0.1733078134565437</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0.1389325495245358</v>
      </c>
      <c r="AI1158">
        <f>IF($Y1158="worse","Yes",IF($Y1158="worse, not significant","Not sure",IF(OR($Y1158="too few losses to test",$Y1158="too few loans to test"),"Too few losses",IF($Y1158="","","No"))))</f>
        <v/>
      </c>
      <c r="AJ1158">
        <f>IF($AA1158="yes","Yes",IF($AA1158="","","No"))</f>
        <v/>
      </c>
    </row>
    <row r="1159">
      <c r="A1159" t="inlineStr">
        <is>
          <t>three-way</t>
        </is>
      </c>
      <c r="B1159" t="inlineStr">
        <is>
          <t>ORIG_BAL x ASSET_CLASS / REV_DEBT</t>
        </is>
      </c>
      <c r="C1159" t="inlineStr">
        <is>
          <t>15,449 - 26,323</t>
        </is>
      </c>
      <c r="D1159" t="inlineStr">
        <is>
          <t>2 / REV_DEBT high half</t>
        </is>
      </c>
      <c r="E1159" t="inlineStr">
        <is>
          <t>outcome_loans</t>
        </is>
      </c>
      <c r="F1159" t="inlineStr">
        <is>
          <t>Outcome, share of loans</t>
        </is>
      </c>
      <c r="G1159" t="n">
        <v>178</v>
      </c>
      <c r="H1159" t="n">
        <v>178</v>
      </c>
      <c r="I1159" t="b">
        <v>0</v>
      </c>
      <c r="J1159" t="b">
        <v>0</v>
      </c>
      <c r="K1159" t="n">
        <v>1.091180519383883</v>
      </c>
      <c r="L1159" t="n">
        <v>0.9196939519769124</v>
      </c>
      <c r="M1159" t="n">
        <v>0.8942646318966962</v>
      </c>
      <c r="N1159" t="n">
        <v>0.7995531694380601</v>
      </c>
      <c r="O1159" t="n">
        <v>1.253420278736733</v>
      </c>
      <c r="P1159" t="n">
        <v>-1.773558368495078</v>
      </c>
      <c r="Q1159">
        <f>'_live'!$C$20</f>
        <v/>
      </c>
      <c r="R1159" t="inlineStr">
        <is>
          <t>z test</t>
        </is>
      </c>
      <c r="S1159" t="inlineStr">
        <is>
          <t>z test</t>
        </is>
      </c>
      <c r="T1159" t="n">
        <v>0.07722797596215318</v>
      </c>
      <c r="U1159" t="n">
        <v>0.09423347398030943</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0.08426966292134831</v>
      </c>
      <c r="AI1159">
        <f>IF($Y1159="worse","Yes",IF($Y1159="worse, not significant","Not sure",IF(OR($Y1159="too few losses to test",$Y1159="too few loans to test"),"Too few losses",IF($Y1159="","","No"))))</f>
        <v/>
      </c>
      <c r="AJ1159">
        <f>IF($AA1159="yes","Yes",IF($AA1159="","","No"))</f>
        <v/>
      </c>
    </row>
    <row r="1160">
      <c r="A1160" t="inlineStr">
        <is>
          <t>three-way</t>
        </is>
      </c>
      <c r="B1160" t="inlineStr">
        <is>
          <t>ORIG_BAL x ASSET_CLASS / REV_DEBT</t>
        </is>
      </c>
      <c r="C1160" t="inlineStr">
        <is>
          <t>15,449 - 26,323</t>
        </is>
      </c>
      <c r="D1160" t="inlineStr">
        <is>
          <t>2 / REV_DEBT high half</t>
        </is>
      </c>
      <c r="E1160" t="inlineStr">
        <is>
          <t>outcome_booked</t>
        </is>
      </c>
      <c r="F1160" t="inlineStr">
        <is>
          <t>Outcome, share of booked dollars</t>
        </is>
      </c>
      <c r="G1160" t="n">
        <v>178</v>
      </c>
      <c r="H1160" t="n">
        <v>3781633.390000001</v>
      </c>
      <c r="I1160" t="b">
        <v>0</v>
      </c>
      <c r="J1160" t="b">
        <v>0</v>
      </c>
      <c r="K1160" t="n">
        <v>1.119136724738925</v>
      </c>
      <c r="L1160" t="n">
        <v>0.8018470880184708</v>
      </c>
      <c r="M1160" t="n">
        <v>0.8792514136581788</v>
      </c>
      <c r="N1160" t="n">
        <v>0.7098718699558615</v>
      </c>
      <c r="O1160" t="n">
        <v>33653.99515171652</v>
      </c>
      <c r="P1160" t="n">
        <v>-43415.32920915907</v>
      </c>
      <c r="Q1160">
        <f>'_live'!$C$21</f>
        <v/>
      </c>
      <c r="R1160" t="inlineStr">
        <is>
          <t>shuffled: 6,835 of 10,000</t>
        </is>
      </c>
      <c r="S1160" t="inlineStr">
        <is>
          <t>shuffled: 6,211 of 10,000</t>
        </is>
      </c>
      <c r="T1160" t="n">
        <v>0.07469844263467418</v>
      </c>
      <c r="U1160" t="n">
        <v>0.0950783463463017</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0.08359777043326772</v>
      </c>
      <c r="AI1160">
        <f>IF($Y1160="worse","Yes",IF($Y1160="worse, not significant","Not sure",IF(OR($Y1160="too few losses to test",$Y1160="too few loans to test"),"Too few losses",IF($Y1160="","","No"))))</f>
        <v/>
      </c>
      <c r="AJ1160">
        <f>IF($AA1160="yes","Yes",IF($AA1160="","","No"))</f>
        <v/>
      </c>
    </row>
    <row r="1161">
      <c r="A1161" t="inlineStr">
        <is>
          <t>three-way</t>
        </is>
      </c>
      <c r="B1161" t="inlineStr">
        <is>
          <t>ORIG_BAL x ASSET_CLASS / REV_DEBT</t>
        </is>
      </c>
      <c r="C1161" t="inlineStr">
        <is>
          <t>15,449 - 26,323</t>
        </is>
      </c>
      <c r="D1161" t="inlineStr">
        <is>
          <t>2 / REV_DEBT high half</t>
        </is>
      </c>
      <c r="E1161" t="inlineStr">
        <is>
          <t>gco_rate</t>
        </is>
      </c>
      <c r="F1161" t="inlineStr">
        <is>
          <t>GCO per booked dollar</t>
        </is>
      </c>
      <c r="G1161" t="n">
        <v>178</v>
      </c>
      <c r="H1161" t="n">
        <v>3781633.390000001</v>
      </c>
      <c r="I1161" t="b">
        <v>0</v>
      </c>
      <c r="J1161" t="b">
        <v>0</v>
      </c>
      <c r="K1161" t="n">
        <v>1.071364388196608</v>
      </c>
      <c r="L1161" t="n">
        <v>0.8861659288616593</v>
      </c>
      <c r="M1161" t="n">
        <v>0.8206082498308932</v>
      </c>
      <c r="N1161" t="n">
        <v>0.5739026097390261</v>
      </c>
      <c r="O1161" t="n">
        <v>11216.44607837588</v>
      </c>
      <c r="P1161" t="n">
        <v>-36810.99194696193</v>
      </c>
      <c r="Q1161">
        <f>'_live'!$C$22</f>
        <v/>
      </c>
      <c r="R1161" t="inlineStr">
        <is>
          <t>shuffled: 8,123 of 10,000</t>
        </is>
      </c>
      <c r="S1161" t="inlineStr">
        <is>
          <t>shuffled: 4,775 of 10,000</t>
        </is>
      </c>
      <c r="T1161" t="n">
        <v>0.04156179558210007</v>
      </c>
      <c r="U1161" t="n">
        <v>0.05426197909336788</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0.04452782769616914</v>
      </c>
      <c r="AI1161">
        <f>IF($Y1161="worse","Yes",IF($Y1161="worse, not significant","Not sure",IF(OR($Y1161="too few losses to test",$Y1161="too few loans to test"),"Too few losses",IF($Y1161="","","No"))))</f>
        <v/>
      </c>
      <c r="AJ1161">
        <f>IF($AA1161="yes","Yes",IF($AA1161="","","No"))</f>
        <v/>
      </c>
    </row>
    <row r="1162">
      <c r="A1162" t="inlineStr">
        <is>
          <t>three-way</t>
        </is>
      </c>
      <c r="B1162" t="inlineStr">
        <is>
          <t>ORIG_BAL x ASSET_CLASS / REV_DEBT</t>
        </is>
      </c>
      <c r="C1162" t="inlineStr">
        <is>
          <t>15,449 - 26,323</t>
        </is>
      </c>
      <c r="D1162" t="inlineStr">
        <is>
          <t>2 / REV_DEBT high half</t>
        </is>
      </c>
      <c r="E1162" t="inlineStr">
        <is>
          <t>ranr_rate</t>
        </is>
      </c>
      <c r="F1162" t="inlineStr">
        <is>
          <t>Profit after losses: RANR per booked dollar</t>
        </is>
      </c>
      <c r="G1162" t="n">
        <v>178</v>
      </c>
      <c r="H1162" t="n">
        <v>3781633.390000001</v>
      </c>
      <c r="I1162" t="b">
        <v>0</v>
      </c>
      <c r="J1162" t="b">
        <v>0</v>
      </c>
      <c r="K1162" t="n">
        <v>0.02596811654103706</v>
      </c>
      <c r="L1162" t="n">
        <v>0.2610405626104056</v>
      </c>
      <c r="M1162" t="n">
        <v>0.03892364518006754</v>
      </c>
      <c r="N1162" t="n">
        <v>0.151984801519848</v>
      </c>
      <c r="O1162" t="n">
        <v>-98201.89658699709</v>
      </c>
      <c r="P1162" t="n">
        <v>-147194.956273456</v>
      </c>
      <c r="Q1162">
        <f>'_live'!$C$23</f>
        <v/>
      </c>
      <c r="R1162" t="inlineStr">
        <is>
          <t>shuffled: 922 of 10,000</t>
        </is>
      </c>
      <c r="S1162" t="inlineStr">
        <is>
          <t>shuffled: 151 of 10,000</t>
        </is>
      </c>
      <c r="T1162" t="n">
        <v>0.1276095230936712</v>
      </c>
      <c r="U1162" t="n">
        <v>0.1146539944546407</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0.1535776396347083</v>
      </c>
      <c r="AI1162">
        <f>IF($Y1162="worse","Yes",IF($Y1162="worse, not significant","Not sure",IF(OR($Y1162="too few losses to test",$Y1162="too few loans to test"),"Too few losses",IF($Y1162="","","No"))))</f>
        <v/>
      </c>
      <c r="AJ1162">
        <f>IF($AA1162="yes","Yes",IF($AA1162="","","No"))</f>
        <v/>
      </c>
    </row>
    <row r="1163">
      <c r="A1163" t="inlineStr">
        <is>
          <t>three-way</t>
        </is>
      </c>
      <c r="B1163" t="inlineStr">
        <is>
          <t>ORIG_BAL x ASSET_CLASS / REV_DEBT</t>
        </is>
      </c>
      <c r="C1163" t="inlineStr">
        <is>
          <t>15,449 - 26,323</t>
        </is>
      </c>
      <c r="D1163" t="inlineStr">
        <is>
          <t>2 / REV_DEBT high half</t>
        </is>
      </c>
      <c r="E1163" t="inlineStr">
        <is>
          <t>contribution_rate</t>
        </is>
      </c>
      <c r="F1163" t="inlineStr">
        <is>
          <t>Contribution before losses per booked dollar</t>
        </is>
      </c>
      <c r="G1163" t="n">
        <v>178</v>
      </c>
      <c r="H1163" t="n">
        <v>3781633.390000001</v>
      </c>
      <c r="I1163" t="b">
        <v>0</v>
      </c>
      <c r="J1163" t="b">
        <v>0</v>
      </c>
      <c r="K1163" t="n">
        <v>0.02893710982449582</v>
      </c>
      <c r="L1163" t="n">
        <v>0.005418812957413937</v>
      </c>
      <c r="M1163" t="n">
        <v>0.0291894937828687</v>
      </c>
      <c r="N1163" t="n">
        <v>0.003110800031108</v>
      </c>
      <c r="O1163" t="n">
        <v>-109429.5407224104</v>
      </c>
      <c r="P1163" t="n">
        <v>-110383.9643264937</v>
      </c>
      <c r="Q1163">
        <f>'_live'!$C$24</f>
        <v/>
      </c>
      <c r="R1163" t="inlineStr">
        <is>
          <t>shuffled: 41 of 10,000</t>
        </is>
      </c>
      <c r="S1163" t="inlineStr">
        <is>
          <t>shuffled: 27 of 10,000</t>
        </is>
      </c>
      <c r="T1163" t="n">
        <v>0.1691683575063815</v>
      </c>
      <c r="U1163" t="n">
        <v>0.1689159735480086</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0.1981054673308773</v>
      </c>
      <c r="AI1163">
        <f>IF($Y1163="worse","Yes",IF($Y1163="worse, not significant","Not sure",IF(OR($Y1163="too few losses to test",$Y1163="too few loans to test"),"Too few losses",IF($Y1163="","","No"))))</f>
        <v/>
      </c>
      <c r="AJ1163">
        <f>IF($AA1163="yes","Yes",IF($AA1163="","","No"))</f>
        <v/>
      </c>
    </row>
    <row r="1164">
      <c r="A1164" t="inlineStr">
        <is>
          <t>three-way</t>
        </is>
      </c>
      <c r="B1164" t="inlineStr">
        <is>
          <t>ORIG_BAL x ASSET_CLASS / REV_DEBT</t>
        </is>
      </c>
      <c r="C1164" t="inlineStr">
        <is>
          <t>49,152 - 59,984</t>
        </is>
      </c>
      <c r="D1164" t="inlineStr">
        <is>
          <t>4 / REV_DEBT high half</t>
        </is>
      </c>
      <c r="E1164" t="inlineStr">
        <is>
          <t>outcome_loans</t>
        </is>
      </c>
      <c r="F1164" t="inlineStr">
        <is>
          <t>Outcome, share of loans</t>
        </is>
      </c>
      <c r="G1164" t="n">
        <v>192</v>
      </c>
      <c r="H1164" t="n">
        <v>192</v>
      </c>
      <c r="I1164" t="b">
        <v>0</v>
      </c>
      <c r="J1164" t="b">
        <v>0</v>
      </c>
      <c r="K1164" t="n">
        <v>1.782795812254075</v>
      </c>
      <c r="L1164" t="n">
        <v>0.009270655113071543</v>
      </c>
      <c r="M1164" t="n">
        <v>2.476190476190476</v>
      </c>
      <c r="N1164" t="n">
        <v>0.0001523919735607593</v>
      </c>
      <c r="O1164" t="n">
        <v>11.41616498014602</v>
      </c>
      <c r="P1164" t="n">
        <v>15.5</v>
      </c>
      <c r="Q1164">
        <f>'_live'!$C$20</f>
        <v/>
      </c>
      <c r="R1164" t="inlineStr">
        <is>
          <t>z test</t>
        </is>
      </c>
      <c r="S1164" t="inlineStr">
        <is>
          <t>z test</t>
        </is>
      </c>
      <c r="T1164" t="n">
        <v>0.07595747406173946</v>
      </c>
      <c r="U1164" t="n">
        <v>0.0546875</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0.1354166666666667</v>
      </c>
      <c r="AI1164">
        <f>IF($Y1164="worse","Yes",IF($Y1164="worse, not significant","Not sure",IF(OR($Y1164="too few losses to test",$Y1164="too few loans to test"),"Too few losses",IF($Y1164="","","No"))))</f>
        <v/>
      </c>
      <c r="AJ1164">
        <f>IF($AA1164="yes","Yes",IF($AA1164="","","No"))</f>
        <v/>
      </c>
    </row>
    <row r="1165">
      <c r="A1165" t="inlineStr">
        <is>
          <t>three-way</t>
        </is>
      </c>
      <c r="B1165" t="inlineStr">
        <is>
          <t>ORIG_BAL x ASSET_CLASS / REV_DEBT</t>
        </is>
      </c>
      <c r="C1165" t="inlineStr">
        <is>
          <t>49,152 - 59,984</t>
        </is>
      </c>
      <c r="D1165" t="inlineStr">
        <is>
          <t>4 / REV_DEBT high half</t>
        </is>
      </c>
      <c r="E1165" t="inlineStr">
        <is>
          <t>outcome_booked</t>
        </is>
      </c>
      <c r="F1165" t="inlineStr">
        <is>
          <t>Outcome, share of booked dollars</t>
        </is>
      </c>
      <c r="G1165" t="n">
        <v>192</v>
      </c>
      <c r="H1165" t="n">
        <v>10568346.19</v>
      </c>
      <c r="I1165" t="b">
        <v>0</v>
      </c>
      <c r="J1165" t="b">
        <v>0</v>
      </c>
      <c r="K1165" t="n">
        <v>1.888201411247556</v>
      </c>
      <c r="L1165" t="n">
        <v>0.0131986801319868</v>
      </c>
      <c r="M1165" t="n">
        <v>2.484039680923474</v>
      </c>
      <c r="N1165" t="n">
        <v>0.0007999200079992001</v>
      </c>
      <c r="O1165" t="n">
        <v>677749.5488053722</v>
      </c>
      <c r="P1165" t="n">
        <v>860781.8090873229</v>
      </c>
      <c r="Q1165">
        <f>'_live'!$C$21</f>
        <v/>
      </c>
      <c r="R1165" t="inlineStr">
        <is>
          <t>shuffled: 32 of 10,000</t>
        </is>
      </c>
      <c r="S1165" t="inlineStr">
        <is>
          <t>shuffled: 0 of 10,000</t>
        </is>
      </c>
      <c r="T1165" t="n">
        <v>0.07220225260189247</v>
      </c>
      <c r="U1165" t="n">
        <v>0.05488334035286529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0.1363323952581459</v>
      </c>
      <c r="AI1165">
        <f>IF($Y1165="worse","Yes",IF($Y1165="worse, not significant","Not sure",IF(OR($Y1165="too few losses to test",$Y1165="too few loans to test"),"Too few losses",IF($Y1165="","","No"))))</f>
        <v/>
      </c>
      <c r="AJ1165">
        <f>IF($AA1165="yes","Yes",IF($AA1165="","","No"))</f>
        <v/>
      </c>
    </row>
    <row r="1166">
      <c r="A1166" t="inlineStr">
        <is>
          <t>three-way</t>
        </is>
      </c>
      <c r="B1166" t="inlineStr">
        <is>
          <t>ORIG_BAL x ASSET_CLASS / REV_DEBT</t>
        </is>
      </c>
      <c r="C1166" t="inlineStr">
        <is>
          <t>49,152 - 59,984</t>
        </is>
      </c>
      <c r="D1166" t="inlineStr">
        <is>
          <t>4 / REV_DEBT high half</t>
        </is>
      </c>
      <c r="E1166" t="inlineStr">
        <is>
          <t>gco_rate</t>
        </is>
      </c>
      <c r="F1166" t="inlineStr">
        <is>
          <t>GCO per booked dollar</t>
        </is>
      </c>
      <c r="G1166" t="n">
        <v>192</v>
      </c>
      <c r="H1166" t="n">
        <v>10568346.19</v>
      </c>
      <c r="I1166" t="b">
        <v>0</v>
      </c>
      <c r="J1166" t="b">
        <v>0</v>
      </c>
      <c r="K1166" t="n">
        <v>1.84987692737716</v>
      </c>
      <c r="L1166" t="n">
        <v>0.02125501735540732</v>
      </c>
      <c r="M1166" t="n">
        <v>2.461927311814757</v>
      </c>
      <c r="N1166" t="n">
        <v>0.0007999200079992001</v>
      </c>
      <c r="O1166" t="n">
        <v>361119.5948351523</v>
      </c>
      <c r="P1166" t="n">
        <v>466754.3826165569</v>
      </c>
      <c r="Q1166">
        <f>'_live'!$C$22</f>
        <v/>
      </c>
      <c r="R1166" t="inlineStr">
        <is>
          <t>shuffled: 57 of 10,000</t>
        </is>
      </c>
      <c r="S1166" t="inlineStr">
        <is>
          <t>shuffled: 0 of 10,000</t>
        </is>
      </c>
      <c r="T1166" t="n">
        <v>0.04020573299982406</v>
      </c>
      <c r="U1166" t="n">
        <v>0.03021033865124012</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0.07437565782466105</v>
      </c>
      <c r="AI1166">
        <f>IF($Y1166="worse","Yes",IF($Y1166="worse, not significant","Not sure",IF(OR($Y1166="too few losses to test",$Y1166="too few loans to test"),"Too few losses",IF($Y1166="","","No"))))</f>
        <v/>
      </c>
      <c r="AJ1166">
        <f>IF($AA1166="yes","Yes",IF($AA1166="","","No"))</f>
        <v/>
      </c>
    </row>
    <row r="1167">
      <c r="A1167" t="inlineStr">
        <is>
          <t>three-way</t>
        </is>
      </c>
      <c r="B1167" t="inlineStr">
        <is>
          <t>ORIG_BAL x ASSET_CLASS / REV_DEBT</t>
        </is>
      </c>
      <c r="C1167" t="inlineStr">
        <is>
          <t>49,152 - 59,984</t>
        </is>
      </c>
      <c r="D1167" t="inlineStr">
        <is>
          <t>4 / REV_DEBT high half</t>
        </is>
      </c>
      <c r="E1167" t="inlineStr">
        <is>
          <t>ranr_rate</t>
        </is>
      </c>
      <c r="F1167" t="inlineStr">
        <is>
          <t>Profit after losses: RANR per booked dollar</t>
        </is>
      </c>
      <c r="G1167" t="n">
        <v>192</v>
      </c>
      <c r="H1167" t="n">
        <v>10568346.19</v>
      </c>
      <c r="I1167" t="b">
        <v>0</v>
      </c>
      <c r="J1167" t="b">
        <v>0</v>
      </c>
      <c r="K1167" t="n">
        <v>0.004147527147558838</v>
      </c>
      <c r="L1167" t="n">
        <v>0.9556822095568221</v>
      </c>
      <c r="M1167" t="n">
        <v>0.00175647770329862</v>
      </c>
      <c r="N1167" t="n">
        <v>0.9186773630329274</v>
      </c>
      <c r="O1167" t="n">
        <v>-43832.50272782519</v>
      </c>
      <c r="P1167" t="n">
        <v>-18563.06444347603</v>
      </c>
      <c r="Q1167">
        <f>'_live'!$C$23</f>
        <v/>
      </c>
      <c r="R1167" t="inlineStr">
        <is>
          <t>shuffled: 7,822 of 10,000</t>
        </is>
      </c>
      <c r="S1167" t="inlineStr">
        <is>
          <t>shuffled: 8,957 of 10,000</t>
        </is>
      </c>
      <c r="T1167" t="n">
        <v>0.1278202012865908</v>
      </c>
      <c r="U1167" t="n">
        <v>0.130211250730851</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0.1319677284341497</v>
      </c>
      <c r="AI1167">
        <f>IF($Y1167="worse","Yes",IF($Y1167="worse, not significant","Not sure",IF(OR($Y1167="too few losses to test",$Y1167="too few loans to test"),"Too few losses",IF($Y1167="","","No"))))</f>
        <v/>
      </c>
      <c r="AJ1167">
        <f>IF($AA1167="yes","Yes",IF($AA1167="","","No"))</f>
        <v/>
      </c>
    </row>
    <row r="1168">
      <c r="A1168" t="inlineStr">
        <is>
          <t>three-way</t>
        </is>
      </c>
      <c r="B1168" t="inlineStr">
        <is>
          <t>ORIG_BAL x ASSET_CLASS / REV_DEBT</t>
        </is>
      </c>
      <c r="C1168" t="inlineStr">
        <is>
          <t>49,152 - 59,984</t>
        </is>
      </c>
      <c r="D1168" t="inlineStr">
        <is>
          <t>4 / REV_DEBT high half</t>
        </is>
      </c>
      <c r="E1168" t="inlineStr">
        <is>
          <t>contribution_rate</t>
        </is>
      </c>
      <c r="F1168" t="inlineStr">
        <is>
          <t>Contribution before losses per booked dollar</t>
        </is>
      </c>
      <c r="G1168" t="n">
        <v>192</v>
      </c>
      <c r="H1168" t="n">
        <v>10568346.19</v>
      </c>
      <c r="I1168" t="b">
        <v>0</v>
      </c>
      <c r="J1168" t="b">
        <v>0</v>
      </c>
      <c r="K1168" t="n">
        <v>0.03832046056739999</v>
      </c>
      <c r="L1168" t="n">
        <v>0.0005332800053328001</v>
      </c>
      <c r="M1168" t="n">
        <v>0.04592179687671966</v>
      </c>
      <c r="N1168" t="n">
        <v>0.000222200002222</v>
      </c>
      <c r="O1168" t="n">
        <v>-404983.8934365269</v>
      </c>
      <c r="P1168" t="n">
        <v>-485317.4470600339</v>
      </c>
      <c r="Q1168">
        <f>'_live'!$C$24</f>
        <v/>
      </c>
      <c r="R1168" t="inlineStr">
        <is>
          <t>shuffled: 1 of 10,000</t>
        </is>
      </c>
      <c r="S1168" t="inlineStr">
        <is>
          <t>shuffled: 0 of 10,000</t>
        </is>
      </c>
      <c r="T1168" t="n">
        <v>0.1680229256914108</v>
      </c>
      <c r="U1168" t="n">
        <v>0.1604215893820912</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0.2063433862588108</v>
      </c>
      <c r="AI1168">
        <f>IF($Y1168="worse","Yes",IF($Y1168="worse, not significant","Not sure",IF(OR($Y1168="too few losses to test",$Y1168="too few loans to test"),"Too few losses",IF($Y1168="","","No"))))</f>
        <v/>
      </c>
      <c r="AJ1168">
        <f>IF($AA1168="yes","Yes",IF($AA1168="","","No"))</f>
        <v/>
      </c>
    </row>
    <row r="1169">
      <c r="A1169" t="inlineStr">
        <is>
          <t>three-way</t>
        </is>
      </c>
      <c r="B1169" t="inlineStr">
        <is>
          <t>ORIG_BAL x ASSET_CLASS / REV_DEBT</t>
        </is>
      </c>
      <c r="C1169" t="inlineStr">
        <is>
          <t>15,449 - 26,323</t>
        </is>
      </c>
      <c r="D1169" t="inlineStr">
        <is>
          <t>3 / REV_DEBT low half</t>
        </is>
      </c>
      <c r="E1169" t="inlineStr">
        <is>
          <t>outcome_loans</t>
        </is>
      </c>
      <c r="F1169" t="inlineStr">
        <is>
          <t>Outcome, share of loans</t>
        </is>
      </c>
      <c r="G1169" t="n">
        <v>214</v>
      </c>
      <c r="H1169" t="n">
        <v>214</v>
      </c>
      <c r="I1169" t="b">
        <v>0</v>
      </c>
      <c r="J1169" t="b">
        <v>0</v>
      </c>
      <c r="K1169" t="n">
        <v>1.027299965845934</v>
      </c>
      <c r="L1169" t="n">
        <v>0.9253161866229574</v>
      </c>
      <c r="M1169" t="n">
        <v>0.8341121495327103</v>
      </c>
      <c r="N1169" t="n">
        <v>0.612241157421159</v>
      </c>
      <c r="O1169" t="n">
        <v>0.4517662170841383</v>
      </c>
      <c r="P1169" t="n">
        <v>-3.38095238095238</v>
      </c>
      <c r="Q1169">
        <f>'_live'!$C$20</f>
        <v/>
      </c>
      <c r="R1169" t="inlineStr">
        <is>
          <t>z test</t>
        </is>
      </c>
      <c r="S1169" t="inlineStr">
        <is>
          <t>z test</t>
        </is>
      </c>
      <c r="T1169" t="n">
        <v>0.07732819524727039</v>
      </c>
      <c r="U1169" t="n">
        <v>0.09523809523809523</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0.07943925233644859</v>
      </c>
      <c r="AI1169">
        <f>IF($Y1169="worse","Yes",IF($Y1169="worse, not significant","Not sure",IF(OR($Y1169="too few losses to test",$Y1169="too few loans to test"),"Too few losses",IF($Y1169="","","No"))))</f>
        <v/>
      </c>
      <c r="AJ1169">
        <f>IF($AA1169="yes","Yes",IF($AA1169="","","No"))</f>
        <v/>
      </c>
    </row>
    <row r="1170">
      <c r="A1170" t="inlineStr">
        <is>
          <t>three-way</t>
        </is>
      </c>
      <c r="B1170" t="inlineStr">
        <is>
          <t>ORIG_BAL x ASSET_CLASS / REV_DEBT</t>
        </is>
      </c>
      <c r="C1170" t="inlineStr">
        <is>
          <t>15,449 - 26,323</t>
        </is>
      </c>
      <c r="D1170" t="inlineStr">
        <is>
          <t>3 / REV_DEBT low half</t>
        </is>
      </c>
      <c r="E1170" t="inlineStr">
        <is>
          <t>outcome_booked</t>
        </is>
      </c>
      <c r="F1170" t="inlineStr">
        <is>
          <t>Outcome, share of booked dollars</t>
        </is>
      </c>
      <c r="G1170" t="n">
        <v>214</v>
      </c>
      <c r="H1170" t="n">
        <v>4396659.790000003</v>
      </c>
      <c r="I1170" t="b">
        <v>0</v>
      </c>
      <c r="J1170" t="b">
        <v>0</v>
      </c>
      <c r="K1170" t="n">
        <v>1.097329003909974</v>
      </c>
      <c r="L1170" t="n">
        <v>0.8018470880184708</v>
      </c>
      <c r="M1170" t="n">
        <v>0.857780628275242</v>
      </c>
      <c r="N1170" t="n">
        <v>0.645055494450555</v>
      </c>
      <c r="O1170" t="n">
        <v>31967.94182622543</v>
      </c>
      <c r="P1170" t="n">
        <v>-59757.41157515947</v>
      </c>
      <c r="Q1170">
        <f>'_live'!$C$21</f>
        <v/>
      </c>
      <c r="R1170" t="inlineStr">
        <is>
          <t>shuffled: 7,230 of 10,000</t>
        </is>
      </c>
      <c r="S1170" t="inlineStr">
        <is>
          <t>shuffled: 5,375 of 10,000</t>
        </is>
      </c>
      <c r="T1170" t="n">
        <v>0.07470497692835461</v>
      </c>
      <c r="U1170" t="n">
        <v>0.09556748569239633</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0.08197593791990893</v>
      </c>
      <c r="AI1170">
        <f>IF($Y1170="worse","Yes",IF($Y1170="worse, not significant","Not sure",IF(OR($Y1170="too few losses to test",$Y1170="too few loans to test"),"Too few losses",IF($Y1170="","","No"))))</f>
        <v/>
      </c>
      <c r="AJ1170">
        <f>IF($AA1170="yes","Yes",IF($AA1170="","","No"))</f>
        <v/>
      </c>
    </row>
    <row r="1171">
      <c r="A1171" t="inlineStr">
        <is>
          <t>three-way</t>
        </is>
      </c>
      <c r="B1171" t="inlineStr">
        <is>
          <t>ORIG_BAL x ASSET_CLASS / REV_DEBT</t>
        </is>
      </c>
      <c r="C1171" t="inlineStr">
        <is>
          <t>15,449 - 26,323</t>
        </is>
      </c>
      <c r="D1171" t="inlineStr">
        <is>
          <t>3 / REV_DEBT low half</t>
        </is>
      </c>
      <c r="E1171" t="inlineStr">
        <is>
          <t>gco_rate</t>
        </is>
      </c>
      <c r="F1171" t="inlineStr">
        <is>
          <t>GCO per booked dollar</t>
        </is>
      </c>
      <c r="G1171" t="n">
        <v>214</v>
      </c>
      <c r="H1171" t="n">
        <v>4396659.790000003</v>
      </c>
      <c r="I1171" t="b">
        <v>0</v>
      </c>
      <c r="J1171" t="b">
        <v>0</v>
      </c>
      <c r="K1171" t="n">
        <v>1.04890611230293</v>
      </c>
      <c r="L1171" t="n">
        <v>0.8995969968220568</v>
      </c>
      <c r="M1171" t="n">
        <v>0.7984798042217086</v>
      </c>
      <c r="N1171" t="n">
        <v>0.5540622408347401</v>
      </c>
      <c r="O1171" t="n">
        <v>8938.662457949889</v>
      </c>
      <c r="P1171" t="n">
        <v>-48383.87566535972</v>
      </c>
      <c r="Q1171">
        <f>'_live'!$C$22</f>
        <v/>
      </c>
      <c r="R1171" t="inlineStr">
        <is>
          <t>shuffled: 8,621 of 10,000</t>
        </is>
      </c>
      <c r="S1171" t="inlineStr">
        <is>
          <t>shuffled: 3,924 of 10,000</t>
        </is>
      </c>
      <c r="T1171" t="n">
        <v>0.0415706232166874</v>
      </c>
      <c r="U1171" t="n">
        <v>0.0546083702476692</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0.04360368078422548</v>
      </c>
      <c r="AI1171">
        <f>IF($Y1171="worse","Yes",IF($Y1171="worse, not significant","Not sure",IF(OR($Y1171="too few losses to test",$Y1171="too few loans to test"),"Too few losses",IF($Y1171="","","No"))))</f>
        <v/>
      </c>
      <c r="AJ1171">
        <f>IF($AA1171="yes","Yes",IF($AA1171="","","No"))</f>
        <v/>
      </c>
    </row>
    <row r="1172">
      <c r="A1172" t="inlineStr">
        <is>
          <t>three-way</t>
        </is>
      </c>
      <c r="B1172" t="inlineStr">
        <is>
          <t>ORIG_BAL x ASSET_CLASS / REV_DEBT</t>
        </is>
      </c>
      <c r="C1172" t="inlineStr">
        <is>
          <t>15,449 - 26,323</t>
        </is>
      </c>
      <c r="D1172" t="inlineStr">
        <is>
          <t>3 / REV_DEBT low half</t>
        </is>
      </c>
      <c r="E1172" t="inlineStr">
        <is>
          <t>ranr_rate</t>
        </is>
      </c>
      <c r="F1172" t="inlineStr">
        <is>
          <t>Profit after losses: RANR per booked dollar</t>
        </is>
      </c>
      <c r="G1172" t="n">
        <v>214</v>
      </c>
      <c r="H1172" t="n">
        <v>4396659.790000003</v>
      </c>
      <c r="I1172" t="b">
        <v>0</v>
      </c>
      <c r="J1172" t="b">
        <v>0</v>
      </c>
      <c r="K1172" t="n">
        <v>-0.03324608216709617</v>
      </c>
      <c r="L1172" t="n">
        <v>0.191980801919808</v>
      </c>
      <c r="M1172" t="n">
        <v>-0.02734832790296252</v>
      </c>
      <c r="N1172" t="n">
        <v>0.277972202779722</v>
      </c>
      <c r="O1172" t="n">
        <v>146171.712639108</v>
      </c>
      <c r="P1172" t="n">
        <v>120241.2936146904</v>
      </c>
      <c r="Q1172">
        <f>'_live'!$C$23</f>
        <v/>
      </c>
      <c r="R1172" t="inlineStr">
        <is>
          <t>shuffled: 178 of 10,000</t>
        </is>
      </c>
      <c r="S1172" t="inlineStr">
        <is>
          <t>shuffled: 683 of 10,000</t>
        </is>
      </c>
      <c r="T1172" t="n">
        <v>0.128556456409175</v>
      </c>
      <c r="U1172" t="n">
        <v>0.1226587021450414</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0.09531037424207887</v>
      </c>
      <c r="AI1172">
        <f>IF($Y1172="worse","Yes",IF($Y1172="worse, not significant","Not sure",IF(OR($Y1172="too few losses to test",$Y1172="too few loans to test"),"Too few losses",IF($Y1172="","","No"))))</f>
        <v/>
      </c>
      <c r="AJ1172">
        <f>IF($AA1172="yes","Yes",IF($AA1172="","","No"))</f>
        <v/>
      </c>
    </row>
    <row r="1173">
      <c r="A1173" t="inlineStr">
        <is>
          <t>three-way</t>
        </is>
      </c>
      <c r="B1173" t="inlineStr">
        <is>
          <t>ORIG_BAL x ASSET_CLASS / REV_DEBT</t>
        </is>
      </c>
      <c r="C1173" t="inlineStr">
        <is>
          <t>15,449 - 26,323</t>
        </is>
      </c>
      <c r="D1173" t="inlineStr">
        <is>
          <t>3 / REV_DEBT low half</t>
        </is>
      </c>
      <c r="E1173" t="inlineStr">
        <is>
          <t>contribution_rate</t>
        </is>
      </c>
      <c r="F1173" t="inlineStr">
        <is>
          <t>Contribution before losses per booked dollar</t>
        </is>
      </c>
      <c r="G1173" t="n">
        <v>214</v>
      </c>
      <c r="H1173" t="n">
        <v>4396659.790000003</v>
      </c>
      <c r="I1173" t="b">
        <v>0</v>
      </c>
      <c r="J1173" t="b">
        <v>0</v>
      </c>
      <c r="K1173" t="n">
        <v>-0.03121020441118474</v>
      </c>
      <c r="L1173" t="n">
        <v>0.002181600021816</v>
      </c>
      <c r="M1173" t="n">
        <v>-0.03835301736640623</v>
      </c>
      <c r="N1173" t="n">
        <v>0.000222200002222</v>
      </c>
      <c r="O1173" t="n">
        <v>137220.6507723366</v>
      </c>
      <c r="P1173" t="n">
        <v>168625.16928005</v>
      </c>
      <c r="Q1173">
        <f>'_live'!$C$24</f>
        <v/>
      </c>
      <c r="R1173" t="inlineStr">
        <is>
          <t>shuffled: 11 of 10,000</t>
        </is>
      </c>
      <c r="S1173" t="inlineStr">
        <is>
          <t>shuffled: 0 of 10,000</t>
        </is>
      </c>
      <c r="T1173" t="n">
        <v>0.1701242594374891</v>
      </c>
      <c r="U1173" t="n">
        <v>0.1772670723927106</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0.1389140550263044</v>
      </c>
      <c r="AI1173">
        <f>IF($Y1173="worse","Yes",IF($Y1173="worse, not significant","Not sure",IF(OR($Y1173="too few losses to test",$Y1173="too few loans to test"),"Too few losses",IF($Y1173="","","No"))))</f>
        <v/>
      </c>
      <c r="AJ1173">
        <f>IF($AA1173="yes","Yes",IF($AA1173="","","No"))</f>
        <v/>
      </c>
    </row>
    <row r="1174">
      <c r="A1174" t="inlineStr">
        <is>
          <t>three-way</t>
        </is>
      </c>
      <c r="B1174" t="inlineStr">
        <is>
          <t>ORIG_BAL x ASSET_CLASS / REV_DEBT</t>
        </is>
      </c>
      <c r="C1174" t="inlineStr">
        <is>
          <t>26,324 - 37,950</t>
        </is>
      </c>
      <c r="D1174" t="inlineStr">
        <is>
          <t>2 / REV_DEBT low half</t>
        </is>
      </c>
      <c r="E1174" t="inlineStr">
        <is>
          <t>outcome_loans</t>
        </is>
      </c>
      <c r="F1174" t="inlineStr">
        <is>
          <t>Outcome, share of loans</t>
        </is>
      </c>
      <c r="G1174" t="n">
        <v>216</v>
      </c>
      <c r="H1174" t="n">
        <v>216</v>
      </c>
      <c r="I1174" t="b">
        <v>1</v>
      </c>
      <c r="J1174" t="b">
        <v>0</v>
      </c>
      <c r="K1174" t="n">
        <v>0.3526826173645097</v>
      </c>
      <c r="M1174" t="n">
        <v>0.3691239316239316</v>
      </c>
      <c r="O1174" t="n">
        <v>-11.01246306051651</v>
      </c>
      <c r="P1174" t="n">
        <v>-10.25470332850941</v>
      </c>
      <c r="Q1174">
        <f>'_live'!$C$20</f>
        <v/>
      </c>
      <c r="T1174" t="n">
        <v>0.07876140305794681</v>
      </c>
      <c r="U1174" t="n">
        <v>0.07525325615050651</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0.02777777777777778</v>
      </c>
      <c r="AI1174">
        <f>IF($Y1174="worse","Yes",IF($Y1174="worse, not significant","Not sure",IF(OR($Y1174="too few losses to test",$Y1174="too few loans to test"),"Too few losses",IF($Y1174="","","No"))))</f>
        <v/>
      </c>
      <c r="AJ1174">
        <f>IF($AA1174="yes","Yes",IF($AA1174="","","No"))</f>
        <v/>
      </c>
    </row>
    <row r="1175">
      <c r="A1175" t="inlineStr">
        <is>
          <t>three-way</t>
        </is>
      </c>
      <c r="B1175" t="inlineStr">
        <is>
          <t>ORIG_BAL x ASSET_CLASS / REV_DEBT</t>
        </is>
      </c>
      <c r="C1175" t="inlineStr">
        <is>
          <t>26,324 - 37,950</t>
        </is>
      </c>
      <c r="D1175" t="inlineStr">
        <is>
          <t>2 / REV_DEBT low half</t>
        </is>
      </c>
      <c r="E1175" t="inlineStr">
        <is>
          <t>outcome_booked</t>
        </is>
      </c>
      <c r="F1175" t="inlineStr">
        <is>
          <t>Outcome, share of booked dollars</t>
        </is>
      </c>
      <c r="G1175" t="n">
        <v>216</v>
      </c>
      <c r="H1175" t="n">
        <v>6998768.080000004</v>
      </c>
      <c r="I1175" t="b">
        <v>1</v>
      </c>
      <c r="J1175" t="b">
        <v>0</v>
      </c>
      <c r="K1175" t="n">
        <v>0.356042166951323</v>
      </c>
      <c r="M1175" t="n">
        <v>0.3629466644792532</v>
      </c>
      <c r="O1175" t="n">
        <v>-343242.3393703626</v>
      </c>
      <c r="P1175" t="n">
        <v>-333102.4622542012</v>
      </c>
      <c r="Q1175">
        <f>'_live'!$C$21</f>
        <v/>
      </c>
      <c r="T1175" t="n">
        <v>0.07615910304179736</v>
      </c>
      <c r="U1175" t="n">
        <v>0.07471029419426067</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0.02711585208007063</v>
      </c>
      <c r="AI1175">
        <f>IF($Y1175="worse","Yes",IF($Y1175="worse, not significant","Not sure",IF(OR($Y1175="too few losses to test",$Y1175="too few loans to test"),"Too few losses",IF($Y1175="","","No"))))</f>
        <v/>
      </c>
      <c r="AJ1175">
        <f>IF($AA1175="yes","Yes",IF($AA1175="","","No"))</f>
        <v/>
      </c>
    </row>
    <row r="1176">
      <c r="A1176" t="inlineStr">
        <is>
          <t>three-way</t>
        </is>
      </c>
      <c r="B1176" t="inlineStr">
        <is>
          <t>ORIG_BAL x ASSET_CLASS / REV_DEBT</t>
        </is>
      </c>
      <c r="C1176" t="inlineStr">
        <is>
          <t>26,324 - 37,950</t>
        </is>
      </c>
      <c r="D1176" t="inlineStr">
        <is>
          <t>2 / REV_DEBT low half</t>
        </is>
      </c>
      <c r="E1176" t="inlineStr">
        <is>
          <t>gco_rate</t>
        </is>
      </c>
      <c r="F1176" t="inlineStr">
        <is>
          <t>GCO per booked dollar</t>
        </is>
      </c>
      <c r="G1176" t="n">
        <v>216</v>
      </c>
      <c r="H1176" t="n">
        <v>6998768.080000004</v>
      </c>
      <c r="I1176" t="b">
        <v>1</v>
      </c>
      <c r="J1176" t="b">
        <v>0</v>
      </c>
      <c r="K1176" t="n">
        <v>0.3542935873119267</v>
      </c>
      <c r="M1176" t="n">
        <v>0.3660039633279613</v>
      </c>
      <c r="O1176" t="n">
        <v>-191372.1275593045</v>
      </c>
      <c r="P1176" t="n">
        <v>-181889.5012185079</v>
      </c>
      <c r="Q1176">
        <f>'_live'!$C$22</f>
        <v/>
      </c>
      <c r="T1176" t="n">
        <v>0.04234693508508205</v>
      </c>
      <c r="U1176" t="n">
        <v>0.04099203573245246</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0.01500324754295901</v>
      </c>
      <c r="AI1176">
        <f>IF($Y1176="worse","Yes",IF($Y1176="worse, not significant","Not sure",IF(OR($Y1176="too few losses to test",$Y1176="too few loans to test"),"Too few losses",IF($Y1176="","","No"))))</f>
        <v/>
      </c>
      <c r="AJ1176">
        <f>IF($AA1176="yes","Yes",IF($AA1176="","","No"))</f>
        <v/>
      </c>
    </row>
    <row r="1177">
      <c r="A1177" t="inlineStr">
        <is>
          <t>three-way</t>
        </is>
      </c>
      <c r="B1177" t="inlineStr">
        <is>
          <t>ORIG_BAL x ASSET_CLASS / REV_DEBT</t>
        </is>
      </c>
      <c r="C1177" t="inlineStr">
        <is>
          <t>26,324 - 37,950</t>
        </is>
      </c>
      <c r="D1177" t="inlineStr">
        <is>
          <t>2 / REV_DEBT low half</t>
        </is>
      </c>
      <c r="E1177" t="inlineStr">
        <is>
          <t>ranr_rate</t>
        </is>
      </c>
      <c r="F1177" t="inlineStr">
        <is>
          <t>Profit after losses: RANR per booked dollar</t>
        </is>
      </c>
      <c r="G1177" t="n">
        <v>216</v>
      </c>
      <c r="H1177" t="n">
        <v>6998768.080000004</v>
      </c>
      <c r="I1177" t="b">
        <v>0</v>
      </c>
      <c r="J1177" t="b">
        <v>0</v>
      </c>
      <c r="K1177" t="n">
        <v>0.0006811134241342665</v>
      </c>
      <c r="L1177" t="n">
        <v>0.9959004099590041</v>
      </c>
      <c r="M1177" t="n">
        <v>-0.003064303317991429</v>
      </c>
      <c r="N1177" t="n">
        <v>0.8833711223472247</v>
      </c>
      <c r="O1177" t="n">
        <v>-4766.954891690519</v>
      </c>
      <c r="P1177" t="n">
        <v>21446.34824939643</v>
      </c>
      <c r="Q1177">
        <f>'_live'!$C$23</f>
        <v/>
      </c>
      <c r="R1177" t="inlineStr">
        <is>
          <t>shuffled: 9,589 of 10,000</t>
        </is>
      </c>
      <c r="S1177" t="inlineStr">
        <is>
          <t>shuffled: 8,171 of 10,000</t>
        </is>
      </c>
      <c r="T1177" t="n">
        <v>0.1279715779792361</v>
      </c>
      <c r="U1177" t="n">
        <v>0.1317169947213618</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0.1286526914033704</v>
      </c>
      <c r="AI1177">
        <f>IF($Y1177="worse","Yes",IF($Y1177="worse, not significant","Not sure",IF(OR($Y1177="too few losses to test",$Y1177="too few loans to test"),"Too few losses",IF($Y1177="","","No"))))</f>
        <v/>
      </c>
      <c r="AJ1177">
        <f>IF($AA1177="yes","Yes",IF($AA1177="","","No"))</f>
        <v/>
      </c>
    </row>
    <row r="1178">
      <c r="A1178" t="inlineStr">
        <is>
          <t>three-way</t>
        </is>
      </c>
      <c r="B1178" t="inlineStr">
        <is>
          <t>ORIG_BAL x ASSET_CLASS / REV_DEBT</t>
        </is>
      </c>
      <c r="C1178" t="inlineStr">
        <is>
          <t>26,324 - 37,950</t>
        </is>
      </c>
      <c r="D1178" t="inlineStr">
        <is>
          <t>2 / REV_DEBT low half</t>
        </is>
      </c>
      <c r="E1178" t="inlineStr">
        <is>
          <t>contribution_rate</t>
        </is>
      </c>
      <c r="F1178" t="inlineStr">
        <is>
          <t>Contribution before losses per booked dollar</t>
        </is>
      </c>
      <c r="G1178" t="n">
        <v>216</v>
      </c>
      <c r="H1178" t="n">
        <v>6998768.080000004</v>
      </c>
      <c r="I1178" t="b">
        <v>0</v>
      </c>
      <c r="J1178" t="b">
        <v>0</v>
      </c>
      <c r="K1178" t="n">
        <v>-0.02665963223498355</v>
      </c>
      <c r="L1178" t="n">
        <v>0.005418812957413937</v>
      </c>
      <c r="M1178" t="n">
        <v>-0.02905309150748486</v>
      </c>
      <c r="N1178" t="n">
        <v>0.00174982501749825</v>
      </c>
      <c r="O1178" t="n">
        <v>186584.5831107419</v>
      </c>
      <c r="P1178" t="n">
        <v>203335.8494679042</v>
      </c>
      <c r="Q1178">
        <f>'_live'!$C$24</f>
        <v/>
      </c>
      <c r="R1178" t="inlineStr">
        <is>
          <t>shuffled: 41 of 10,000</t>
        </is>
      </c>
      <c r="S1178" t="inlineStr">
        <is>
          <t>shuffled: 13 of 10,000</t>
        </is>
      </c>
      <c r="T1178" t="n">
        <v>0.170315571181313</v>
      </c>
      <c r="U1178" t="n">
        <v>0.1727090304538143</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0.1436559389463294</v>
      </c>
      <c r="AI1178">
        <f>IF($Y1178="worse","Yes",IF($Y1178="worse, not significant","Not sure",IF(OR($Y1178="too few losses to test",$Y1178="too few loans to test"),"Too few losses",IF($Y1178="","","No"))))</f>
        <v/>
      </c>
      <c r="AJ1178">
        <f>IF($AA1178="yes","Yes",IF($AA1178="","","No"))</f>
        <v/>
      </c>
    </row>
    <row r="1179">
      <c r="A1179" t="inlineStr">
        <is>
          <t>three-way</t>
        </is>
      </c>
      <c r="B1179" t="inlineStr">
        <is>
          <t>ORIG_BAL x ASSET_CLASS / REV_DEBT</t>
        </is>
      </c>
      <c r="C1179" t="inlineStr">
        <is>
          <t>5,005 - 15,448</t>
        </is>
      </c>
      <c r="D1179" t="inlineStr">
        <is>
          <t>3 / REV_DEBT low half</t>
        </is>
      </c>
      <c r="E1179" t="inlineStr">
        <is>
          <t>outcome_loans</t>
        </is>
      </c>
      <c r="F1179" t="inlineStr">
        <is>
          <t>Outcome, share of loans</t>
        </is>
      </c>
      <c r="G1179" t="n">
        <v>177</v>
      </c>
      <c r="H1179" t="n">
        <v>177</v>
      </c>
      <c r="I1179" t="b">
        <v>1</v>
      </c>
      <c r="J1179" t="b">
        <v>0</v>
      </c>
      <c r="K1179" t="n">
        <v>0.5054650862228131</v>
      </c>
      <c r="M1179" t="n">
        <v>0.4851451392947594</v>
      </c>
      <c r="O1179" t="n">
        <v>-6.848632063410893</v>
      </c>
      <c r="P1179" t="n">
        <v>-7.428671820098383</v>
      </c>
      <c r="Q1179">
        <f>'_live'!$C$20</f>
        <v/>
      </c>
      <c r="T1179" t="n">
        <v>0.07824085911531578</v>
      </c>
      <c r="U1179" t="n">
        <v>0.08151791988756149</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0.03954802259887006</v>
      </c>
      <c r="AI1179">
        <f>IF($Y1179="worse","Yes",IF($Y1179="worse, not significant","Not sure",IF(OR($Y1179="too few losses to test",$Y1179="too few loans to test"),"Too few losses",IF($Y1179="","","No"))))</f>
        <v/>
      </c>
      <c r="AJ1179">
        <f>IF($AA1179="yes","Yes",IF($AA1179="","","No"))</f>
        <v/>
      </c>
    </row>
    <row r="1180">
      <c r="A1180" t="inlineStr">
        <is>
          <t>three-way</t>
        </is>
      </c>
      <c r="B1180" t="inlineStr">
        <is>
          <t>ORIG_BAL x ASSET_CLASS / REV_DEBT</t>
        </is>
      </c>
      <c r="C1180" t="inlineStr">
        <is>
          <t>5,005 - 15,448</t>
        </is>
      </c>
      <c r="D1180" t="inlineStr">
        <is>
          <t>3 / REV_DEBT low half</t>
        </is>
      </c>
      <c r="E1180" t="inlineStr">
        <is>
          <t>outcome_booked</t>
        </is>
      </c>
      <c r="F1180" t="inlineStr">
        <is>
          <t>Outcome, share of booked dollars</t>
        </is>
      </c>
      <c r="G1180" t="n">
        <v>177</v>
      </c>
      <c r="H1180" t="n">
        <v>1779007.59</v>
      </c>
      <c r="I1180" t="b">
        <v>1</v>
      </c>
      <c r="J1180" t="b">
        <v>0</v>
      </c>
      <c r="K1180" t="n">
        <v>0.5083723710033144</v>
      </c>
      <c r="M1180" t="n">
        <v>0.4760681413632232</v>
      </c>
      <c r="O1180" t="n">
        <v>-65668.60984320113</v>
      </c>
      <c r="P1180" t="n">
        <v>-74732.44107546278</v>
      </c>
      <c r="Q1180">
        <f>'_live'!$C$21</f>
        <v/>
      </c>
      <c r="T1180" t="n">
        <v>0.07508336703791195</v>
      </c>
      <c r="U1180" t="n">
        <v>0.08017824762370059</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0.03817030932397541</v>
      </c>
      <c r="AI1180">
        <f>IF($Y1180="worse","Yes",IF($Y1180="worse, not significant","Not sure",IF(OR($Y1180="too few losses to test",$Y1180="too few loans to test"),"Too few losses",IF($Y1180="","","No"))))</f>
        <v/>
      </c>
      <c r="AJ1180">
        <f>IF($AA1180="yes","Yes",IF($AA1180="","","No"))</f>
        <v/>
      </c>
    </row>
    <row r="1181">
      <c r="A1181" t="inlineStr">
        <is>
          <t>three-way</t>
        </is>
      </c>
      <c r="B1181" t="inlineStr">
        <is>
          <t>ORIG_BAL x ASSET_CLASS / REV_DEBT</t>
        </is>
      </c>
      <c r="C1181" t="inlineStr">
        <is>
          <t>5,005 - 15,448</t>
        </is>
      </c>
      <c r="D1181" t="inlineStr">
        <is>
          <t>3 / REV_DEBT low half</t>
        </is>
      </c>
      <c r="E1181" t="inlineStr">
        <is>
          <t>gco_rate</t>
        </is>
      </c>
      <c r="F1181" t="inlineStr">
        <is>
          <t>GCO per booked dollar</t>
        </is>
      </c>
      <c r="G1181" t="n">
        <v>177</v>
      </c>
      <c r="H1181" t="n">
        <v>1779007.59</v>
      </c>
      <c r="I1181" t="b">
        <v>1</v>
      </c>
      <c r="J1181" t="b">
        <v>0</v>
      </c>
      <c r="K1181" t="n">
        <v>0.6083709694775751</v>
      </c>
      <c r="M1181" t="n">
        <v>0.5852113763883821</v>
      </c>
      <c r="O1181" t="n">
        <v>-29065.32689529391</v>
      </c>
      <c r="P1181" t="n">
        <v>-32002.4253092314</v>
      </c>
      <c r="Q1181">
        <f>'_live'!$C$22</f>
        <v/>
      </c>
      <c r="T1181" t="n">
        <v>0.04171790908171107</v>
      </c>
      <c r="U1181" t="n">
        <v>0.04336888484507895</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0.0253799647926179</v>
      </c>
      <c r="AI1181">
        <f>IF($Y1181="worse","Yes",IF($Y1181="worse, not significant","Not sure",IF(OR($Y1181="too few losses to test",$Y1181="too few loans to test"),"Too few losses",IF($Y1181="","","No"))))</f>
        <v/>
      </c>
      <c r="AJ1181">
        <f>IF($AA1181="yes","Yes",IF($AA1181="","","No"))</f>
        <v/>
      </c>
    </row>
    <row r="1182">
      <c r="A1182" t="inlineStr">
        <is>
          <t>three-way</t>
        </is>
      </c>
      <c r="B1182" t="inlineStr">
        <is>
          <t>ORIG_BAL x ASSET_CLASS / REV_DEBT</t>
        </is>
      </c>
      <c r="C1182" t="inlineStr">
        <is>
          <t>5,005 - 15,448</t>
        </is>
      </c>
      <c r="D1182" t="inlineStr">
        <is>
          <t>3 / REV_DEBT low half</t>
        </is>
      </c>
      <c r="E1182" t="inlineStr">
        <is>
          <t>ranr_rate</t>
        </is>
      </c>
      <c r="F1182" t="inlineStr">
        <is>
          <t>Profit after losses: RANR per booked dollar</t>
        </is>
      </c>
      <c r="G1182" t="n">
        <v>177</v>
      </c>
      <c r="H1182" t="n">
        <v>1779007.59</v>
      </c>
      <c r="I1182" t="b">
        <v>0</v>
      </c>
      <c r="J1182" t="b">
        <v>0</v>
      </c>
      <c r="K1182" t="n">
        <v>0.003971718922533674</v>
      </c>
      <c r="L1182" t="n">
        <v>0.9556822095568221</v>
      </c>
      <c r="M1182" t="n">
        <v>-0.01656038516914116</v>
      </c>
      <c r="N1182" t="n">
        <v>0.479224804792248</v>
      </c>
      <c r="O1182" t="n">
        <v>-7065.718108534027</v>
      </c>
      <c r="P1182" t="n">
        <v>29461.05090922551</v>
      </c>
      <c r="Q1182">
        <f>'_live'!$C$23</f>
        <v/>
      </c>
      <c r="R1182" t="inlineStr">
        <is>
          <t>shuffled: 7,957 of 10,000</t>
        </is>
      </c>
      <c r="S1182" t="inlineStr">
        <is>
          <t>shuffled: 2,635 of 10,000</t>
        </is>
      </c>
      <c r="T1182" t="n">
        <v>0.1279626704074186</v>
      </c>
      <c r="U1182" t="n">
        <v>0.1484947744990935</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0.1319343893299523</v>
      </c>
      <c r="AI1182">
        <f>IF($Y1182="worse","Yes",IF($Y1182="worse, not significant","Not sure",IF(OR($Y1182="too few losses to test",$Y1182="too few loans to test"),"Too few losses",IF($Y1182="","","No"))))</f>
        <v/>
      </c>
      <c r="AJ1182">
        <f>IF($AA1182="yes","Yes",IF($AA1182="","","No"))</f>
        <v/>
      </c>
    </row>
    <row r="1183">
      <c r="A1183" t="inlineStr">
        <is>
          <t>three-way</t>
        </is>
      </c>
      <c r="B1183" t="inlineStr">
        <is>
          <t>ORIG_BAL x ASSET_CLASS / REV_DEBT</t>
        </is>
      </c>
      <c r="C1183" t="inlineStr">
        <is>
          <t>5,005 - 15,448</t>
        </is>
      </c>
      <c r="D1183" t="inlineStr">
        <is>
          <t>3 / REV_DEBT low half</t>
        </is>
      </c>
      <c r="E1183" t="inlineStr">
        <is>
          <t>contribution_rate</t>
        </is>
      </c>
      <c r="F1183" t="inlineStr">
        <is>
          <t>Contribution before losses per booked dollar</t>
        </is>
      </c>
      <c r="G1183" t="n">
        <v>177</v>
      </c>
      <c r="H1183" t="n">
        <v>1779007.59</v>
      </c>
      <c r="I1183" t="b">
        <v>0</v>
      </c>
      <c r="J1183" t="b">
        <v>0</v>
      </c>
      <c r="K1183" t="n">
        <v>-0.01236334202968964</v>
      </c>
      <c r="L1183" t="n">
        <v>0.2397598078030035</v>
      </c>
      <c r="M1183" t="n">
        <v>-0.03454930522160227</v>
      </c>
      <c r="N1183" t="n">
        <v>0.0008275034565508966</v>
      </c>
      <c r="O1183" t="n">
        <v>21994.47930858389</v>
      </c>
      <c r="P1183" t="n">
        <v>61463.47621845704</v>
      </c>
      <c r="Q1183">
        <f>'_live'!$C$24</f>
        <v/>
      </c>
      <c r="R1183" t="inlineStr">
        <is>
          <t>shuffled: 2,217 of 10,000</t>
        </is>
      </c>
      <c r="S1183" t="inlineStr">
        <is>
          <t>shuffled: 5 of 10,000</t>
        </is>
      </c>
      <c r="T1183" t="n">
        <v>0.1696776961522598</v>
      </c>
      <c r="U1183" t="n">
        <v>0.1918636593441724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0.1573143541225701</v>
      </c>
      <c r="AI1183">
        <f>IF($Y1183="worse","Yes",IF($Y1183="worse, not significant","Not sure",IF(OR($Y1183="too few losses to test",$Y1183="too few loans to test"),"Too few losses",IF($Y1183="","","No"))))</f>
        <v/>
      </c>
      <c r="AJ1183">
        <f>IF($AA1183="yes","Yes",IF($AA1183="","","No"))</f>
        <v/>
      </c>
    </row>
    <row r="1184">
      <c r="A1184" t="inlineStr">
        <is>
          <t>three-way</t>
        </is>
      </c>
      <c r="B1184" t="inlineStr">
        <is>
          <t>ORIG_BAL x ASSET_CLASS / REV_DEBT</t>
        </is>
      </c>
      <c r="C1184" t="inlineStr">
        <is>
          <t>26,324 - 37,950</t>
        </is>
      </c>
      <c r="D1184" t="inlineStr">
        <is>
          <t>3 / REV_DEBT high half</t>
        </is>
      </c>
      <c r="E1184" t="inlineStr">
        <is>
          <t>outcome_loans</t>
        </is>
      </c>
      <c r="F1184" t="inlineStr">
        <is>
          <t>Outcome, share of loans</t>
        </is>
      </c>
      <c r="G1184" t="n">
        <v>183</v>
      </c>
      <c r="H1184" t="n">
        <v>183</v>
      </c>
      <c r="I1184" t="b">
        <v>0</v>
      </c>
      <c r="J1184" t="b">
        <v>0</v>
      </c>
      <c r="K1184" t="n">
        <v>1.133277147957843</v>
      </c>
      <c r="L1184" t="n">
        <v>0.8896135182978477</v>
      </c>
      <c r="M1184" t="n">
        <v>1.316126031856761</v>
      </c>
      <c r="N1184" t="n">
        <v>0.4365154774214541</v>
      </c>
      <c r="O1184" t="n">
        <v>1.881653019447286</v>
      </c>
      <c r="P1184" t="n">
        <v>3.843109540636043</v>
      </c>
      <c r="Q1184">
        <f>'_live'!$C$20</f>
        <v/>
      </c>
      <c r="R1184" t="inlineStr">
        <is>
          <t>z test</t>
        </is>
      </c>
      <c r="S1184" t="inlineStr">
        <is>
          <t>z test</t>
        </is>
      </c>
      <c r="T1184" t="n">
        <v>0.07714943705220062</v>
      </c>
      <c r="U1184" t="n">
        <v>0.06643109540636043</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0.08743169398907104</v>
      </c>
      <c r="AI1184">
        <f>IF($Y1184="worse","Yes",IF($Y1184="worse, not significant","Not sure",IF(OR($Y1184="too few losses to test",$Y1184="too few loans to test"),"Too few losses",IF($Y1184="","","No"))))</f>
        <v/>
      </c>
      <c r="AJ1184">
        <f>IF($AA1184="yes","Yes",IF($AA1184="","","No"))</f>
        <v/>
      </c>
    </row>
    <row r="1185">
      <c r="A1185" t="inlineStr">
        <is>
          <t>three-way</t>
        </is>
      </c>
      <c r="B1185" t="inlineStr">
        <is>
          <t>ORIG_BAL x ASSET_CLASS / REV_DEBT</t>
        </is>
      </c>
      <c r="C1185" t="inlineStr">
        <is>
          <t>26,324 - 37,950</t>
        </is>
      </c>
      <c r="D1185" t="inlineStr">
        <is>
          <t>3 / REV_DEBT high half</t>
        </is>
      </c>
      <c r="E1185" t="inlineStr">
        <is>
          <t>outcome_booked</t>
        </is>
      </c>
      <c r="F1185" t="inlineStr">
        <is>
          <t>Outcome, share of booked dollars</t>
        </is>
      </c>
      <c r="G1185" t="n">
        <v>183</v>
      </c>
      <c r="H1185" t="n">
        <v>5805033.150000005</v>
      </c>
      <c r="I1185" t="b">
        <v>0</v>
      </c>
      <c r="J1185" t="b">
        <v>0</v>
      </c>
      <c r="K1185" t="n">
        <v>1.167686620241792</v>
      </c>
      <c r="L1185" t="n">
        <v>0.8018470880184708</v>
      </c>
      <c r="M1185" t="n">
        <v>1.322536282492486</v>
      </c>
      <c r="N1185" t="n">
        <v>0.4579306775204832</v>
      </c>
      <c r="O1185" t="n">
        <v>72566.6369508651</v>
      </c>
      <c r="P1185" t="n">
        <v>123235.5108205083</v>
      </c>
      <c r="Q1185">
        <f>'_live'!$C$21</f>
        <v/>
      </c>
      <c r="R1185" t="inlineStr">
        <is>
          <t>shuffled: 5,703 of 10,000</t>
        </is>
      </c>
      <c r="S1185" t="inlineStr">
        <is>
          <t>shuffled: 2,857 of 10,000</t>
        </is>
      </c>
      <c r="T1185" t="n">
        <v>0.07454763682945281</v>
      </c>
      <c r="U1185" t="n">
        <v>0.06581919849665137</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0.08704827809639631</v>
      </c>
      <c r="AI1185">
        <f>IF($Y1185="worse","Yes",IF($Y1185="worse, not significant","Not sure",IF(OR($Y1185="too few losses to test",$Y1185="too few loans to test"),"Too few losses",IF($Y1185="","","No"))))</f>
        <v/>
      </c>
      <c r="AJ1185">
        <f>IF($AA1185="yes","Yes",IF($AA1185="","","No"))</f>
        <v/>
      </c>
    </row>
    <row r="1186">
      <c r="A1186" t="inlineStr">
        <is>
          <t>three-way</t>
        </is>
      </c>
      <c r="B1186" t="inlineStr">
        <is>
          <t>ORIG_BAL x ASSET_CLASS / REV_DEBT</t>
        </is>
      </c>
      <c r="C1186" t="inlineStr">
        <is>
          <t>26,324 - 37,950</t>
        </is>
      </c>
      <c r="D1186" t="inlineStr">
        <is>
          <t>3 / REV_DEBT high half</t>
        </is>
      </c>
      <c r="E1186" t="inlineStr">
        <is>
          <t>gco_rate</t>
        </is>
      </c>
      <c r="F1186" t="inlineStr">
        <is>
          <t>GCO per booked dollar</t>
        </is>
      </c>
      <c r="G1186" t="n">
        <v>183</v>
      </c>
      <c r="H1186" t="n">
        <v>5805033.150000005</v>
      </c>
      <c r="I1186" t="b">
        <v>0</v>
      </c>
      <c r="J1186" t="b">
        <v>0</v>
      </c>
      <c r="K1186" t="n">
        <v>1.251456530115909</v>
      </c>
      <c r="L1186" t="n">
        <v>0.8043430951022545</v>
      </c>
      <c r="M1186" t="n">
        <v>1.45328953865386</v>
      </c>
      <c r="N1186" t="n">
        <v>0.3172046431720464</v>
      </c>
      <c r="O1186" t="n">
        <v>60390.12974485019</v>
      </c>
      <c r="P1186" t="n">
        <v>93743.75852560354</v>
      </c>
      <c r="Q1186">
        <f>'_live'!$C$22</f>
        <v/>
      </c>
      <c r="R1186" t="inlineStr">
        <is>
          <t>shuffled: 4,061 of 10,000</t>
        </is>
      </c>
      <c r="S1186" t="inlineStr">
        <is>
          <t>shuffled: 1,453 of 10,000</t>
        </is>
      </c>
      <c r="T1186" t="n">
        <v>0.04137122115403417</v>
      </c>
      <c r="U1186" t="n">
        <v>0.03562558147913355</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0.05177428487208548</v>
      </c>
      <c r="AI1186">
        <f>IF($Y1186="worse","Yes",IF($Y1186="worse, not significant","Not sure",IF(OR($Y1186="too few losses to test",$Y1186="too few loans to test"),"Too few losses",IF($Y1186="","","No"))))</f>
        <v/>
      </c>
      <c r="AJ1186">
        <f>IF($AA1186="yes","Yes",IF($AA1186="","","No"))</f>
        <v/>
      </c>
    </row>
    <row r="1187">
      <c r="A1187" t="inlineStr">
        <is>
          <t>three-way</t>
        </is>
      </c>
      <c r="B1187" t="inlineStr">
        <is>
          <t>ORIG_BAL x ASSET_CLASS / REV_DEBT</t>
        </is>
      </c>
      <c r="C1187" t="inlineStr">
        <is>
          <t>26,324 - 37,950</t>
        </is>
      </c>
      <c r="D1187" t="inlineStr">
        <is>
          <t>3 / REV_DEBT high half</t>
        </is>
      </c>
      <c r="E1187" t="inlineStr">
        <is>
          <t>ranr_rate</t>
        </is>
      </c>
      <c r="F1187" t="inlineStr">
        <is>
          <t>Profit after losses: RANR per booked dollar</t>
        </is>
      </c>
      <c r="G1187" t="n">
        <v>183</v>
      </c>
      <c r="H1187" t="n">
        <v>5805033.150000005</v>
      </c>
      <c r="I1187" t="b">
        <v>0</v>
      </c>
      <c r="J1187" t="b">
        <v>0</v>
      </c>
      <c r="K1187" t="n">
        <v>0.01478076690281657</v>
      </c>
      <c r="L1187" t="n">
        <v>0.5594440555944405</v>
      </c>
      <c r="M1187" t="n">
        <v>0.01255824095524047</v>
      </c>
      <c r="N1187" t="n">
        <v>0.6031704521855507</v>
      </c>
      <c r="O1187" t="n">
        <v>-85802.8418532731</v>
      </c>
      <c r="P1187" t="n">
        <v>-72901.0050508586</v>
      </c>
      <c r="Q1187">
        <f>'_live'!$C$23</f>
        <v/>
      </c>
      <c r="R1187" t="inlineStr">
        <is>
          <t>shuffled: 3,257 of 10,000</t>
        </is>
      </c>
      <c r="S1187" t="inlineStr">
        <is>
          <t>shuffled: 3,672 of 10,000</t>
        </is>
      </c>
      <c r="T1187" t="n">
        <v>0.1276575686991083</v>
      </c>
      <c r="U1187" t="n">
        <v>0.1298800946466844</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0.1424383356019249</v>
      </c>
      <c r="AI1187">
        <f>IF($Y1187="worse","Yes",IF($Y1187="worse, not significant","Not sure",IF(OR($Y1187="too few losses to test",$Y1187="too few loans to test"),"Too few losses",IF($Y1187="","","No"))))</f>
        <v/>
      </c>
      <c r="AJ1187">
        <f>IF($AA1187="yes","Yes",IF($AA1187="","","No"))</f>
        <v/>
      </c>
    </row>
    <row r="1188">
      <c r="A1188" t="inlineStr">
        <is>
          <t>three-way</t>
        </is>
      </c>
      <c r="B1188" t="inlineStr">
        <is>
          <t>ORIG_BAL x ASSET_CLASS / REV_DEBT</t>
        </is>
      </c>
      <c r="C1188" t="inlineStr">
        <is>
          <t>26,324 - 37,950</t>
        </is>
      </c>
      <c r="D1188" t="inlineStr">
        <is>
          <t>3 / REV_DEBT high half</t>
        </is>
      </c>
      <c r="E1188" t="inlineStr">
        <is>
          <t>contribution_rate</t>
        </is>
      </c>
      <c r="F1188" t="inlineStr">
        <is>
          <t>Contribution before losses per booked dollar</t>
        </is>
      </c>
      <c r="G1188" t="n">
        <v>183</v>
      </c>
      <c r="H1188" t="n">
        <v>5805033.150000005</v>
      </c>
      <c r="I1188" t="b">
        <v>0</v>
      </c>
      <c r="J1188" t="b">
        <v>0</v>
      </c>
      <c r="K1188" t="n">
        <v>0.02518680798606521</v>
      </c>
      <c r="L1188" t="n">
        <v>0.013057517777634</v>
      </c>
      <c r="M1188" t="n">
        <v>0.02870694434819235</v>
      </c>
      <c r="N1188" t="n">
        <v>0.0023997600239976</v>
      </c>
      <c r="O1188" t="n">
        <v>-146210.2553017935</v>
      </c>
      <c r="P1188" t="n">
        <v>-166644.7635764619</v>
      </c>
      <c r="Q1188">
        <f>'_live'!$C$24</f>
        <v/>
      </c>
      <c r="R1188" t="inlineStr">
        <is>
          <t>shuffled: 110 of 10,000</t>
        </is>
      </c>
      <c r="S1188" t="inlineStr">
        <is>
          <t>shuffled: 20 of 10,000</t>
        </is>
      </c>
      <c r="T1188" t="n">
        <v>0.1690258124879451</v>
      </c>
      <c r="U1188" t="n">
        <v>0.165505676125818</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0.1942126204740103</v>
      </c>
      <c r="AI1188">
        <f>IF($Y1188="worse","Yes",IF($Y1188="worse, not significant","Not sure",IF(OR($Y1188="too few losses to test",$Y1188="too few loans to test"),"Too few losses",IF($Y1188="","","No"))))</f>
        <v/>
      </c>
      <c r="AJ1188">
        <f>IF($AA1188="yes","Yes",IF($AA1188="","","No"))</f>
        <v/>
      </c>
    </row>
    <row r="1189">
      <c r="A1189" t="inlineStr">
        <is>
          <t>three-way</t>
        </is>
      </c>
      <c r="B1189" t="inlineStr">
        <is>
          <t>ORIG_BAL x ASSET_CLASS / REV_DEBT</t>
        </is>
      </c>
      <c r="C1189" t="inlineStr">
        <is>
          <t>26,324 - 37,950</t>
        </is>
      </c>
      <c r="D1189" t="inlineStr">
        <is>
          <t>4 / REV_DEBT high half</t>
        </is>
      </c>
      <c r="E1189" t="inlineStr">
        <is>
          <t>outcome_loans</t>
        </is>
      </c>
      <c r="F1189" t="inlineStr">
        <is>
          <t>Outcome, share of loans</t>
        </is>
      </c>
      <c r="G1189" t="n">
        <v>206</v>
      </c>
      <c r="H1189" t="n">
        <v>206</v>
      </c>
      <c r="I1189" t="b">
        <v>0</v>
      </c>
      <c r="J1189" t="b">
        <v>0</v>
      </c>
      <c r="K1189" t="n">
        <v>2.062288086535122</v>
      </c>
      <c r="L1189" t="n">
        <v>0.0001769567099163467</v>
      </c>
      <c r="M1189" t="n">
        <v>2.772218073188947</v>
      </c>
      <c r="N1189" t="n">
        <v>1.782889864320094e-06</v>
      </c>
      <c r="O1189" t="n">
        <v>16.48325420248941</v>
      </c>
      <c r="P1189" t="n">
        <v>20.45689655172414</v>
      </c>
      <c r="Q1189">
        <f>'_live'!$C$20</f>
        <v/>
      </c>
      <c r="R1189" t="inlineStr">
        <is>
          <t>z test</t>
        </is>
      </c>
      <c r="S1189" t="inlineStr">
        <is>
          <t>z test</t>
        </is>
      </c>
      <c r="T1189" t="n">
        <v>0.07532400872577955</v>
      </c>
      <c r="U1189" t="n">
        <v>0.05603448275862069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0.1553398058252427</v>
      </c>
      <c r="AI1189">
        <f>IF($Y1189="worse","Yes",IF($Y1189="worse, not significant","Not sure",IF(OR($Y1189="too few losses to test",$Y1189="too few loans to test"),"Too few losses",IF($Y1189="","","No"))))</f>
        <v/>
      </c>
      <c r="AJ1189">
        <f>IF($AA1189="yes","Yes",IF($AA1189="","","No"))</f>
        <v/>
      </c>
    </row>
    <row r="1190">
      <c r="A1190" t="inlineStr">
        <is>
          <t>three-way</t>
        </is>
      </c>
      <c r="B1190" t="inlineStr">
        <is>
          <t>ORIG_BAL x ASSET_CLASS / REV_DEBT</t>
        </is>
      </c>
      <c r="C1190" t="inlineStr">
        <is>
          <t>26,324 - 37,950</t>
        </is>
      </c>
      <c r="D1190" t="inlineStr">
        <is>
          <t>4 / REV_DEBT high half</t>
        </is>
      </c>
      <c r="E1190" t="inlineStr">
        <is>
          <t>outcome_booked</t>
        </is>
      </c>
      <c r="F1190" t="inlineStr">
        <is>
          <t>Outcome, share of booked dollars</t>
        </is>
      </c>
      <c r="G1190" t="n">
        <v>206</v>
      </c>
      <c r="H1190" t="n">
        <v>6682168.149999998</v>
      </c>
      <c r="I1190" t="b">
        <v>0</v>
      </c>
      <c r="J1190" t="b">
        <v>0</v>
      </c>
      <c r="K1190" t="n">
        <v>2.120295566856071</v>
      </c>
      <c r="L1190" t="n">
        <v>0.002999700029997</v>
      </c>
      <c r="M1190" t="n">
        <v>2.785508855293775</v>
      </c>
      <c r="N1190" t="n">
        <v>0.0007999200079992001</v>
      </c>
      <c r="O1190" t="n">
        <v>544375.7433494739</v>
      </c>
      <c r="P1190" t="n">
        <v>660419.6980127981</v>
      </c>
      <c r="Q1190">
        <f>'_live'!$C$21</f>
        <v/>
      </c>
      <c r="R1190" t="inlineStr">
        <is>
          <t>shuffled: 3 of 10,000</t>
        </is>
      </c>
      <c r="S1190" t="inlineStr">
        <is>
          <t>shuffled: 0 of 10,000</t>
        </is>
      </c>
      <c r="T1190" t="n">
        <v>0.07271914231169506</v>
      </c>
      <c r="U1190" t="n">
        <v>0.05535292942114932</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0.1541860750690628</v>
      </c>
      <c r="AI1190">
        <f>IF($Y1190="worse","Yes",IF($Y1190="worse, not significant","Not sure",IF(OR($Y1190="too few losses to test",$Y1190="too few loans to test"),"Too few losses",IF($Y1190="","","No"))))</f>
        <v/>
      </c>
      <c r="AJ1190">
        <f>IF($AA1190="yes","Yes",IF($AA1190="","","No"))</f>
        <v/>
      </c>
    </row>
    <row r="1191">
      <c r="A1191" t="inlineStr">
        <is>
          <t>three-way</t>
        </is>
      </c>
      <c r="B1191" t="inlineStr">
        <is>
          <t>ORIG_BAL x ASSET_CLASS / REV_DEBT</t>
        </is>
      </c>
      <c r="C1191" t="inlineStr">
        <is>
          <t>26,324 - 37,950</t>
        </is>
      </c>
      <c r="D1191" t="inlineStr">
        <is>
          <t>4 / REV_DEBT high half</t>
        </is>
      </c>
      <c r="E1191" t="inlineStr">
        <is>
          <t>gco_rate</t>
        </is>
      </c>
      <c r="F1191" t="inlineStr">
        <is>
          <t>GCO per booked dollar</t>
        </is>
      </c>
      <c r="G1191" t="n">
        <v>206</v>
      </c>
      <c r="H1191" t="n">
        <v>6682168.149999998</v>
      </c>
      <c r="I1191" t="b">
        <v>0</v>
      </c>
      <c r="J1191" t="b">
        <v>0</v>
      </c>
      <c r="K1191" t="n">
        <v>2.114089755298079</v>
      </c>
      <c r="L1191" t="n">
        <v>0.004199580041995801</v>
      </c>
      <c r="M1191" t="n">
        <v>2.824639059734555</v>
      </c>
      <c r="N1191" t="n">
        <v>0.0007999200079992001</v>
      </c>
      <c r="O1191" t="n">
        <v>301046.2014589893</v>
      </c>
      <c r="P1191" t="n">
        <v>369020.4209271003</v>
      </c>
      <c r="Q1191">
        <f>'_live'!$C$22</f>
        <v/>
      </c>
      <c r="R1191" t="inlineStr">
        <is>
          <t>shuffled: 6 of 10,000</t>
        </is>
      </c>
      <c r="S1191" t="inlineStr">
        <is>
          <t>shuffled: 0 of 10,000</t>
        </is>
      </c>
      <c r="T1191" t="n">
        <v>0.04043854965562498</v>
      </c>
      <c r="U1191" t="n">
        <v>0.03026607001395194</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0.08549072354606942</v>
      </c>
      <c r="AI1191">
        <f>IF($Y1191="worse","Yes",IF($Y1191="worse, not significant","Not sure",IF(OR($Y1191="too few losses to test",$Y1191="too few loans to test"),"Too few losses",IF($Y1191="","","No"))))</f>
        <v/>
      </c>
      <c r="AJ1191">
        <f>IF($AA1191="yes","Yes",IF($AA1191="","","No"))</f>
        <v/>
      </c>
    </row>
    <row r="1192">
      <c r="A1192" t="inlineStr">
        <is>
          <t>three-way</t>
        </is>
      </c>
      <c r="B1192" t="inlineStr">
        <is>
          <t>ORIG_BAL x ASSET_CLASS / REV_DEBT</t>
        </is>
      </c>
      <c r="C1192" t="inlineStr">
        <is>
          <t>26,324 - 37,950</t>
        </is>
      </c>
      <c r="D1192" t="inlineStr">
        <is>
          <t>4 / REV_DEBT high half</t>
        </is>
      </c>
      <c r="E1192" t="inlineStr">
        <is>
          <t>ranr_rate</t>
        </is>
      </c>
      <c r="F1192" t="inlineStr">
        <is>
          <t>Profit after losses: RANR per booked dollar</t>
        </is>
      </c>
      <c r="G1192" t="n">
        <v>206</v>
      </c>
      <c r="H1192" t="n">
        <v>6682168.149999998</v>
      </c>
      <c r="I1192" t="b">
        <v>0</v>
      </c>
      <c r="J1192" t="b">
        <v>0</v>
      </c>
      <c r="K1192" t="n">
        <v>-0.002907318591127944</v>
      </c>
      <c r="L1192" t="n">
        <v>0.9556822095568221</v>
      </c>
      <c r="M1192" t="n">
        <v>-0.0070599208539108</v>
      </c>
      <c r="N1192" t="n">
        <v>0.7943205679432057</v>
      </c>
      <c r="O1192" t="n">
        <v>19427.19169153809</v>
      </c>
      <c r="P1192" t="n">
        <v>47175.57827152358</v>
      </c>
      <c r="Q1192">
        <f>'_live'!$C$23</f>
        <v/>
      </c>
      <c r="R1192" t="inlineStr">
        <is>
          <t>shuffled: 8,377 of 10,000</t>
        </is>
      </c>
      <c r="S1192" t="inlineStr">
        <is>
          <t>shuffled: 5,957 of 10,000</t>
        </is>
      </c>
      <c r="T1192" t="n">
        <v>0.1280653288695733</v>
      </c>
      <c r="U1192" t="n">
        <v>0.1322179311323561</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0.1251580102784453</v>
      </c>
      <c r="AI1192">
        <f>IF($Y1192="worse","Yes",IF($Y1192="worse, not significant","Not sure",IF(OR($Y1192="too few losses to test",$Y1192="too few loans to test"),"Too few losses",IF($Y1192="","","No"))))</f>
        <v/>
      </c>
      <c r="AJ1192">
        <f>IF($AA1192="yes","Yes",IF($AA1192="","","No"))</f>
        <v/>
      </c>
    </row>
    <row r="1193">
      <c r="A1193" t="inlineStr">
        <is>
          <t>three-way</t>
        </is>
      </c>
      <c r="B1193" t="inlineStr">
        <is>
          <t>ORIG_BAL x ASSET_CLASS / REV_DEBT</t>
        </is>
      </c>
      <c r="C1193" t="inlineStr">
        <is>
          <t>26,324 - 37,950</t>
        </is>
      </c>
      <c r="D1193" t="inlineStr">
        <is>
          <t>4 / REV_DEBT high half</t>
        </is>
      </c>
      <c r="E1193" t="inlineStr">
        <is>
          <t>contribution_rate</t>
        </is>
      </c>
      <c r="F1193" t="inlineStr">
        <is>
          <t>Contribution before losses per booked dollar</t>
        </is>
      </c>
      <c r="G1193" t="n">
        <v>206</v>
      </c>
      <c r="H1193" t="n">
        <v>6682168.149999998</v>
      </c>
      <c r="I1193" t="b">
        <v>0</v>
      </c>
      <c r="J1193" t="b">
        <v>0</v>
      </c>
      <c r="K1193" t="n">
        <v>0.04214777867460881</v>
      </c>
      <c r="L1193" t="n">
        <v>0.0005332800053328001</v>
      </c>
      <c r="M1193" t="n">
        <v>0.04816473267820676</v>
      </c>
      <c r="N1193" t="n">
        <v>0.000222200002222</v>
      </c>
      <c r="O1193" t="n">
        <v>-281638.5442527202</v>
      </c>
      <c r="P1193" t="n">
        <v>-321844.8426555772</v>
      </c>
      <c r="Q1193">
        <f>'_live'!$C$24</f>
        <v/>
      </c>
      <c r="R1193" t="inlineStr">
        <is>
          <t>shuffled: 1 of 10,000</t>
        </is>
      </c>
      <c r="S1193" t="inlineStr">
        <is>
          <t>shuffled: 0 of 10,000</t>
        </is>
      </c>
      <c r="T1193" t="n">
        <v>0.168500955149906</v>
      </c>
      <c r="U1193" t="n">
        <v>0.162484001146308</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0.2106487338245148</v>
      </c>
      <c r="AI1193">
        <f>IF($Y1193="worse","Yes",IF($Y1193="worse, not significant","Not sure",IF(OR($Y1193="too few losses to test",$Y1193="too few loans to test"),"Too few losses",IF($Y1193="","","No"))))</f>
        <v/>
      </c>
      <c r="AJ1193">
        <f>IF($AA1193="yes","Yes",IF($AA1193="","","No"))</f>
        <v/>
      </c>
    </row>
    <row r="1194">
      <c r="A1194" t="inlineStr">
        <is>
          <t>three-way</t>
        </is>
      </c>
      <c r="B1194" t="inlineStr">
        <is>
          <t>ORIG_BAL x ASSET_CLASS / REV_DEBT</t>
        </is>
      </c>
      <c r="C1194" t="inlineStr">
        <is>
          <t>26,324 - 37,950</t>
        </is>
      </c>
      <c r="D1194" t="inlineStr">
        <is>
          <t>3 / REV_DEBT low half</t>
        </is>
      </c>
      <c r="E1194" t="inlineStr">
        <is>
          <t>outcome_loans</t>
        </is>
      </c>
      <c r="F1194" t="inlineStr">
        <is>
          <t>Outcome, share of loans</t>
        </is>
      </c>
      <c r="G1194" t="n">
        <v>184</v>
      </c>
      <c r="H1194" t="n">
        <v>184</v>
      </c>
      <c r="I1194" t="b">
        <v>1</v>
      </c>
      <c r="J1194" t="b">
        <v>0</v>
      </c>
      <c r="K1194" t="n">
        <v>0.2762460233297985</v>
      </c>
      <c r="M1194" t="n">
        <v>0.2899917965545529</v>
      </c>
      <c r="O1194" t="n">
        <v>-10.47984644913628</v>
      </c>
      <c r="P1194" t="n">
        <v>-9.793493635077793</v>
      </c>
      <c r="Q1194">
        <f>'_live'!$C$20</f>
        <v/>
      </c>
      <c r="T1194" t="n">
        <v>0.07869481765834933</v>
      </c>
      <c r="U1194" t="n">
        <v>0.07496463932107496</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0.02173913043478261</v>
      </c>
      <c r="AI1194">
        <f>IF($Y1194="worse","Yes",IF($Y1194="worse, not significant","Not sure",IF(OR($Y1194="too few losses to test",$Y1194="too few loans to test"),"Too few losses",IF($Y1194="","","No"))))</f>
        <v/>
      </c>
      <c r="AJ1194">
        <f>IF($AA1194="yes","Yes",IF($AA1194="","","No"))</f>
        <v/>
      </c>
    </row>
    <row r="1195">
      <c r="A1195" t="inlineStr">
        <is>
          <t>three-way</t>
        </is>
      </c>
      <c r="B1195" t="inlineStr">
        <is>
          <t>ORIG_BAL x ASSET_CLASS / REV_DEBT</t>
        </is>
      </c>
      <c r="C1195" t="inlineStr">
        <is>
          <t>26,324 - 37,950</t>
        </is>
      </c>
      <c r="D1195" t="inlineStr">
        <is>
          <t>3 / REV_DEBT low half</t>
        </is>
      </c>
      <c r="E1195" t="inlineStr">
        <is>
          <t>outcome_booked</t>
        </is>
      </c>
      <c r="F1195" t="inlineStr">
        <is>
          <t>Outcome, share of booked dollars</t>
        </is>
      </c>
      <c r="G1195" t="n">
        <v>184</v>
      </c>
      <c r="H1195" t="n">
        <v>5932945.350000001</v>
      </c>
      <c r="I1195" t="b">
        <v>1</v>
      </c>
      <c r="J1195" t="b">
        <v>0</v>
      </c>
      <c r="K1195" t="n">
        <v>0.2961356720906553</v>
      </c>
      <c r="M1195" t="n">
        <v>0.3035872231137069</v>
      </c>
      <c r="O1195" t="n">
        <v>-317624.9529015335</v>
      </c>
      <c r="P1195" t="n">
        <v>-306548.8024088098</v>
      </c>
      <c r="Q1195">
        <f>'_live'!$C$21</f>
        <v/>
      </c>
      <c r="T1195" t="n">
        <v>0.07605982295143394</v>
      </c>
      <c r="U1195" t="n">
        <v>0.0741929339377464</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0.02252402678881914</v>
      </c>
      <c r="AI1195">
        <f>IF($Y1195="worse","Yes",IF($Y1195="worse, not significant","Not sure",IF(OR($Y1195="too few losses to test",$Y1195="too few loans to test"),"Too few losses",IF($Y1195="","","No"))))</f>
        <v/>
      </c>
      <c r="AJ1195">
        <f>IF($AA1195="yes","Yes",IF($AA1195="","","No"))</f>
        <v/>
      </c>
    </row>
    <row r="1196">
      <c r="A1196" t="inlineStr">
        <is>
          <t>three-way</t>
        </is>
      </c>
      <c r="B1196" t="inlineStr">
        <is>
          <t>ORIG_BAL x ASSET_CLASS / REV_DEBT</t>
        </is>
      </c>
      <c r="C1196" t="inlineStr">
        <is>
          <t>26,324 - 37,950</t>
        </is>
      </c>
      <c r="D1196" t="inlineStr">
        <is>
          <t>3 / REV_DEBT low half</t>
        </is>
      </c>
      <c r="E1196" t="inlineStr">
        <is>
          <t>gco_rate</t>
        </is>
      </c>
      <c r="F1196" t="inlineStr">
        <is>
          <t>GCO per booked dollar</t>
        </is>
      </c>
      <c r="G1196" t="n">
        <v>184</v>
      </c>
      <c r="H1196" t="n">
        <v>5932945.350000001</v>
      </c>
      <c r="I1196" t="b">
        <v>1</v>
      </c>
      <c r="J1196" t="b">
        <v>0</v>
      </c>
      <c r="K1196" t="n">
        <v>0.2747004752213946</v>
      </c>
      <c r="M1196" t="n">
        <v>0.2847070874367909</v>
      </c>
      <c r="O1196" t="n">
        <v>-182070.6187624274</v>
      </c>
      <c r="P1196" t="n">
        <v>-173247.7205949538</v>
      </c>
      <c r="Q1196">
        <f>'_live'!$C$22</f>
        <v/>
      </c>
      <c r="T1196" t="n">
        <v>0.04231088674403976</v>
      </c>
      <c r="U1196" t="n">
        <v>0.0408237841926108</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0.01162282069562633</v>
      </c>
      <c r="AI1196">
        <f>IF($Y1196="worse","Yes",IF($Y1196="worse, not significant","Not sure",IF(OR($Y1196="too few losses to test",$Y1196="too few loans to test"),"Too few losses",IF($Y1196="","","No"))))</f>
        <v/>
      </c>
      <c r="AJ1196">
        <f>IF($AA1196="yes","Yes",IF($AA1196="","","No"))</f>
        <v/>
      </c>
    </row>
    <row r="1197">
      <c r="A1197" t="inlineStr">
        <is>
          <t>three-way</t>
        </is>
      </c>
      <c r="B1197" t="inlineStr">
        <is>
          <t>ORIG_BAL x ASSET_CLASS / REV_DEBT</t>
        </is>
      </c>
      <c r="C1197" t="inlineStr">
        <is>
          <t>26,324 - 37,950</t>
        </is>
      </c>
      <c r="D1197" t="inlineStr">
        <is>
          <t>3 / REV_DEBT low half</t>
        </is>
      </c>
      <c r="E1197" t="inlineStr">
        <is>
          <t>ranr_rate</t>
        </is>
      </c>
      <c r="F1197" t="inlineStr">
        <is>
          <t>Profit after losses: RANR per booked dollar</t>
        </is>
      </c>
      <c r="G1197" t="n">
        <v>184</v>
      </c>
      <c r="H1197" t="n">
        <v>5932945.350000001</v>
      </c>
      <c r="I1197" t="b">
        <v>0</v>
      </c>
      <c r="J1197" t="b">
        <v>0</v>
      </c>
      <c r="K1197" t="n">
        <v>6.844420000762241e-05</v>
      </c>
      <c r="L1197" t="n">
        <v>0.9959004099590041</v>
      </c>
      <c r="M1197" t="n">
        <v>-0.003665988482528221</v>
      </c>
      <c r="N1197" t="n">
        <v>0.8833711223472247</v>
      </c>
      <c r="O1197" t="n">
        <v>-406.0756981697632</v>
      </c>
      <c r="P1197" t="n">
        <v>21750.10932056932</v>
      </c>
      <c r="Q1197">
        <f>'_live'!$C$23</f>
        <v/>
      </c>
      <c r="R1197" t="inlineStr">
        <is>
          <t>shuffled: 9,959 of 10,000</t>
        </is>
      </c>
      <c r="S1197" t="inlineStr">
        <is>
          <t>shuffled: 7,954 of 10,000</t>
        </is>
      </c>
      <c r="T1197" t="n">
        <v>0.1279884761287798</v>
      </c>
      <c r="U1197" t="n">
        <v>0.1317229088113157</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0.1280569203287874</v>
      </c>
      <c r="AI1197">
        <f>IF($Y1197="worse","Yes",IF($Y1197="worse, not significant","Not sure",IF(OR($Y1197="too few losses to test",$Y1197="too few loans to test"),"Too few losses",IF($Y1197="","","No"))))</f>
        <v/>
      </c>
      <c r="AJ1197">
        <f>IF($AA1197="yes","Yes",IF($AA1197="","","No"))</f>
        <v/>
      </c>
    </row>
    <row r="1198">
      <c r="A1198" t="inlineStr">
        <is>
          <t>three-way</t>
        </is>
      </c>
      <c r="B1198" t="inlineStr">
        <is>
          <t>ORIG_BAL x ASSET_CLASS / REV_DEBT</t>
        </is>
      </c>
      <c r="C1198" t="inlineStr">
        <is>
          <t>26,324 - 37,950</t>
        </is>
      </c>
      <c r="D1198" t="inlineStr">
        <is>
          <t>3 / REV_DEBT low half</t>
        </is>
      </c>
      <c r="E1198" t="inlineStr">
        <is>
          <t>contribution_rate</t>
        </is>
      </c>
      <c r="F1198" t="inlineStr">
        <is>
          <t>Contribution before losses per booked dollar</t>
        </is>
      </c>
      <c r="G1198" t="n">
        <v>184</v>
      </c>
      <c r="H1198" t="n">
        <v>5932945.350000001</v>
      </c>
      <c r="I1198" t="b">
        <v>0</v>
      </c>
      <c r="J1198" t="b">
        <v>0</v>
      </c>
      <c r="K1198" t="n">
        <v>-0.03061669506330761</v>
      </c>
      <c r="L1198" t="n">
        <v>0.003999600039996</v>
      </c>
      <c r="M1198" t="n">
        <v>-0.03286695197951262</v>
      </c>
      <c r="N1198" t="n">
        <v>0.0008275034565508966</v>
      </c>
      <c r="O1198" t="n">
        <v>181647.1786082188</v>
      </c>
      <c r="P1198" t="n">
        <v>194997.8299155226</v>
      </c>
      <c r="Q1198">
        <f>'_live'!$C$24</f>
        <v/>
      </c>
      <c r="R1198" t="inlineStr">
        <is>
          <t>shuffled: 25 of 10,000</t>
        </is>
      </c>
      <c r="S1198" t="inlineStr">
        <is>
          <t>shuffled: 5 of 10,000</t>
        </is>
      </c>
      <c r="T1198" t="n">
        <v>0.1702964360877214</v>
      </c>
      <c r="U1198" t="n">
        <v>0.1725466930039264</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0.1396797410244138</v>
      </c>
      <c r="AI1198">
        <f>IF($Y1198="worse","Yes",IF($Y1198="worse, not significant","Not sure",IF(OR($Y1198="too few losses to test",$Y1198="too few loans to test"),"Too few losses",IF($Y1198="","","No"))))</f>
        <v/>
      </c>
      <c r="AJ1198">
        <f>IF($AA1198="yes","Yes",IF($AA1198="","","No"))</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652"/>
  <sheetViews>
    <sheetView tabSelected="0" workbookViewId="0">
      <selection activeCell="A1" sqref="A1"/>
    </sheetView>
  </sheetViews>
  <sheetFormatPr baseColWidth="8" defaultRowHeight="15"/>
  <sheetData>
    <row r="1">
      <c r="A1" s="140" t="inlineStr">
        <is>
          <t>Pockets</t>
        </is>
      </c>
      <c r="B1" s="140" t="inlineStr">
        <is>
          <t>Measure</t>
        </is>
      </c>
      <c r="C1" s="140" t="inlineStr">
        <is>
          <t>_pockets row</t>
        </is>
      </c>
      <c r="D1" s="140" t="inlineStr">
        <is>
          <t>Band</t>
        </is>
      </c>
      <c r="E1" s="140" t="inlineStr">
        <is>
          <t>Segment</t>
        </is>
      </c>
      <c r="F1" s="140" t="inlineStr">
        <is>
          <t>Half</t>
        </is>
      </c>
      <c r="G1" s="140" t="inlineStr">
        <is>
          <t>Loans</t>
        </is>
      </c>
      <c r="H1" s="140" t="inlineStr">
        <is>
          <t>Could have caught (last Run)</t>
        </is>
      </c>
      <c r="I1" s="140" t="inlineStr">
        <is>
          <t>Holds fixed?</t>
        </is>
      </c>
      <c r="J1" s="140" t="inlineStr">
        <is>
          <t>Order (last Run)</t>
        </is>
      </c>
      <c r="K1" s="140" t="inlineStr">
        <is>
          <t>Worse? (live)</t>
        </is>
      </c>
      <c r="L1" s="140" t="inlineStr">
        <is>
          <t>Material? (live)</t>
        </is>
      </c>
      <c r="M1" s="140" t="inlineStr">
        <is>
          <t>Shown now (1: yes)</t>
        </is>
      </c>
      <c r="N1" s="140" t="inlineStr">
        <is>
          <t>Shown so far</t>
        </is>
      </c>
      <c r="O1" s="140" t="inlineStr">
        <is>
          <t>Kind (key)</t>
        </is>
      </c>
      <c r="P1" s="140"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IF(AND($A21='Pockets'!$D$18,$B21='Pockets'!$C$18,OR('Pockets'!$E$18="All",AND('Pockets'!$E$18="Worse and material",$K21="Yes",$L21="Yes"),AND('Pockets'!$E$18="Worse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IF(AND($A22='Pockets'!$D$18,$B22='Pockets'!$C$18,OR('Pockets'!$E$18="All",AND('Pockets'!$E$18="Worse and material",$K22="Yes",$L22="Yes"),AND('Pockets'!$E$18="Worse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IF(AND($A23='Pockets'!$D$18,$B23='Pockets'!$C$18,OR('Pockets'!$E$18="All",AND('Pockets'!$E$18="Worse and material",$K23="Yes",$L23="Yes"),AND('Pockets'!$E$18="Worse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IF(AND($A24='Pockets'!$D$18,$B24='Pockets'!$C$18,OR('Pockets'!$E$18="All",AND('Pockets'!$E$18="Worse and material",$K24="Yes",$L24="Yes"),AND('Pockets'!$E$18="Worse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IF(AND($A25='Pockets'!$D$18,$B25='Pockets'!$C$18,OR('Pockets'!$E$18="All",AND('Pockets'!$E$18="Worse and material",$K25="Yes",$L25="Yes"),AND('Pockets'!$E$18="Worse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IF(AND($A26='Pockets'!$D$18,$B26='Pockets'!$C$18,OR('Pockets'!$E$18="All",AND('Pockets'!$E$18="Worse and material",$K26="Yes",$L26="Yes"),AND('Pockets'!$E$18="Worse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IF(AND($A27='Pockets'!$D$18,$B27='Pockets'!$C$18,OR('Pockets'!$E$18="All",AND('Pockets'!$E$18="Worse and material",$K27="Yes",$L27="Yes"),AND('Pockets'!$E$18="Worse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IF(AND($A28='Pockets'!$D$18,$B28='Pockets'!$C$18,OR('Pockets'!$E$18="All",AND('Pockets'!$E$18="Worse and material",$K28="Yes",$L28="Yes"),AND('Pockets'!$E$18="Worse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IF(AND($A29='Pockets'!$D$18,$B29='Pockets'!$C$18,OR('Pockets'!$E$18="All",AND('Pockets'!$E$18="Worse and material",$K29="Yes",$L29="Yes"),AND('Pockets'!$E$18="Worse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IF(AND($A30='Pockets'!$D$18,$B30='Pockets'!$C$18,OR('Pockets'!$E$18="All",AND('Pockets'!$E$18="Worse and material",$K30="Yes",$L30="Yes"),AND('Pockets'!$E$18="Worse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IF(AND($A31='Pockets'!$D$18,$B31='Pockets'!$C$18,OR('Pockets'!$E$18="All",AND('Pockets'!$E$18="Worse and material",$K31="Yes",$L31="Yes"),AND('Pockets'!$E$18="Worse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IF(AND($A32='Pockets'!$D$18,$B32='Pockets'!$C$18,OR('Pockets'!$E$18="All",AND('Pockets'!$E$18="Worse and material",$K32="Yes",$L32="Yes"),AND('Pockets'!$E$18="Worse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IF(AND($A33='Pockets'!$D$18,$B33='Pockets'!$C$18,OR('Pockets'!$E$18="All",AND('Pockets'!$E$18="Worse and material",$K33="Yes",$L33="Yes"),AND('Pockets'!$E$18="Worse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IF(AND($A34='Pockets'!$D$18,$B34='Pockets'!$C$18,OR('Pockets'!$E$18="All",AND('Pockets'!$E$18="Worse and material",$K34="Yes",$L34="Yes"),AND('Pockets'!$E$18="Worse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IF(AND($A35='Pockets'!$D$18,$B35='Pockets'!$C$18,OR('Pockets'!$E$18="All",AND('Pockets'!$E$18="Worse and material",$K35="Yes",$L35="Yes"),AND('Pockets'!$E$18="Worse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IF(AND($A36='Pockets'!$D$18,$B36='Pockets'!$C$18,OR('Pockets'!$E$18="All",AND('Pockets'!$E$18="Worse and material",$K36="Yes",$L36="Yes"),AND('Pockets'!$E$18="Worse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IF(AND($A37='Pockets'!$D$18,$B37='Pockets'!$C$18,OR('Pockets'!$E$18="All",AND('Pockets'!$E$18="Worse and material",$K37="Yes",$L37="Yes"),AND('Pockets'!$E$18="Worse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IF(AND($A38='Pockets'!$D$18,$B38='Pockets'!$C$18,OR('Pockets'!$E$18="All",AND('Pockets'!$E$18="Worse and material",$K38="Yes",$L38="Yes"),AND('Pockets'!$E$18="Worse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IF(AND($A39='Pockets'!$D$18,$B39='Pockets'!$C$18,OR('Pockets'!$E$18="All",AND('Pockets'!$E$18="Worse and material",$K39="Yes",$L39="Yes"),AND('Pockets'!$E$18="Worse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IF(AND($A40='Pockets'!$D$18,$B40='Pockets'!$C$18,OR('Pockets'!$E$18="All",AND('Pockets'!$E$18="Worse and material",$K40="Yes",$L40="Yes"),AND('Pockets'!$E$18="Worse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IF(AND($A41='Pockets'!$D$18,$B41='Pockets'!$C$18,OR('Pockets'!$E$18="All",AND('Pockets'!$E$18="Worse and material",$K41="Yes",$L41="Yes"),AND('Pockets'!$E$18="Worse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IF(AND($A42='Pockets'!$D$18,$B42='Pockets'!$C$18,OR('Pockets'!$E$18="All",AND('Pockets'!$E$18="Worse and material",$K42="Yes",$L42="Yes"),AND('Pockets'!$E$18="Worse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IF(AND($A43='Pockets'!$D$18,$B43='Pockets'!$C$18,OR('Pockets'!$E$18="All",AND('Pockets'!$E$18="Worse and material",$K43="Yes",$L43="Yes"),AND('Pockets'!$E$18="Worse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IF(AND($A44='Pockets'!$D$18,$B44='Pockets'!$C$18,OR('Pockets'!$E$18="All",AND('Pockets'!$E$18="Worse and material",$K44="Yes",$L44="Yes"),AND('Pockets'!$E$18="Worse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IF(AND($A45='Pockets'!$D$18,$B45='Pockets'!$C$18,OR('Pockets'!$E$18="All",AND('Pockets'!$E$18="Worse and material",$K45="Yes",$L45="Yes"),AND('Pockets'!$E$18="Worse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IF(AND($A46='Pockets'!$D$18,$B46='Pockets'!$C$18,OR('Pockets'!$E$18="All",AND('Pockets'!$E$18="Worse and material",$K46="Yes",$L46="Yes"),AND('Pockets'!$E$18="Worse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IF(AND($A47='Pockets'!$D$18,$B47='Pockets'!$C$18,OR('Pockets'!$E$18="All",AND('Pockets'!$E$18="Worse and material",$K47="Yes",$L47="Yes"),AND('Pockets'!$E$18="Worse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IF(AND($A48='Pockets'!$D$18,$B48='Pockets'!$C$18,OR('Pockets'!$E$18="All",AND('Pockets'!$E$18="Worse and material",$K48="Yes",$L48="Yes"),AND('Pockets'!$E$18="Worse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IF(AND($A49='Pockets'!$D$18,$B49='Pockets'!$C$18,OR('Pockets'!$E$18="All",AND('Pockets'!$E$18="Worse and material",$K49="Yes",$L49="Yes"),AND('Pockets'!$E$18="Worse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IF(AND($A50='Pockets'!$D$18,$B50='Pockets'!$C$18,OR('Pockets'!$E$18="All",AND('Pockets'!$E$18="Worse and material",$K50="Yes",$L50="Yes"),AND('Pockets'!$E$18="Worse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IF(AND($A51='Pockets'!$D$18,$B51='Pockets'!$C$18,OR('Pockets'!$E$18="All",AND('Pockets'!$E$18="Worse and material",$K51="Yes",$L51="Yes"),AND('Pockets'!$E$18="Worse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IF(AND($A52='Pockets'!$D$18,$B52='Pockets'!$C$18,OR('Pockets'!$E$18="All",AND('Pockets'!$E$18="Worse and material",$K52="Yes",$L52="Yes"),AND('Pockets'!$E$18="Worse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IF(AND($A53='Pockets'!$D$18,$B53='Pockets'!$C$18,OR('Pockets'!$E$18="All",AND('Pockets'!$E$18="Worse and material",$K53="Yes",$L53="Yes"),AND('Pockets'!$E$18="Worse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IF(AND($A54='Pockets'!$D$18,$B54='Pockets'!$C$18,OR('Pockets'!$E$18="All",AND('Pockets'!$E$18="Worse and material",$K54="Yes",$L54="Yes"),AND('Pockets'!$E$18="Worse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IF(AND($A55='Pockets'!$D$18,$B55='Pockets'!$C$18,OR('Pockets'!$E$18="All",AND('Pockets'!$E$18="Worse and material",$K55="Yes",$L55="Yes"),AND('Pockets'!$E$18="Worse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IF(AND($A56='Pockets'!$D$18,$B56='Pockets'!$C$18,OR('Pockets'!$E$18="All",AND('Pockets'!$E$18="Worse and material",$K56="Yes",$L56="Yes"),AND('Pockets'!$E$18="Worse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IF(AND($A57='Pockets'!$D$18,$B57='Pockets'!$C$18,OR('Pockets'!$E$18="All",AND('Pockets'!$E$18="Worse and material",$K57="Yes",$L57="Yes"),AND('Pockets'!$E$18="Worse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IF(AND($A58='Pockets'!$D$18,$B58='Pockets'!$C$18,OR('Pockets'!$E$18="All",AND('Pockets'!$E$18="Worse and material",$K58="Yes",$L58="Yes"),AND('Pockets'!$E$18="Worse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IF(AND($A59='Pockets'!$D$18,$B59='Pockets'!$C$18,OR('Pockets'!$E$18="All",AND('Pockets'!$E$18="Worse and material",$K59="Yes",$L59="Yes"),AND('Pockets'!$E$18="Worse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IF(AND($A60='Pockets'!$D$18,$B60='Pockets'!$C$18,OR('Pockets'!$E$18="All",AND('Pockets'!$E$18="Worse and material",$K60="Yes",$L60="Yes"),AND('Pockets'!$E$18="Worse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IF(AND($A61='Pockets'!$D$18,$B61='Pockets'!$C$18,OR('Pockets'!$E$18="All",AND('Pockets'!$E$18="Worse and material",$K61="Yes",$L61="Yes"),AND('Pockets'!$E$18="Worse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IF(AND($A62='Pockets'!$D$18,$B62='Pockets'!$C$18,OR('Pockets'!$E$18="All",AND('Pockets'!$E$18="Worse and material",$K62="Yes",$L62="Yes"),AND('Pockets'!$E$18="Worse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IF(AND($A63='Pockets'!$D$18,$B63='Pockets'!$C$18,OR('Pockets'!$E$18="All",AND('Pockets'!$E$18="Worse and material",$K63="Yes",$L63="Yes"),AND('Pockets'!$E$18="Worse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IF(AND($A64='Pockets'!$D$18,$B64='Pockets'!$C$18,OR('Pockets'!$E$18="All",AND('Pockets'!$E$18="Worse and material",$K64="Yes",$L64="Yes"),AND('Pockets'!$E$18="Worse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IF(AND($A65='Pockets'!$D$18,$B65='Pockets'!$C$18,OR('Pockets'!$E$18="All",AND('Pockets'!$E$18="Worse and material",$K65="Yes",$L65="Yes"),AND('Pockets'!$E$18="Worse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IF(AND($A66='Pockets'!$D$18,$B66='Pockets'!$C$18,OR('Pockets'!$E$18="All",AND('Pockets'!$E$18="Worse and material",$K66="Yes",$L66="Yes"),AND('Pockets'!$E$18="Worse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IF(AND($A67='Pockets'!$D$18,$B67='Pockets'!$C$18,OR('Pockets'!$E$18="All",AND('Pockets'!$E$18="Worse and material",$K67="Yes",$L67="Yes"),AND('Pockets'!$E$18="Worse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IF(AND($A68='Pockets'!$D$18,$B68='Pockets'!$C$18,OR('Pockets'!$E$18="All",AND('Pockets'!$E$18="Worse and material",$K68="Yes",$L68="Yes"),AND('Pockets'!$E$18="Worse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IF(AND($A69='Pockets'!$D$18,$B69='Pockets'!$C$18,OR('Pockets'!$E$18="All",AND('Pockets'!$E$18="Worse and material",$K69="Yes",$L69="Yes"),AND('Pockets'!$E$18="Worse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IF(AND($A70='Pockets'!$D$18,$B70='Pockets'!$C$18,OR('Pockets'!$E$18="All",AND('Pockets'!$E$18="Worse and material",$K70="Yes",$L70="Yes"),AND('Pockets'!$E$18="Worse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IF(AND($A71='Pockets'!$D$18,$B71='Pockets'!$C$18,OR('Pockets'!$E$18="All",AND('Pockets'!$E$18="Worse and material",$K71="Yes",$L71="Yes"),AND('Pockets'!$E$18="Worse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IF(AND($A72='Pockets'!$D$18,$B72='Pockets'!$C$18,OR('Pockets'!$E$18="All",AND('Pockets'!$E$18="Worse and material",$K72="Yes",$L72="Yes"),AND('Pockets'!$E$18="Worse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IF(AND($A73='Pockets'!$D$18,$B73='Pockets'!$C$18,OR('Pockets'!$E$18="All",AND('Pockets'!$E$18="Worse and material",$K73="Yes",$L73="Yes"),AND('Pockets'!$E$18="Worse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IF(AND($A74='Pockets'!$D$18,$B74='Pockets'!$C$18,OR('Pockets'!$E$18="All",AND('Pockets'!$E$18="Worse and material",$K74="Yes",$L74="Yes"),AND('Pockets'!$E$18="Worse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IF(AND($A75='Pockets'!$D$18,$B75='Pockets'!$C$18,OR('Pockets'!$E$18="All",AND('Pockets'!$E$18="Worse and material",$K75="Yes",$L75="Yes"),AND('Pockets'!$E$18="Worse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IF(AND($A76='Pockets'!$D$18,$B76='Pockets'!$C$18,OR('Pockets'!$E$18="All",AND('Pockets'!$E$18="Worse and material",$K76="Yes",$L76="Yes"),AND('Pockets'!$E$18="Worse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IF(AND($A77='Pockets'!$D$18,$B77='Pockets'!$C$18,OR('Pockets'!$E$18="All",AND('Pockets'!$E$18="Worse and material",$K77="Yes",$L77="Yes"),AND('Pockets'!$E$18="Worse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IF(AND($A78='Pockets'!$D$18,$B78='Pockets'!$C$18,OR('Pockets'!$E$18="All",AND('Pockets'!$E$18="Worse and material",$K78="Yes",$L78="Yes"),AND('Pockets'!$E$18="Worse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IF(AND($A79='Pockets'!$D$18,$B79='Pockets'!$C$18,OR('Pockets'!$E$18="All",AND('Pockets'!$E$18="Worse and material",$K79="Yes",$L79="Yes"),AND('Pockets'!$E$18="Worse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IF(AND($A80='Pockets'!$D$18,$B80='Pockets'!$C$18,OR('Pockets'!$E$18="All",AND('Pockets'!$E$18="Worse and material",$K80="Yes",$L80="Yes"),AND('Pockets'!$E$18="Worse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IF(AND($A81='Pockets'!$D$18,$B81='Pockets'!$C$18,OR('Pockets'!$E$18="All",AND('Pockets'!$E$18="Worse and material",$K81="Yes",$L81="Yes"),AND('Pockets'!$E$18="Worse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IF(AND($A82='Pockets'!$D$18,$B82='Pockets'!$C$18,OR('Pockets'!$E$18="All",AND('Pockets'!$E$18="Worse and material",$K82="Yes",$L82="Yes"),AND('Pockets'!$E$18="Worse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IF(AND($A83='Pockets'!$D$18,$B83='Pockets'!$C$18,OR('Pockets'!$E$18="All",AND('Pockets'!$E$18="Worse and material",$K83="Yes",$L83="Yes"),AND('Pockets'!$E$18="Worse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IF(AND($A84='Pockets'!$D$18,$B84='Pockets'!$C$18,OR('Pockets'!$E$18="All",AND('Pockets'!$E$18="Worse and material",$K84="Yes",$L84="Yes"),AND('Pockets'!$E$18="Worse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IF(AND($A85='Pockets'!$D$18,$B85='Pockets'!$C$18,OR('Pockets'!$E$18="All",AND('Pockets'!$E$18="Worse and material",$K85="Yes",$L85="Yes"),AND('Pockets'!$E$18="Worse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IF(AND($A86='Pockets'!$D$18,$B86='Pockets'!$C$18,OR('Pockets'!$E$18="All",AND('Pockets'!$E$18="Worse and material",$K86="Yes",$L86="Yes"),AND('Pockets'!$E$18="Worse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IF(AND($A87='Pockets'!$D$18,$B87='Pockets'!$C$18,OR('Pockets'!$E$18="All",AND('Pockets'!$E$18="Worse and material",$K87="Yes",$L87="Yes"),AND('Pockets'!$E$18="Worse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IF(AND($A88='Pockets'!$D$18,$B88='Pockets'!$C$18,OR('Pockets'!$E$18="All",AND('Pockets'!$E$18="Worse and material",$K88="Yes",$L88="Yes"),AND('Pockets'!$E$18="Worse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IF(AND($A89='Pockets'!$D$18,$B89='Pockets'!$C$18,OR('Pockets'!$E$18="All",AND('Pockets'!$E$18="Worse and material",$K89="Yes",$L89="Yes"),AND('Pockets'!$E$18="Worse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IF(AND($A90='Pockets'!$D$18,$B90='Pockets'!$C$18,OR('Pockets'!$E$18="All",AND('Pockets'!$E$18="Worse and material",$K90="Yes",$L90="Yes"),AND('Pockets'!$E$18="Worse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IF(AND($A91='Pockets'!$D$18,$B91='Pockets'!$C$18,OR('Pockets'!$E$18="All",AND('Pockets'!$E$18="Worse and material",$K91="Yes",$L91="Yes"),AND('Pockets'!$E$18="Worse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IF(AND($A92='Pockets'!$D$18,$B92='Pockets'!$C$18,OR('Pockets'!$E$18="All",AND('Pockets'!$E$18="Worse and material",$K92="Yes",$L92="Yes"),AND('Pockets'!$E$18="Worse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IF(AND($A93='Pockets'!$D$18,$B93='Pockets'!$C$18,OR('Pockets'!$E$18="All",AND('Pockets'!$E$18="Worse and material",$K93="Yes",$L93="Yes"),AND('Pockets'!$E$18="Worse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IF(AND($A94='Pockets'!$D$18,$B94='Pockets'!$C$18,OR('Pockets'!$E$18="All",AND('Pockets'!$E$18="Worse and material",$K94="Yes",$L94="Yes"),AND('Pockets'!$E$18="Worse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IF(AND($A95='Pockets'!$D$18,$B95='Pockets'!$C$18,OR('Pockets'!$E$18="All",AND('Pockets'!$E$18="Worse and material",$K95="Yes",$L95="Yes"),AND('Pockets'!$E$18="Worse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IF(AND($A96='Pockets'!$D$18,$B96='Pockets'!$C$18,OR('Pockets'!$E$18="All",AND('Pockets'!$E$18="Worse and material",$K96="Yes",$L96="Yes"),AND('Pockets'!$E$18="Worse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IF(AND($A97='Pockets'!$D$18,$B97='Pockets'!$C$18,OR('Pockets'!$E$18="All",AND('Pockets'!$E$18="Worse and material",$K97="Yes",$L97="Yes"),AND('Pockets'!$E$18="Worse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IF(AND($A98='Pockets'!$D$18,$B98='Pockets'!$C$18,OR('Pockets'!$E$18="All",AND('Pockets'!$E$18="Worse and material",$K98="Yes",$L98="Yes"),AND('Pockets'!$E$18="Worse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IF(AND($A99='Pockets'!$D$18,$B99='Pockets'!$C$18,OR('Pockets'!$E$18="All",AND('Pockets'!$E$18="Worse and material",$K99="Yes",$L99="Yes"),AND('Pockets'!$E$18="Worse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IF(AND($A100='Pockets'!$D$18,$B100='Pockets'!$C$18,OR('Pockets'!$E$18="All",AND('Pockets'!$E$18="Worse and material",$K100="Yes",$L100="Yes"),AND('Pockets'!$E$18="Worse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IF(AND($A101='Pockets'!$D$18,$B101='Pockets'!$C$18,OR('Pockets'!$E$18="All",AND('Pockets'!$E$18="Worse and material",$K101="Yes",$L101="Yes"),AND('Pockets'!$E$18="Worse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IF(AND($A102='Pockets'!$D$18,$B102='Pockets'!$C$18,OR('Pockets'!$E$18="All",AND('Pockets'!$E$18="Worse and material",$K102="Yes",$L102="Yes"),AND('Pockets'!$E$18="Worse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IF(AND($A103='Pockets'!$D$18,$B103='Pockets'!$C$18,OR('Pockets'!$E$18="All",AND('Pockets'!$E$18="Worse and material",$K103="Yes",$L103="Yes"),AND('Pockets'!$E$18="Worse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IF(AND($A104='Pockets'!$D$18,$B104='Pockets'!$C$18,OR('Pockets'!$E$18="All",AND('Pockets'!$E$18="Worse and material",$K104="Yes",$L104="Yes"),AND('Pockets'!$E$18="Worse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IF(AND($A105='Pockets'!$D$18,$B105='Pockets'!$C$18,OR('Pockets'!$E$18="All",AND('Pockets'!$E$18="Worse and material",$K105="Yes",$L105="Yes"),AND('Pockets'!$E$18="Worse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IF(AND($A106='Pockets'!$D$18,$B106='Pockets'!$C$18,OR('Pockets'!$E$18="All",AND('Pockets'!$E$18="Worse and material",$K106="Yes",$L106="Yes"),AND('Pockets'!$E$18="Worse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IF(AND($A107='Pockets'!$D$18,$B107='Pockets'!$C$18,OR('Pockets'!$E$18="All",AND('Pockets'!$E$18="Worse and material",$K107="Yes",$L107="Yes"),AND('Pockets'!$E$18="Worse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IF(AND($A108='Pockets'!$D$18,$B108='Pockets'!$C$18,OR('Pockets'!$E$18="All",AND('Pockets'!$E$18="Worse and material",$K108="Yes",$L108="Yes"),AND('Pockets'!$E$18="Worse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IF(AND($A109='Pockets'!$D$18,$B109='Pockets'!$C$18,OR('Pockets'!$E$18="All",AND('Pockets'!$E$18="Worse and material",$K109="Yes",$L109="Yes"),AND('Pockets'!$E$18="Worse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IF(AND($A110='Pockets'!$D$18,$B110='Pockets'!$C$18,OR('Pockets'!$E$18="All",AND('Pockets'!$E$18="Worse and material",$K110="Yes",$L110="Yes"),AND('Pockets'!$E$18="Worse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IF(AND($A111='Pockets'!$D$18,$B111='Pockets'!$C$18,OR('Pockets'!$E$18="All",AND('Pockets'!$E$18="Worse and material",$K111="Yes",$L111="Yes"),AND('Pockets'!$E$18="Worse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IF(AND($A112='Pockets'!$D$18,$B112='Pockets'!$C$18,OR('Pockets'!$E$18="All",AND('Pockets'!$E$18="Worse and material",$K112="Yes",$L112="Yes"),AND('Pockets'!$E$18="Worse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IF(AND($A113='Pockets'!$D$18,$B113='Pockets'!$C$18,OR('Pockets'!$E$18="All",AND('Pockets'!$E$18="Worse and material",$K113="Yes",$L113="Yes"),AND('Pockets'!$E$18="Worse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IF(AND($A114='Pockets'!$D$18,$B114='Pockets'!$C$18,OR('Pockets'!$E$18="All",AND('Pockets'!$E$18="Worse and material",$K114="Yes",$L114="Yes"),AND('Pockets'!$E$18="Worse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IF(AND($A115='Pockets'!$D$18,$B115='Pockets'!$C$18,OR('Pockets'!$E$18="All",AND('Pockets'!$E$18="Worse and material",$K115="Yes",$L115="Yes"),AND('Pockets'!$E$18="Worse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IF(AND($A116='Pockets'!$D$18,$B116='Pockets'!$C$18,OR('Pockets'!$E$18="All",AND('Pockets'!$E$18="Worse and material",$K116="Yes",$L116="Yes"),AND('Pockets'!$E$18="Worse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IF(AND($A117='Pockets'!$D$18,$B117='Pockets'!$C$18,OR('Pockets'!$E$18="All",AND('Pockets'!$E$18="Worse and material",$K117="Yes",$L117="Yes"),AND('Pockets'!$E$18="Worse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IF(AND($A118='Pockets'!$D$18,$B118='Pockets'!$C$18,OR('Pockets'!$E$18="All",AND('Pockets'!$E$18="Worse and material",$K118="Yes",$L118="Yes"),AND('Pockets'!$E$18="Worse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IF(AND($A119='Pockets'!$D$18,$B119='Pockets'!$C$18,OR('Pockets'!$E$18="All",AND('Pockets'!$E$18="Worse and material",$K119="Yes",$L119="Yes"),AND('Pockets'!$E$18="Worse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IF(AND($A120='Pockets'!$D$18,$B120='Pockets'!$C$18,OR('Pockets'!$E$18="All",AND('Pockets'!$E$18="Worse and material",$K120="Yes",$L120="Yes"),AND('Pockets'!$E$18="Worse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IF(AND($A121='Pockets'!$D$18,$B121='Pockets'!$C$18,OR('Pockets'!$E$18="All",AND('Pockets'!$E$18="Worse and material",$K121="Yes",$L121="Yes"),AND('Pockets'!$E$18="Worse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IF(AND($A122='Pockets'!$D$18,$B122='Pockets'!$C$18,OR('Pockets'!$E$18="All",AND('Pockets'!$E$18="Worse and material",$K122="Yes",$L122="Yes"),AND('Pockets'!$E$18="Worse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IF(AND($A123='Pockets'!$D$18,$B123='Pockets'!$C$18,OR('Pockets'!$E$18="All",AND('Pockets'!$E$18="Worse and material",$K123="Yes",$L123="Yes"),AND('Pockets'!$E$18="Worse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IF(AND($A124='Pockets'!$D$18,$B124='Pockets'!$C$18,OR('Pockets'!$E$18="All",AND('Pockets'!$E$18="Worse and material",$K124="Yes",$L124="Yes"),AND('Pockets'!$E$18="Worse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IF(AND($A125='Pockets'!$D$18,$B125='Pockets'!$C$18,OR('Pockets'!$E$18="All",AND('Pockets'!$E$18="Worse and material",$K125="Yes",$L125="Yes"),AND('Pockets'!$E$18="Worse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IF(AND($A126='Pockets'!$D$18,$B126='Pockets'!$C$18,OR('Pockets'!$E$18="All",AND('Pockets'!$E$18="Worse and material",$K126="Yes",$L126="Yes"),AND('Pockets'!$E$18="Worse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IF(AND($A127='Pockets'!$D$18,$B127='Pockets'!$C$18,OR('Pockets'!$E$18="All",AND('Pockets'!$E$18="Worse and material",$K127="Yes",$L127="Yes"),AND('Pockets'!$E$18="Worse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IF(AND($A128='Pockets'!$D$18,$B128='Pockets'!$C$18,OR('Pockets'!$E$18="All",AND('Pockets'!$E$18="Worse and material",$K128="Yes",$L128="Yes"),AND('Pockets'!$E$18="Worse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IF(AND($A129='Pockets'!$D$18,$B129='Pockets'!$C$18,OR('Pockets'!$E$18="All",AND('Pockets'!$E$18="Worse and material",$K129="Yes",$L129="Yes"),AND('Pockets'!$E$18="Worse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IF(AND($A130='Pockets'!$D$18,$B130='Pockets'!$C$18,OR('Pockets'!$E$18="All",AND('Pockets'!$E$18="Worse and material",$K130="Yes",$L130="Yes"),AND('Pockets'!$E$18="Worse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IF(AND($A131='Pockets'!$D$18,$B131='Pockets'!$C$18,OR('Pockets'!$E$18="All",AND('Pockets'!$E$18="Worse and material",$K131="Yes",$L131="Yes"),AND('Pockets'!$E$18="Worse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IF(AND($A132='Pockets'!$D$18,$B132='Pockets'!$C$18,OR('Pockets'!$E$18="All",AND('Pockets'!$E$18="Worse and material",$K132="Yes",$L132="Yes"),AND('Pockets'!$E$18="Worse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IF(AND($A133='Pockets'!$D$18,$B133='Pockets'!$C$18,OR('Pockets'!$E$18="All",AND('Pockets'!$E$18="Worse and material",$K133="Yes",$L133="Yes"),AND('Pockets'!$E$18="Worse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IF(AND($A134='Pockets'!$D$18,$B134='Pockets'!$C$18,OR('Pockets'!$E$18="All",AND('Pockets'!$E$18="Worse and material",$K134="Yes",$L134="Yes"),AND('Pockets'!$E$18="Worse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IF(AND($A135='Pockets'!$D$18,$B135='Pockets'!$C$18,OR('Pockets'!$E$18="All",AND('Pockets'!$E$18="Worse and material",$K135="Yes",$L135="Yes"),AND('Pockets'!$E$18="Worse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IF(AND($A136='Pockets'!$D$18,$B136='Pockets'!$C$18,OR('Pockets'!$E$18="All",AND('Pockets'!$E$18="Worse and material",$K136="Yes",$L136="Yes"),AND('Pockets'!$E$18="Worse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IF(AND($A137='Pockets'!$D$18,$B137='Pockets'!$C$18,OR('Pockets'!$E$18="All",AND('Pockets'!$E$18="Worse and material",$K137="Yes",$L137="Yes"),AND('Pockets'!$E$18="Worse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IF(AND($A138='Pockets'!$D$18,$B138='Pockets'!$C$18,OR('Pockets'!$E$18="All",AND('Pockets'!$E$18="Worse and material",$K138="Yes",$L138="Yes"),AND('Pockets'!$E$18="Worse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IF(AND($A139='Pockets'!$D$18,$B139='Pockets'!$C$18,OR('Pockets'!$E$18="All",AND('Pockets'!$E$18="Worse and material",$K139="Yes",$L139="Yes"),AND('Pockets'!$E$18="Worse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IF(AND($A140='Pockets'!$D$18,$B140='Pockets'!$C$18,OR('Pockets'!$E$18="All",AND('Pockets'!$E$18="Worse and material",$K140="Yes",$L140="Yes"),AND('Pockets'!$E$18="Worse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IF(AND($A141='Pockets'!$D$18,$B141='Pockets'!$C$18,OR('Pockets'!$E$18="All",AND('Pockets'!$E$18="Worse and material",$K141="Yes",$L141="Yes"),AND('Pockets'!$E$18="Worse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IF(AND($A142='Pockets'!$D$18,$B142='Pockets'!$C$18,OR('Pockets'!$E$18="All",AND('Pockets'!$E$18="Worse and material",$K142="Yes",$L142="Yes"),AND('Pockets'!$E$18="Worse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IF(AND($A143='Pockets'!$D$18,$B143='Pockets'!$C$18,OR('Pockets'!$E$18="All",AND('Pockets'!$E$18="Worse and material",$K143="Yes",$L143="Yes"),AND('Pockets'!$E$18="Worse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IF(AND($A144='Pockets'!$D$18,$B144='Pockets'!$C$18,OR('Pockets'!$E$18="All",AND('Pockets'!$E$18="Worse and material",$K144="Yes",$L144="Yes"),AND('Pockets'!$E$18="Worse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IF(AND($A145='Pockets'!$D$18,$B145='Pockets'!$C$18,OR('Pockets'!$E$18="All",AND('Pockets'!$E$18="Worse and material",$K145="Yes",$L145="Yes"),AND('Pockets'!$E$18="Worse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IF(AND($A146='Pockets'!$D$18,$B146='Pockets'!$C$18,OR('Pockets'!$E$18="All",AND('Pockets'!$E$18="Worse and material",$K146="Yes",$L146="Yes"),AND('Pockets'!$E$18="Worse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IF(AND($A147='Pockets'!$D$18,$B147='Pockets'!$C$18,OR('Pockets'!$E$18="All",AND('Pockets'!$E$18="Worse and material",$K147="Yes",$L147="Yes"),AND('Pockets'!$E$18="Worse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IF(AND($A148='Pockets'!$D$18,$B148='Pockets'!$C$18,OR('Pockets'!$E$18="All",AND('Pockets'!$E$18="Worse and material",$K148="Yes",$L148="Yes"),AND('Pockets'!$E$18="Worse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IF(AND($A149='Pockets'!$D$18,$B149='Pockets'!$C$18,OR('Pockets'!$E$18="All",AND('Pockets'!$E$18="Worse and material",$K149="Yes",$L149="Yes"),AND('Pockets'!$E$18="Worse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IF(AND($A150='Pockets'!$D$18,$B150='Pockets'!$C$18,OR('Pockets'!$E$18="All",AND('Pockets'!$E$18="Worse and material",$K150="Yes",$L150="Yes"),AND('Pockets'!$E$18="Worse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IF(AND($A151='Pockets'!$D$18,$B151='Pockets'!$C$18,OR('Pockets'!$E$18="All",AND('Pockets'!$E$18="Worse and material",$K151="Yes",$L151="Yes"),AND('Pockets'!$E$18="Worse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IF(AND($A152='Pockets'!$D$18,$B152='Pockets'!$C$18,OR('Pockets'!$E$18="All",AND('Pockets'!$E$18="Worse and material",$K152="Yes",$L152="Yes"),AND('Pockets'!$E$18="Worse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IF(AND($A153='Pockets'!$D$18,$B153='Pockets'!$C$18,OR('Pockets'!$E$18="All",AND('Pockets'!$E$18="Worse and material",$K153="Yes",$L153="Yes"),AND('Pockets'!$E$18="Worse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IF(AND($A154='Pockets'!$D$18,$B154='Pockets'!$C$18,OR('Pockets'!$E$18="All",AND('Pockets'!$E$18="Worse and material",$K154="Yes",$L154="Yes"),AND('Pockets'!$E$18="Worse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IF(AND($A155='Pockets'!$D$18,$B155='Pockets'!$C$18,OR('Pockets'!$E$18="All",AND('Pockets'!$E$18="Worse and material",$K155="Yes",$L155="Yes"),AND('Pockets'!$E$18="Worse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IF(AND($A156='Pockets'!$D$18,$B156='Pockets'!$C$18,OR('Pockets'!$E$18="All",AND('Pockets'!$E$18="Worse and material",$K156="Yes",$L156="Yes"),AND('Pockets'!$E$18="Worse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IF(AND($A157='Pockets'!$D$18,$B157='Pockets'!$C$18,OR('Pockets'!$E$18="All",AND('Pockets'!$E$18="Worse and material",$K157="Yes",$L157="Yes"),AND('Pockets'!$E$18="Worse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IF(AND($A158='Pockets'!$D$18,$B158='Pockets'!$C$18,OR('Pockets'!$E$18="All",AND('Pockets'!$E$18="Worse and material",$K158="Yes",$L158="Yes"),AND('Pockets'!$E$18="Worse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IF(AND($A159='Pockets'!$D$18,$B159='Pockets'!$C$18,OR('Pockets'!$E$18="All",AND('Pockets'!$E$18="Worse and material",$K159="Yes",$L159="Yes"),AND('Pockets'!$E$18="Worse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IF(AND($A160='Pockets'!$D$18,$B160='Pockets'!$C$18,OR('Pockets'!$E$18="All",AND('Pockets'!$E$18="Worse and material",$K160="Yes",$L160="Yes"),AND('Pockets'!$E$18="Worse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IF(AND($A161='Pockets'!$D$18,$B161='Pockets'!$C$18,OR('Pockets'!$E$18="All",AND('Pockets'!$E$18="Worse and material",$K161="Yes",$L161="Yes"),AND('Pockets'!$E$18="Worse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IF(AND($A162='Pockets'!$D$18,$B162='Pockets'!$C$18,OR('Pockets'!$E$18="All",AND('Pockets'!$E$18="Worse and material",$K162="Yes",$L162="Yes"),AND('Pockets'!$E$18="Worse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IF(AND($A163='Pockets'!$D$18,$B163='Pockets'!$C$18,OR('Pockets'!$E$18="All",AND('Pockets'!$E$18="Worse and material",$K163="Yes",$L163="Yes"),AND('Pockets'!$E$18="Worse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IF(AND($A164='Pockets'!$D$18,$B164='Pockets'!$C$18,OR('Pockets'!$E$18="All",AND('Pockets'!$E$18="Worse and material",$K164="Yes",$L164="Yes"),AND('Pockets'!$E$18="Worse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IF(AND($A165='Pockets'!$D$18,$B165='Pockets'!$C$18,OR('Pockets'!$E$18="All",AND('Pockets'!$E$18="Worse and material",$K165="Yes",$L165="Yes"),AND('Pockets'!$E$18="Worse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IF(AND($A166='Pockets'!$D$18,$B166='Pockets'!$C$18,OR('Pockets'!$E$18="All",AND('Pockets'!$E$18="Worse and material",$K166="Yes",$L166="Yes"),AND('Pockets'!$E$18="Worse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IF(AND($A167='Pockets'!$D$18,$B167='Pockets'!$C$18,OR('Pockets'!$E$18="All",AND('Pockets'!$E$18="Worse and material",$K167="Yes",$L167="Yes"),AND('Pockets'!$E$18="Worse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IF(AND($A168='Pockets'!$D$18,$B168='Pockets'!$C$18,OR('Pockets'!$E$18="All",AND('Pockets'!$E$18="Worse and material",$K168="Yes",$L168="Yes"),AND('Pockets'!$E$18="Worse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IF(AND($A169='Pockets'!$D$18,$B169='Pockets'!$C$18,OR('Pockets'!$E$18="All",AND('Pockets'!$E$18="Worse and material",$K169="Yes",$L169="Yes"),AND('Pockets'!$E$18="Worse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IF(AND($A170='Pockets'!$D$18,$B170='Pockets'!$C$18,OR('Pockets'!$E$18="All",AND('Pockets'!$E$18="Worse and material",$K170="Yes",$L170="Yes"),AND('Pockets'!$E$18="Worse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IF(AND($A171='Pockets'!$D$18,$B171='Pockets'!$C$18,OR('Pockets'!$E$18="All",AND('Pockets'!$E$18="Worse and material",$K171="Yes",$L171="Yes"),AND('Pockets'!$E$18="Worse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IF(AND($A172='Pockets'!$D$18,$B172='Pockets'!$C$18,OR('Pockets'!$E$18="All",AND('Pockets'!$E$18="Worse and material",$K172="Yes",$L172="Yes"),AND('Pockets'!$E$18="Worse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IF(AND($A173='Pockets'!$D$18,$B173='Pockets'!$C$18,OR('Pockets'!$E$18="All",AND('Pockets'!$E$18="Worse and material",$K173="Yes",$L173="Yes"),AND('Pockets'!$E$18="Worse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IF(AND($A174='Pockets'!$D$18,$B174='Pockets'!$C$18,OR('Pockets'!$E$18="All",AND('Pockets'!$E$18="Worse and material",$K174="Yes",$L174="Yes"),AND('Pockets'!$E$18="Worse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IF(AND($A175='Pockets'!$D$18,$B175='Pockets'!$C$18,OR('Pockets'!$E$18="All",AND('Pockets'!$E$18="Worse and material",$K175="Yes",$L175="Yes"),AND('Pockets'!$E$18="Worse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IF(AND($A176='Pockets'!$D$18,$B176='Pockets'!$C$18,OR('Pockets'!$E$18="All",AND('Pockets'!$E$18="Worse and material",$K176="Yes",$L176="Yes"),AND('Pockets'!$E$18="Worse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IF(AND($A177='Pockets'!$D$18,$B177='Pockets'!$C$18,OR('Pockets'!$E$18="All",AND('Pockets'!$E$18="Worse and material",$K177="Yes",$L177="Yes"),AND('Pockets'!$E$18="Worse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IF(AND($A178='Pockets'!$D$18,$B178='Pockets'!$C$18,OR('Pockets'!$E$18="All",AND('Pockets'!$E$18="Worse and material",$K178="Yes",$L178="Yes"),AND('Pockets'!$E$18="Worse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IF(AND($A179='Pockets'!$D$18,$B179='Pockets'!$C$18,OR('Pockets'!$E$18="All",AND('Pockets'!$E$18="Worse and material",$K179="Yes",$L179="Yes"),AND('Pockets'!$E$18="Worse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IF(AND($A180='Pockets'!$D$18,$B180='Pockets'!$C$18,OR('Pockets'!$E$18="All",AND('Pockets'!$E$18="Worse and material",$K180="Yes",$L180="Yes"),AND('Pockets'!$E$18="Worse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IF(AND($A181='Pockets'!$D$18,$B181='Pockets'!$C$18,OR('Pockets'!$E$18="All",AND('Pockets'!$E$18="Worse and material",$K181="Yes",$L181="Yes"),AND('Pockets'!$E$18="Worse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IF(AND($A182='Pockets'!$D$18,$B182='Pockets'!$C$18,OR('Pockets'!$E$18="All",AND('Pockets'!$E$18="Worse and material",$K182="Yes",$L182="Yes"),AND('Pockets'!$E$18="Worse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IF(AND($A183='Pockets'!$D$18,$B183='Pockets'!$C$18,OR('Pockets'!$E$18="All",AND('Pockets'!$E$18="Worse and material",$K183="Yes",$L183="Yes"),AND('Pockets'!$E$18="Worse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IF(AND($A184='Pockets'!$D$18,$B184='Pockets'!$C$18,OR('Pockets'!$E$18="All",AND('Pockets'!$E$18="Worse and material",$K184="Yes",$L184="Yes"),AND('Pockets'!$E$18="Worse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IF(AND($A185='Pockets'!$D$18,$B185='Pockets'!$C$18,OR('Pockets'!$E$18="All",AND('Pockets'!$E$18="Worse and material",$K185="Yes",$L185="Yes"),AND('Pockets'!$E$18="Worse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IF(AND($A186='Pockets'!$D$18,$B186='Pockets'!$C$18,OR('Pockets'!$E$18="All",AND('Pockets'!$E$18="Worse and material",$K186="Yes",$L186="Yes"),AND('Pockets'!$E$18="Worse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IF(AND($A187='Pockets'!$D$18,$B187='Pockets'!$C$18,OR('Pockets'!$E$18="All",AND('Pockets'!$E$18="Worse and material",$K187="Yes",$L187="Yes"),AND('Pockets'!$E$18="Worse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IF(AND($A188='Pockets'!$D$18,$B188='Pockets'!$C$18,OR('Pockets'!$E$18="All",AND('Pockets'!$E$18="Worse and material",$K188="Yes",$L188="Yes"),AND('Pockets'!$E$18="Worse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IF(AND($A189='Pockets'!$D$18,$B189='Pockets'!$C$18,OR('Pockets'!$E$18="All",AND('Pockets'!$E$18="Worse and material",$K189="Yes",$L189="Yes"),AND('Pockets'!$E$18="Worse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IF(AND($A190='Pockets'!$D$18,$B190='Pockets'!$C$18,OR('Pockets'!$E$18="All",AND('Pockets'!$E$18="Worse and material",$K190="Yes",$L190="Yes"),AND('Pockets'!$E$18="Worse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IF(AND($A191='Pockets'!$D$18,$B191='Pockets'!$C$18,OR('Pockets'!$E$18="All",AND('Pockets'!$E$18="Worse and material",$K191="Yes",$L191="Yes"),AND('Pockets'!$E$18="Worse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IF(AND($A192='Pockets'!$D$18,$B192='Pockets'!$C$18,OR('Pockets'!$E$18="All",AND('Pockets'!$E$18="Worse and material",$K192="Yes",$L192="Yes"),AND('Pockets'!$E$18="Worse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IF(AND($A193='Pockets'!$D$18,$B193='Pockets'!$C$18,OR('Pockets'!$E$18="All",AND('Pockets'!$E$18="Worse and material",$K193="Yes",$L193="Yes"),AND('Pockets'!$E$18="Worse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IF(AND($A194='Pockets'!$D$18,$B194='Pockets'!$C$18,OR('Pockets'!$E$18="All",AND('Pockets'!$E$18="Worse and material",$K194="Yes",$L194="Yes"),AND('Pockets'!$E$18="Worse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IF(AND($A195='Pockets'!$D$18,$B195='Pockets'!$C$18,OR('Pockets'!$E$18="All",AND('Pockets'!$E$18="Worse and material",$K195="Yes",$L195="Yes"),AND('Pockets'!$E$18="Worse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IF(AND($A196='Pockets'!$D$18,$B196='Pockets'!$C$18,OR('Pockets'!$E$18="All",AND('Pockets'!$E$18="Worse and material",$K196="Yes",$L196="Yes"),AND('Pockets'!$E$18="Worse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IF(AND($A197='Pockets'!$D$18,$B197='Pockets'!$C$18,OR('Pockets'!$E$18="All",AND('Pockets'!$E$18="Worse and material",$K197="Yes",$L197="Yes"),AND('Pockets'!$E$18="Worse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IF(AND($A198='Pockets'!$D$18,$B198='Pockets'!$C$18,OR('Pockets'!$E$18="All",AND('Pockets'!$E$18="Worse and material",$K198="Yes",$L198="Yes"),AND('Pockets'!$E$18="Worse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IF(AND($A199='Pockets'!$D$18,$B199='Pockets'!$C$18,OR('Pockets'!$E$18="All",AND('Pockets'!$E$18="Worse and material",$K199="Yes",$L199="Yes"),AND('Pockets'!$E$18="Worse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IF(AND($A200='Pockets'!$D$18,$B200='Pockets'!$C$18,OR('Pockets'!$E$18="All",AND('Pockets'!$E$18="Worse and material",$K200="Yes",$L200="Yes"),AND('Pockets'!$E$18="Worse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IF(AND($A201='Pockets'!$D$18,$B201='Pockets'!$C$18,OR('Pockets'!$E$18="All",AND('Pockets'!$E$18="Worse and material",$K201="Yes",$L201="Yes"),AND('Pockets'!$E$18="Worse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IF(AND($A202='Pockets'!$D$18,$B202='Pockets'!$C$18,OR('Pockets'!$E$18="All",AND('Pockets'!$E$18="Worse and material",$K202="Yes",$L202="Yes"),AND('Pockets'!$E$18="Worse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IF(AND($A203='Pockets'!$D$18,$B203='Pockets'!$C$18,OR('Pockets'!$E$18="All",AND('Pockets'!$E$18="Worse and material",$K203="Yes",$L203="Yes"),AND('Pockets'!$E$18="Worse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IF(AND($A204='Pockets'!$D$18,$B204='Pockets'!$C$18,OR('Pockets'!$E$18="All",AND('Pockets'!$E$18="Worse and material",$K204="Yes",$L204="Yes"),AND('Pockets'!$E$18="Worse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IF(AND($A205='Pockets'!$D$18,$B205='Pockets'!$C$18,OR('Pockets'!$E$18="All",AND('Pockets'!$E$18="Worse and material",$K205="Yes",$L205="Yes"),AND('Pockets'!$E$18="Worse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IF(AND($A206='Pockets'!$D$18,$B206='Pockets'!$C$18,OR('Pockets'!$E$18="All",AND('Pockets'!$E$18="Worse and material",$K206="Yes",$L206="Yes"),AND('Pockets'!$E$18="Worse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IF(AND($A207='Pockets'!$D$18,$B207='Pockets'!$C$18,OR('Pockets'!$E$18="All",AND('Pockets'!$E$18="Worse and material",$K207="Yes",$L207="Yes"),AND('Pockets'!$E$18="Worse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IF(AND($A208='Pockets'!$D$18,$B208='Pockets'!$C$18,OR('Pockets'!$E$18="All",AND('Pockets'!$E$18="Worse and material",$K208="Yes",$L208="Yes"),AND('Pockets'!$E$18="Worse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IF(AND($A209='Pockets'!$D$18,$B209='Pockets'!$C$18,OR('Pockets'!$E$18="All",AND('Pockets'!$E$18="Worse and material",$K209="Yes",$L209="Yes"),AND('Pockets'!$E$18="Worse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IF(AND($A210='Pockets'!$D$18,$B210='Pockets'!$C$18,OR('Pockets'!$E$18="All",AND('Pockets'!$E$18="Worse and material",$K210="Yes",$L210="Yes"),AND('Pockets'!$E$18="Worse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IF(AND($A211='Pockets'!$D$18,$B211='Pockets'!$C$18,OR('Pockets'!$E$18="All",AND('Pockets'!$E$18="Worse and material",$K211="Yes",$L211="Yes"),AND('Pockets'!$E$18="Worse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IF(AND($A212='Pockets'!$D$18,$B212='Pockets'!$C$18,OR('Pockets'!$E$18="All",AND('Pockets'!$E$18="Worse and material",$K212="Yes",$L212="Yes"),AND('Pockets'!$E$18="Worse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IF(AND($A213='Pockets'!$D$18,$B213='Pockets'!$C$18,OR('Pockets'!$E$18="All",AND('Pockets'!$E$18="Worse and material",$K213="Yes",$L213="Yes"),AND('Pockets'!$E$18="Worse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IF(AND($A214='Pockets'!$D$18,$B214='Pockets'!$C$18,OR('Pockets'!$E$18="All",AND('Pockets'!$E$18="Worse and material",$K214="Yes",$L214="Yes"),AND('Pockets'!$E$18="Worse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IF(AND($A215='Pockets'!$D$18,$B215='Pockets'!$C$18,OR('Pockets'!$E$18="All",AND('Pockets'!$E$18="Worse and material",$K215="Yes",$L215="Yes"),AND('Pockets'!$E$18="Worse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IF(AND($A216='Pockets'!$D$18,$B216='Pockets'!$C$18,OR('Pockets'!$E$18="All",AND('Pockets'!$E$18="Worse and material",$K216="Yes",$L216="Yes"),AND('Pockets'!$E$18="Worse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IF(AND($A217='Pockets'!$D$18,$B217='Pockets'!$C$18,OR('Pockets'!$E$18="All",AND('Pockets'!$E$18="Worse and material",$K217="Yes",$L217="Yes"),AND('Pockets'!$E$18="Worse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IF(AND($A218='Pockets'!$D$18,$B218='Pockets'!$C$18,OR('Pockets'!$E$18="All",AND('Pockets'!$E$18="Worse and material",$K218="Yes",$L218="Yes"),AND('Pockets'!$E$18="Worse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IF(AND($A219='Pockets'!$D$18,$B219='Pockets'!$C$18,OR('Pockets'!$E$18="All",AND('Pockets'!$E$18="Worse and material",$K219="Yes",$L219="Yes"),AND('Pockets'!$E$18="Worse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IF(AND($A220='Pockets'!$D$18,$B220='Pockets'!$C$18,OR('Pockets'!$E$18="All",AND('Pockets'!$E$18="Worse and material",$K220="Yes",$L220="Yes"),AND('Pockets'!$E$18="Worse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IF(AND($A221='Pockets'!$D$18,$B221='Pockets'!$C$18,OR('Pockets'!$E$18="All",AND('Pockets'!$E$18="Worse and material",$K221="Yes",$L221="Yes"),AND('Pockets'!$E$18="Worse or not sure",OR($K221="Yes",$K221="Not sure")))),1,0)</f>
        <v/>
      </c>
      <c r="N221">
        <f>$N220+$M221</f>
        <v/>
      </c>
      <c r="O221" t="inlineStr">
        <is>
          <t>grids</t>
        </is>
      </c>
      <c r="P221" t="inlineStr">
        <is>
          <t>contribution_rate</t>
        </is>
      </c>
    </row>
    <row r="222">
      <c r="A222" t="inlineStr">
        <is>
          <t>Split by REV_DEBT</t>
        </is>
      </c>
      <c r="B222" t="inlineStr">
        <is>
          <t>Bad loans</t>
        </is>
      </c>
      <c r="C222" t="n">
        <v>489</v>
      </c>
      <c r="D222" t="inlineStr">
        <is>
          <t>FICO 496 - 653</t>
        </is>
      </c>
      <c r="E222" t="inlineStr">
        <is>
          <t>Broker</t>
        </is>
      </c>
      <c r="F222" t="inlineStr">
        <is>
          <t>high</t>
        </is>
      </c>
      <c r="G222" t="n">
        <v>261</v>
      </c>
      <c r="H222" t="n">
        <v>1.657586474286191</v>
      </c>
      <c r="I222" t="inlineStr">
        <is>
          <t>Yes</t>
        </is>
      </c>
      <c r="J222" t="n">
        <v>1</v>
      </c>
      <c r="K222">
        <f>'_pockets'!$AI$489</f>
        <v/>
      </c>
      <c r="L222">
        <f>'_pockets'!$AJ$489</f>
        <v/>
      </c>
      <c r="M222">
        <f>IF(AND($A222='Pockets'!$D$18,$B222='Pockets'!$C$18,OR('Pockets'!$E$18="All",AND('Pockets'!$E$18="Worse and material",$K222="Yes",$L222="Yes"),AND('Pockets'!$E$18="Worse or not sure",OR($K222="Yes",$K222="Not sure")))),1,0)</f>
        <v/>
      </c>
      <c r="N222">
        <f>$N221+$M222</f>
        <v/>
      </c>
      <c r="O222" t="inlineStr">
        <is>
          <t>three-way</t>
        </is>
      </c>
      <c r="P222" t="inlineStr">
        <is>
          <t>outcome_loans</t>
        </is>
      </c>
    </row>
    <row r="223">
      <c r="A223" t="inlineStr">
        <is>
          <t>Split by REV_DEBT</t>
        </is>
      </c>
      <c r="B223" t="inlineStr">
        <is>
          <t>Bad loans</t>
        </is>
      </c>
      <c r="C223" t="n">
        <v>684</v>
      </c>
      <c r="D223" t="inlineStr">
        <is>
          <t>FICO 496 - 653</t>
        </is>
      </c>
      <c r="E223" t="inlineStr">
        <is>
          <t>ASSET_CLASS 4</t>
        </is>
      </c>
      <c r="F223" t="inlineStr">
        <is>
          <t>high</t>
        </is>
      </c>
      <c r="G223" t="n">
        <v>196</v>
      </c>
      <c r="H223" t="n">
        <v>1.762210077571128</v>
      </c>
      <c r="I223" t="inlineStr">
        <is>
          <t>Yes</t>
        </is>
      </c>
      <c r="J223" t="n">
        <v>2</v>
      </c>
      <c r="K223">
        <f>'_pockets'!$AI$684</f>
        <v/>
      </c>
      <c r="L223">
        <f>'_pockets'!$AJ$684</f>
        <v/>
      </c>
      <c r="M223">
        <f>IF(AND($A223='Pockets'!$D$18,$B223='Pockets'!$C$18,OR('Pockets'!$E$18="All",AND('Pockets'!$E$18="Worse and material",$K223="Yes",$L223="Yes"),AND('Pockets'!$E$18="Worse or not sure",OR($K223="Yes",$K223="Not sure")))),1,0)</f>
        <v/>
      </c>
      <c r="N223">
        <f>$N222+$M223</f>
        <v/>
      </c>
      <c r="O223" t="inlineStr">
        <is>
          <t>three-way</t>
        </is>
      </c>
      <c r="P223" t="inlineStr">
        <is>
          <t>outcome_loans</t>
        </is>
      </c>
    </row>
    <row r="224">
      <c r="A224" t="inlineStr">
        <is>
          <t>Split by REV_DEBT</t>
        </is>
      </c>
      <c r="B224" t="inlineStr">
        <is>
          <t>Bad loans</t>
        </is>
      </c>
      <c r="C224" t="n">
        <v>479</v>
      </c>
      <c r="D224" t="inlineStr">
        <is>
          <t>FICO 686 - 711</t>
        </is>
      </c>
      <c r="E224" t="inlineStr">
        <is>
          <t>Online</t>
        </is>
      </c>
      <c r="F224" t="inlineStr">
        <is>
          <t>high</t>
        </is>
      </c>
      <c r="G224" t="n">
        <v>273</v>
      </c>
      <c r="H224" t="n">
        <v>1.642660826290603</v>
      </c>
      <c r="I224" t="inlineStr">
        <is>
          <t>Yes</t>
        </is>
      </c>
      <c r="J224" t="n">
        <v>3</v>
      </c>
      <c r="K224">
        <f>'_pockets'!$AI$479</f>
        <v/>
      </c>
      <c r="L224">
        <f>'_pockets'!$AJ$479</f>
        <v/>
      </c>
      <c r="M224">
        <f>IF(AND($A224='Pockets'!$D$18,$B224='Pockets'!$C$18,OR('Pockets'!$E$18="All",AND('Pockets'!$E$18="Worse and material",$K224="Yes",$L224="Yes"),AND('Pockets'!$E$18="Worse or not sure",OR($K224="Yes",$K224="Not sure")))),1,0)</f>
        <v/>
      </c>
      <c r="N224">
        <f>$N223+$M224</f>
        <v/>
      </c>
      <c r="O224" t="inlineStr">
        <is>
          <t>three-way</t>
        </is>
      </c>
      <c r="P224" t="inlineStr">
        <is>
          <t>outcome_loans</t>
        </is>
      </c>
    </row>
    <row r="225">
      <c r="A225" t="inlineStr">
        <is>
          <t>Split by REV_DEBT</t>
        </is>
      </c>
      <c r="B225" t="inlineStr">
        <is>
          <t>Bad loans</t>
        </is>
      </c>
      <c r="C225" t="n">
        <v>464</v>
      </c>
      <c r="D225" t="inlineStr">
        <is>
          <t>FICO 712 - 745</t>
        </is>
      </c>
      <c r="E225" t="inlineStr">
        <is>
          <t>Online</t>
        </is>
      </c>
      <c r="F225" t="inlineStr">
        <is>
          <t>high</t>
        </is>
      </c>
      <c r="G225" t="n">
        <v>282</v>
      </c>
      <c r="H225" t="n">
        <v>1.632126292275921</v>
      </c>
      <c r="I225" t="inlineStr">
        <is>
          <t>Yes</t>
        </is>
      </c>
      <c r="J225" t="n">
        <v>4</v>
      </c>
      <c r="K225">
        <f>'_pockets'!$AI$464</f>
        <v/>
      </c>
      <c r="L225">
        <f>'_pockets'!$AJ$464</f>
        <v/>
      </c>
      <c r="M225">
        <f>IF(AND($A225='Pockets'!$D$18,$B225='Pockets'!$C$18,OR('Pockets'!$E$18="All",AND('Pockets'!$E$18="Worse and material",$K225="Yes",$L225="Yes"),AND('Pockets'!$E$18="Worse or not sure",OR($K225="Yes",$K225="Not sure")))),1,0)</f>
        <v/>
      </c>
      <c r="N225">
        <f>$N224+$M225</f>
        <v/>
      </c>
      <c r="O225" t="inlineStr">
        <is>
          <t>three-way</t>
        </is>
      </c>
      <c r="P225" t="inlineStr">
        <is>
          <t>outcome_loans</t>
        </is>
      </c>
    </row>
    <row r="226">
      <c r="A226" t="inlineStr">
        <is>
          <t>Split by REV_DEBT</t>
        </is>
      </c>
      <c r="B226" t="inlineStr">
        <is>
          <t>Bad loans</t>
        </is>
      </c>
      <c r="C226" t="n">
        <v>714</v>
      </c>
      <c r="D226" t="inlineStr">
        <is>
          <t>FICO 654 - 685</t>
        </is>
      </c>
      <c r="E226" t="inlineStr">
        <is>
          <t>ASSET_CLASS 4</t>
        </is>
      </c>
      <c r="F226" t="inlineStr">
        <is>
          <t>high</t>
        </is>
      </c>
      <c r="G226" t="n">
        <v>205</v>
      </c>
      <c r="H226" t="n">
        <v>1.744661990253643</v>
      </c>
      <c r="I226" t="inlineStr">
        <is>
          <t>Yes</t>
        </is>
      </c>
      <c r="J226" t="n">
        <v>5</v>
      </c>
      <c r="K226">
        <f>'_pockets'!$AI$714</f>
        <v/>
      </c>
      <c r="L226">
        <f>'_pockets'!$AJ$714</f>
        <v/>
      </c>
      <c r="M226">
        <f>IF(AND($A226='Pockets'!$D$18,$B226='Pockets'!$C$18,OR('Pockets'!$E$18="All",AND('Pockets'!$E$18="Worse and material",$K226="Yes",$L226="Yes"),AND('Pockets'!$E$18="Worse or not sure",OR($K226="Yes",$K226="Not sure")))),1,0)</f>
        <v/>
      </c>
      <c r="N226">
        <f>$N225+$M226</f>
        <v/>
      </c>
      <c r="O226" t="inlineStr">
        <is>
          <t>three-way</t>
        </is>
      </c>
      <c r="P226" t="inlineStr">
        <is>
          <t>outcome_loans</t>
        </is>
      </c>
    </row>
    <row r="227">
      <c r="A227" t="inlineStr">
        <is>
          <t>Split by REV_DEBT</t>
        </is>
      </c>
      <c r="B227" t="inlineStr">
        <is>
          <t>Bad loans</t>
        </is>
      </c>
      <c r="C227" t="n">
        <v>809</v>
      </c>
      <c r="D227" t="inlineStr">
        <is>
          <t>FICO 686 - 711</t>
        </is>
      </c>
      <c r="E227" t="inlineStr">
        <is>
          <t>ASSET_CLASS 4</t>
        </is>
      </c>
      <c r="F227" t="inlineStr">
        <is>
          <t>high</t>
        </is>
      </c>
      <c r="G227" t="n">
        <v>203</v>
      </c>
      <c r="H227" t="n">
        <v>1.748455889302835</v>
      </c>
      <c r="I227" t="inlineStr">
        <is>
          <t>Yes</t>
        </is>
      </c>
      <c r="J227" t="n">
        <v>6</v>
      </c>
      <c r="K227">
        <f>'_pockets'!$AI$809</f>
        <v/>
      </c>
      <c r="L227">
        <f>'_pockets'!$AJ$809</f>
        <v/>
      </c>
      <c r="M227">
        <f>IF(AND($A227='Pockets'!$D$18,$B227='Pockets'!$C$18,OR('Pockets'!$E$18="All",AND('Pockets'!$E$18="Worse and material",$K227="Yes",$L227="Yes"),AND('Pockets'!$E$18="Worse or not sure",OR($K227="Yes",$K227="Not sure")))),1,0)</f>
        <v/>
      </c>
      <c r="N227">
        <f>$N226+$M227</f>
        <v/>
      </c>
      <c r="O227" t="inlineStr">
        <is>
          <t>three-way</t>
        </is>
      </c>
      <c r="P227" t="inlineStr">
        <is>
          <t>outcome_loans</t>
        </is>
      </c>
    </row>
    <row r="228">
      <c r="A228" t="inlineStr">
        <is>
          <t>Split by REV_DEBT</t>
        </is>
      </c>
      <c r="B228" t="inlineStr">
        <is>
          <t>Bad loans</t>
        </is>
      </c>
      <c r="C228" t="n">
        <v>619</v>
      </c>
      <c r="D228" t="inlineStr">
        <is>
          <t>FICO 712 - 745</t>
        </is>
      </c>
      <c r="E228" t="inlineStr">
        <is>
          <t>ASSET_CLASS 4</t>
        </is>
      </c>
      <c r="F228" t="inlineStr">
        <is>
          <t>high</t>
        </is>
      </c>
      <c r="G228" t="n">
        <v>213</v>
      </c>
      <c r="H228" t="n">
        <v>1.730048761680541</v>
      </c>
      <c r="I228" t="inlineStr">
        <is>
          <t>Yes</t>
        </is>
      </c>
      <c r="J228" t="n">
        <v>7</v>
      </c>
      <c r="K228">
        <f>'_pockets'!$AI$619</f>
        <v/>
      </c>
      <c r="L228">
        <f>'_pockets'!$AJ$619</f>
        <v/>
      </c>
      <c r="M228">
        <f>IF(AND($A228='Pockets'!$D$18,$B228='Pockets'!$C$18,OR('Pockets'!$E$18="All",AND('Pockets'!$E$18="Worse and material",$K228="Yes",$L228="Yes"),AND('Pockets'!$E$18="Worse or not sure",OR($K228="Yes",$K228="Not sure")))),1,0)</f>
        <v/>
      </c>
      <c r="N228">
        <f>$N227+$M228</f>
        <v/>
      </c>
      <c r="O228" t="inlineStr">
        <is>
          <t>three-way</t>
        </is>
      </c>
      <c r="P228" t="inlineStr">
        <is>
          <t>outcome_loans</t>
        </is>
      </c>
    </row>
    <row r="229">
      <c r="A229" t="inlineStr">
        <is>
          <t>Split by REV_DEBT</t>
        </is>
      </c>
      <c r="B229" t="inlineStr">
        <is>
          <t>Bad loans</t>
        </is>
      </c>
      <c r="C229" t="n">
        <v>774</v>
      </c>
      <c r="D229" t="inlineStr">
        <is>
          <t>FICO 686 - 711</t>
        </is>
      </c>
      <c r="E229" t="inlineStr">
        <is>
          <t>ASSET_CLASS 3</t>
        </is>
      </c>
      <c r="F229" t="inlineStr">
        <is>
          <t>high</t>
        </is>
      </c>
      <c r="G229" t="n">
        <v>194</v>
      </c>
      <c r="H229" t="n">
        <v>1.766282281624315</v>
      </c>
      <c r="I229" t="inlineStr">
        <is>
          <t>Yes</t>
        </is>
      </c>
      <c r="J229" t="n">
        <v>8</v>
      </c>
      <c r="K229">
        <f>'_pockets'!$AI$774</f>
        <v/>
      </c>
      <c r="L229">
        <f>'_pockets'!$AJ$774</f>
        <v/>
      </c>
      <c r="M229">
        <f>IF(AND($A229='Pockets'!$D$18,$B229='Pockets'!$C$18,OR('Pockets'!$E$18="All",AND('Pockets'!$E$18="Worse and material",$K229="Yes",$L229="Yes"),AND('Pockets'!$E$18="Worse or not sure",OR($K229="Yes",$K229="Not sure")))),1,0)</f>
        <v/>
      </c>
      <c r="N229">
        <f>$N228+$M229</f>
        <v/>
      </c>
      <c r="O229" t="inlineStr">
        <is>
          <t>three-way</t>
        </is>
      </c>
      <c r="P229" t="inlineStr">
        <is>
          <t>outcome_loans</t>
        </is>
      </c>
    </row>
    <row r="230">
      <c r="A230" t="inlineStr">
        <is>
          <t>Split by REV_DEBT</t>
        </is>
      </c>
      <c r="B230" t="inlineStr">
        <is>
          <t>Bad loans</t>
        </is>
      </c>
      <c r="C230" t="n">
        <v>789</v>
      </c>
      <c r="D230" t="inlineStr">
        <is>
          <t>FICO 496 - 653</t>
        </is>
      </c>
      <c r="E230" t="inlineStr">
        <is>
          <t>ASSET_CLASS 1</t>
        </is>
      </c>
      <c r="F230" t="inlineStr">
        <is>
          <t>high</t>
        </is>
      </c>
      <c r="G230" t="n">
        <v>210</v>
      </c>
      <c r="H230" t="n">
        <v>1.735426290996793</v>
      </c>
      <c r="I230" t="inlineStr">
        <is>
          <t>Yes</t>
        </is>
      </c>
      <c r="J230" t="n">
        <v>9</v>
      </c>
      <c r="K230">
        <f>'_pockets'!$AI$789</f>
        <v/>
      </c>
      <c r="L230">
        <f>'_pockets'!$AJ$789</f>
        <v/>
      </c>
      <c r="M230">
        <f>IF(AND($A230='Pockets'!$D$18,$B230='Pockets'!$C$18,OR('Pockets'!$E$18="All",AND('Pockets'!$E$18="Worse and material",$K230="Yes",$L230="Yes"),AND('Pockets'!$E$18="Worse or not sure",OR($K230="Yes",$K230="Not sure")))),1,0)</f>
        <v/>
      </c>
      <c r="N230">
        <f>$N229+$M230</f>
        <v/>
      </c>
      <c r="O230" t="inlineStr">
        <is>
          <t>three-way</t>
        </is>
      </c>
      <c r="P230" t="inlineStr">
        <is>
          <t>outcome_loans</t>
        </is>
      </c>
    </row>
    <row r="231">
      <c r="A231" t="inlineStr">
        <is>
          <t>Split by REV_DEBT</t>
        </is>
      </c>
      <c r="B231" t="inlineStr">
        <is>
          <t>Bad loans</t>
        </is>
      </c>
      <c r="C231" t="n">
        <v>529</v>
      </c>
      <c r="D231" t="inlineStr">
        <is>
          <t>FICO 654 - 685</t>
        </is>
      </c>
      <c r="E231" t="inlineStr">
        <is>
          <t>Broker</t>
        </is>
      </c>
      <c r="F231" t="inlineStr">
        <is>
          <t>high</t>
        </is>
      </c>
      <c r="G231" t="n">
        <v>265</v>
      </c>
      <c r="H231" t="n">
        <v>1.652493453789482</v>
      </c>
      <c r="I231" t="inlineStr">
        <is>
          <t>Yes</t>
        </is>
      </c>
      <c r="J231" t="n">
        <v>10</v>
      </c>
      <c r="K231">
        <f>'_pockets'!$AI$529</f>
        <v/>
      </c>
      <c r="L231">
        <f>'_pockets'!$AJ$529</f>
        <v/>
      </c>
      <c r="M231">
        <f>IF(AND($A231='Pockets'!$D$18,$B231='Pockets'!$C$18,OR('Pockets'!$E$18="All",AND('Pockets'!$E$18="Worse and material",$K231="Yes",$L231="Yes"),AND('Pockets'!$E$18="Worse or not sure",OR($K231="Yes",$K231="Not sure")))),1,0)</f>
        <v/>
      </c>
      <c r="N231">
        <f>$N230+$M231</f>
        <v/>
      </c>
      <c r="O231" t="inlineStr">
        <is>
          <t>three-way</t>
        </is>
      </c>
      <c r="P231" t="inlineStr">
        <is>
          <t>outcome_loans</t>
        </is>
      </c>
    </row>
    <row r="232">
      <c r="A232" t="inlineStr">
        <is>
          <t>Split by REV_DEBT</t>
        </is>
      </c>
      <c r="B232" t="inlineStr">
        <is>
          <t>Bad loans</t>
        </is>
      </c>
      <c r="C232" t="n">
        <v>689</v>
      </c>
      <c r="D232" t="inlineStr">
        <is>
          <t>FICO 496 - 653</t>
        </is>
      </c>
      <c r="E232" t="inlineStr">
        <is>
          <t>ASSET_CLASS 3</t>
        </is>
      </c>
      <c r="F232" t="inlineStr">
        <is>
          <t>high</t>
        </is>
      </c>
      <c r="G232" t="n">
        <v>175</v>
      </c>
      <c r="H232" t="n">
        <v>1.808552132214177</v>
      </c>
      <c r="I232" t="inlineStr">
        <is>
          <t>Yes</t>
        </is>
      </c>
      <c r="J232" t="n">
        <v>11</v>
      </c>
      <c r="K232">
        <f>'_pockets'!$AI$689</f>
        <v/>
      </c>
      <c r="L232">
        <f>'_pockets'!$AJ$689</f>
        <v/>
      </c>
      <c r="M232">
        <f>IF(AND($A232='Pockets'!$D$18,$B232='Pockets'!$C$18,OR('Pockets'!$E$18="All",AND('Pockets'!$E$18="Worse and material",$K232="Yes",$L232="Yes"),AND('Pockets'!$E$18="Worse or not sure",OR($K232="Yes",$K232="Not sure")))),1,0)</f>
        <v/>
      </c>
      <c r="N232">
        <f>$N231+$M232</f>
        <v/>
      </c>
      <c r="O232" t="inlineStr">
        <is>
          <t>three-way</t>
        </is>
      </c>
      <c r="P232" t="inlineStr">
        <is>
          <t>outcome_loans</t>
        </is>
      </c>
    </row>
    <row r="233">
      <c r="A233" t="inlineStr">
        <is>
          <t>Split by REV_DEBT</t>
        </is>
      </c>
      <c r="B233" t="inlineStr">
        <is>
          <t>Bad loans</t>
        </is>
      </c>
      <c r="C233" t="n">
        <v>504</v>
      </c>
      <c r="D233" t="inlineStr">
        <is>
          <t>FICO 654 - 685</t>
        </is>
      </c>
      <c r="E233" t="inlineStr">
        <is>
          <t>Online</t>
        </is>
      </c>
      <c r="F233" t="inlineStr">
        <is>
          <t>high</t>
        </is>
      </c>
      <c r="G233" t="n">
        <v>252</v>
      </c>
      <c r="H233" t="n">
        <v>1.669506997135689</v>
      </c>
      <c r="I233" t="inlineStr">
        <is>
          <t>Yes</t>
        </is>
      </c>
      <c r="J233" t="n">
        <v>12</v>
      </c>
      <c r="K233">
        <f>'_pockets'!$AI$504</f>
        <v/>
      </c>
      <c r="L233">
        <f>'_pockets'!$AJ$504</f>
        <v/>
      </c>
      <c r="M233">
        <f>IF(AND($A233='Pockets'!$D$18,$B233='Pockets'!$C$18,OR('Pockets'!$E$18="All",AND('Pockets'!$E$18="Worse and material",$K233="Yes",$L233="Yes"),AND('Pockets'!$E$18="Worse or not sure",OR($K233="Yes",$K233="Not sure")))),1,0)</f>
        <v/>
      </c>
      <c r="N233">
        <f>$N232+$M233</f>
        <v/>
      </c>
      <c r="O233" t="inlineStr">
        <is>
          <t>three-way</t>
        </is>
      </c>
      <c r="P233" t="inlineStr">
        <is>
          <t>outcome_loans</t>
        </is>
      </c>
    </row>
    <row r="234">
      <c r="A234" t="inlineStr">
        <is>
          <t>Split by REV_DEBT</t>
        </is>
      </c>
      <c r="B234" t="inlineStr">
        <is>
          <t>Bad loans</t>
        </is>
      </c>
      <c r="C234" t="n">
        <v>679</v>
      </c>
      <c r="D234" t="inlineStr">
        <is>
          <t>FICO 654 - 685</t>
        </is>
      </c>
      <c r="E234" t="inlineStr">
        <is>
          <t>ASSET_CLASS 1</t>
        </is>
      </c>
      <c r="F234" t="inlineStr">
        <is>
          <t>high</t>
        </is>
      </c>
      <c r="G234" t="n">
        <v>198</v>
      </c>
      <c r="H234" t="n">
        <v>1.758202546894723</v>
      </c>
      <c r="I234" t="inlineStr">
        <is>
          <t>Yes</t>
        </is>
      </c>
      <c r="J234" t="n">
        <v>13</v>
      </c>
      <c r="K234">
        <f>'_pockets'!$AI$679</f>
        <v/>
      </c>
      <c r="L234">
        <f>'_pockets'!$AJ$679</f>
        <v/>
      </c>
      <c r="M234">
        <f>IF(AND($A234='Pockets'!$D$18,$B234='Pockets'!$C$18,OR('Pockets'!$E$18="All",AND('Pockets'!$E$18="Worse and material",$K234="Yes",$L234="Yes"),AND('Pockets'!$E$18="Worse or not sure",OR($K234="Yes",$K234="Not sure")))),1,0)</f>
        <v/>
      </c>
      <c r="N234">
        <f>$N233+$M234</f>
        <v/>
      </c>
      <c r="O234" t="inlineStr">
        <is>
          <t>three-way</t>
        </is>
      </c>
      <c r="P234" t="inlineStr">
        <is>
          <t>outcome_loans</t>
        </is>
      </c>
    </row>
    <row r="235">
      <c r="A235" t="inlineStr">
        <is>
          <t>Split by REV_DEBT</t>
        </is>
      </c>
      <c r="B235" t="inlineStr">
        <is>
          <t>Bad loans</t>
        </is>
      </c>
      <c r="C235" t="n">
        <v>469</v>
      </c>
      <c r="D235" t="inlineStr">
        <is>
          <t>FICO 654 - 685</t>
        </is>
      </c>
      <c r="E235" t="inlineStr">
        <is>
          <t>Branch</t>
        </is>
      </c>
      <c r="F235" t="inlineStr">
        <is>
          <t>high</t>
        </is>
      </c>
      <c r="G235" t="n">
        <v>251</v>
      </c>
      <c r="H235" t="n">
        <v>1.670872794280719</v>
      </c>
      <c r="I235" t="inlineStr">
        <is>
          <t>Yes</t>
        </is>
      </c>
      <c r="J235" t="n">
        <v>14</v>
      </c>
      <c r="K235">
        <f>'_pockets'!$AI$469</f>
        <v/>
      </c>
      <c r="L235">
        <f>'_pockets'!$AJ$469</f>
        <v/>
      </c>
      <c r="M235">
        <f>IF(AND($A235='Pockets'!$D$18,$B235='Pockets'!$C$18,OR('Pockets'!$E$18="All",AND('Pockets'!$E$18="Worse and material",$K235="Yes",$L235="Yes"),AND('Pockets'!$E$18="Worse or not sure",OR($K235="Yes",$K235="Not sure")))),1,0)</f>
        <v/>
      </c>
      <c r="N235">
        <f>$N234+$M235</f>
        <v/>
      </c>
      <c r="O235" t="inlineStr">
        <is>
          <t>three-way</t>
        </is>
      </c>
      <c r="P235" t="inlineStr">
        <is>
          <t>outcome_loans</t>
        </is>
      </c>
    </row>
    <row r="236">
      <c r="A236" t="inlineStr">
        <is>
          <t>Split by REV_DEBT</t>
        </is>
      </c>
      <c r="B236" t="inlineStr">
        <is>
          <t>Bad loans</t>
        </is>
      </c>
      <c r="C236" t="n">
        <v>589</v>
      </c>
      <c r="D236" t="inlineStr">
        <is>
          <t>FICO (marked missing)</t>
        </is>
      </c>
      <c r="E236" t="inlineStr">
        <is>
          <t>Broker</t>
        </is>
      </c>
      <c r="F236" t="inlineStr">
        <is>
          <t>high</t>
        </is>
      </c>
      <c r="G236" t="n">
        <v>27</v>
      </c>
      <c r="H236" t="n">
        <v>3.214461347627554</v>
      </c>
      <c r="I236" t="inlineStr">
        <is>
          <t>Yes</t>
        </is>
      </c>
      <c r="J236" t="n">
        <v>15</v>
      </c>
      <c r="K236">
        <f>'_pockets'!$AI$589</f>
        <v/>
      </c>
      <c r="L236">
        <f>'_pockets'!$AJ$589</f>
        <v/>
      </c>
      <c r="M236">
        <f>IF(AND($A236='Pockets'!$D$18,$B236='Pockets'!$C$18,OR('Pockets'!$E$18="All",AND('Pockets'!$E$18="Worse and material",$K236="Yes",$L236="Yes"),AND('Pockets'!$E$18="Worse or not sure",OR($K236="Yes",$K236="Not sure")))),1,0)</f>
        <v/>
      </c>
      <c r="N236">
        <f>$N235+$M236</f>
        <v/>
      </c>
      <c r="O236" t="inlineStr">
        <is>
          <t>three-way</t>
        </is>
      </c>
      <c r="P236" t="inlineStr">
        <is>
          <t>outcome_loans</t>
        </is>
      </c>
    </row>
    <row r="237">
      <c r="A237" t="inlineStr">
        <is>
          <t>Split by REV_DEBT</t>
        </is>
      </c>
      <c r="B237" t="inlineStr">
        <is>
          <t>Bad loans</t>
        </is>
      </c>
      <c r="C237" t="n">
        <v>669</v>
      </c>
      <c r="D237" t="inlineStr">
        <is>
          <t>FICO 686 - 711</t>
        </is>
      </c>
      <c r="E237" t="inlineStr">
        <is>
          <t>ASSET_CLASS 1</t>
        </is>
      </c>
      <c r="F237" t="inlineStr">
        <is>
          <t>high</t>
        </is>
      </c>
      <c r="G237" t="n">
        <v>186</v>
      </c>
      <c r="H237" t="n">
        <v>1.783253341014059</v>
      </c>
      <c r="I237" t="inlineStr">
        <is>
          <t>Yes</t>
        </is>
      </c>
      <c r="J237" t="n">
        <v>16</v>
      </c>
      <c r="K237">
        <f>'_pockets'!$AI$669</f>
        <v/>
      </c>
      <c r="L237">
        <f>'_pockets'!$AJ$669</f>
        <v/>
      </c>
      <c r="M237">
        <f>IF(AND($A237='Pockets'!$D$18,$B237='Pockets'!$C$18,OR('Pockets'!$E$18="All",AND('Pockets'!$E$18="Worse and material",$K237="Yes",$L237="Yes"),AND('Pockets'!$E$18="Worse or not sure",OR($K237="Yes",$K237="Not sure")))),1,0)</f>
        <v/>
      </c>
      <c r="N237">
        <f>$N236+$M237</f>
        <v/>
      </c>
      <c r="O237" t="inlineStr">
        <is>
          <t>three-way</t>
        </is>
      </c>
      <c r="P237" t="inlineStr">
        <is>
          <t>outcome_loans</t>
        </is>
      </c>
    </row>
    <row r="238">
      <c r="A238" t="inlineStr">
        <is>
          <t>Split by REV_DEBT</t>
        </is>
      </c>
      <c r="B238" t="inlineStr">
        <is>
          <t>Bad loans</t>
        </is>
      </c>
      <c r="C238" t="n">
        <v>624</v>
      </c>
      <c r="D238" t="inlineStr">
        <is>
          <t>FICO 746 - 921</t>
        </is>
      </c>
      <c r="E238" t="inlineStr">
        <is>
          <t>ASSET_CLASS 2</t>
        </is>
      </c>
      <c r="F238" t="inlineStr">
        <is>
          <t>high</t>
        </is>
      </c>
      <c r="G238" t="n">
        <v>199</v>
      </c>
      <c r="H238" t="n">
        <v>1.756222511672635</v>
      </c>
      <c r="I238" t="inlineStr">
        <is>
          <t>Yes</t>
        </is>
      </c>
      <c r="J238" t="n">
        <v>17</v>
      </c>
      <c r="K238">
        <f>'_pockets'!$AI$624</f>
        <v/>
      </c>
      <c r="L238">
        <f>'_pockets'!$AJ$624</f>
        <v/>
      </c>
      <c r="M238">
        <f>IF(AND($A238='Pockets'!$D$18,$B238='Pockets'!$C$18,OR('Pockets'!$E$18="All",AND('Pockets'!$E$18="Worse and material",$K238="Yes",$L238="Yes"),AND('Pockets'!$E$18="Worse or not sure",OR($K238="Yes",$K238="Not sure")))),1,0)</f>
        <v/>
      </c>
      <c r="N238">
        <f>$N237+$M238</f>
        <v/>
      </c>
      <c r="O238" t="inlineStr">
        <is>
          <t>three-way</t>
        </is>
      </c>
      <c r="P238" t="inlineStr">
        <is>
          <t>outcome_loans</t>
        </is>
      </c>
    </row>
    <row r="239">
      <c r="A239" t="inlineStr">
        <is>
          <t>Split by REV_DEBT</t>
        </is>
      </c>
      <c r="B239" t="inlineStr">
        <is>
          <t>Bad loans</t>
        </is>
      </c>
      <c r="C239" t="n">
        <v>449</v>
      </c>
      <c r="D239" t="inlineStr">
        <is>
          <t>FICO 712 - 745</t>
        </is>
      </c>
      <c r="E239" t="inlineStr">
        <is>
          <t>Online</t>
        </is>
      </c>
      <c r="F239" t="inlineStr">
        <is>
          <t>low</t>
        </is>
      </c>
      <c r="G239" t="n">
        <v>282</v>
      </c>
      <c r="H239" t="n">
        <v>1.632126292275921</v>
      </c>
      <c r="I239" t="inlineStr">
        <is>
          <t>Yes</t>
        </is>
      </c>
      <c r="J239" t="n">
        <v>18</v>
      </c>
      <c r="K239">
        <f>'_pockets'!$AI$449</f>
        <v/>
      </c>
      <c r="L239">
        <f>'_pockets'!$AJ$449</f>
        <v/>
      </c>
      <c r="M239">
        <f>IF(AND($A239='Pockets'!$D$18,$B239='Pockets'!$C$18,OR('Pockets'!$E$18="All",AND('Pockets'!$E$18="Worse and material",$K239="Yes",$L239="Yes"),AND('Pockets'!$E$18="Worse or not sure",OR($K239="Yes",$K239="Not sure")))),1,0)</f>
        <v/>
      </c>
      <c r="N239">
        <f>$N238+$M239</f>
        <v/>
      </c>
      <c r="O239" t="inlineStr">
        <is>
          <t>three-way</t>
        </is>
      </c>
      <c r="P239" t="inlineStr">
        <is>
          <t>outcome_loans</t>
        </is>
      </c>
    </row>
    <row r="240">
      <c r="A240" t="inlineStr">
        <is>
          <t>Split by REV_DEBT</t>
        </is>
      </c>
      <c r="B240" t="inlineStr">
        <is>
          <t>Bad loans</t>
        </is>
      </c>
      <c r="C240" t="n">
        <v>539</v>
      </c>
      <c r="D240" t="inlineStr">
        <is>
          <t>FICO 746 - 921</t>
        </is>
      </c>
      <c r="E240" t="inlineStr">
        <is>
          <t>Broker</t>
        </is>
      </c>
      <c r="F240" t="inlineStr">
        <is>
          <t>high</t>
        </is>
      </c>
      <c r="G240" t="n">
        <v>268</v>
      </c>
      <c r="H240" t="n">
        <v>1.648752231649387</v>
      </c>
      <c r="I240" t="inlineStr">
        <is>
          <t>Yes</t>
        </is>
      </c>
      <c r="J240" t="n">
        <v>19</v>
      </c>
      <c r="K240">
        <f>'_pockets'!$AI$539</f>
        <v/>
      </c>
      <c r="L240">
        <f>'_pockets'!$AJ$539</f>
        <v/>
      </c>
      <c r="M240">
        <f>IF(AND($A240='Pockets'!$D$18,$B240='Pockets'!$C$18,OR('Pockets'!$E$18="All",AND('Pockets'!$E$18="Worse and material",$K240="Yes",$L240="Yes"),AND('Pockets'!$E$18="Worse or not sure",OR($K240="Yes",$K240="Not sure")))),1,0)</f>
        <v/>
      </c>
      <c r="N240">
        <f>$N239+$M240</f>
        <v/>
      </c>
      <c r="O240" t="inlineStr">
        <is>
          <t>three-way</t>
        </is>
      </c>
      <c r="P240" t="inlineStr">
        <is>
          <t>outcome_loans</t>
        </is>
      </c>
    </row>
    <row r="241">
      <c r="A241" t="inlineStr">
        <is>
          <t>Split by REV_DEBT</t>
        </is>
      </c>
      <c r="B241" t="inlineStr">
        <is>
          <t>Bad loans</t>
        </is>
      </c>
      <c r="C241" t="n">
        <v>559</v>
      </c>
      <c r="D241" t="inlineStr">
        <is>
          <t>FICO 686 - 711</t>
        </is>
      </c>
      <c r="E241" t="inlineStr">
        <is>
          <t>Branch</t>
        </is>
      </c>
      <c r="F241" t="inlineStr">
        <is>
          <t>high</t>
        </is>
      </c>
      <c r="G241" t="n">
        <v>257</v>
      </c>
      <c r="H241" t="n">
        <v>1.662803545702996</v>
      </c>
      <c r="I241" t="inlineStr">
        <is>
          <t>Yes</t>
        </is>
      </c>
      <c r="J241" t="n">
        <v>20</v>
      </c>
      <c r="K241">
        <f>'_pockets'!$AI$559</f>
        <v/>
      </c>
      <c r="L241">
        <f>'_pockets'!$AJ$559</f>
        <v/>
      </c>
      <c r="M241">
        <f>IF(AND($A241='Pockets'!$D$18,$B241='Pockets'!$C$18,OR('Pockets'!$E$18="All",AND('Pockets'!$E$18="Worse and material",$K241="Yes",$L241="Yes"),AND('Pockets'!$E$18="Worse or not sure",OR($K241="Yes",$K241="Not sure")))),1,0)</f>
        <v/>
      </c>
      <c r="N241">
        <f>$N240+$M241</f>
        <v/>
      </c>
      <c r="O241" t="inlineStr">
        <is>
          <t>three-way</t>
        </is>
      </c>
      <c r="P241" t="inlineStr">
        <is>
          <t>outcome_loans</t>
        </is>
      </c>
    </row>
    <row r="242">
      <c r="A242" t="inlineStr">
        <is>
          <t>Split by REV_DEBT</t>
        </is>
      </c>
      <c r="B242" t="inlineStr">
        <is>
          <t>Bad loans</t>
        </is>
      </c>
      <c r="C242" t="n">
        <v>704</v>
      </c>
      <c r="D242" t="inlineStr">
        <is>
          <t>FICO 654 - 685</t>
        </is>
      </c>
      <c r="E242" t="inlineStr">
        <is>
          <t>ASSET_CLASS 3</t>
        </is>
      </c>
      <c r="F242" t="inlineStr">
        <is>
          <t>high</t>
        </is>
      </c>
      <c r="G242" t="n">
        <v>188</v>
      </c>
      <c r="H242" t="n">
        <v>1.778904520550543</v>
      </c>
      <c r="I242" t="inlineStr">
        <is>
          <t>Yes</t>
        </is>
      </c>
      <c r="J242" t="n">
        <v>21</v>
      </c>
      <c r="K242">
        <f>'_pockets'!$AI$704</f>
        <v/>
      </c>
      <c r="L242">
        <f>'_pockets'!$AJ$704</f>
        <v/>
      </c>
      <c r="M242">
        <f>IF(AND($A242='Pockets'!$D$18,$B242='Pockets'!$C$18,OR('Pockets'!$E$18="All",AND('Pockets'!$E$18="Worse and material",$K242="Yes",$L242="Yes"),AND('Pockets'!$E$18="Worse or not sure",OR($K242="Yes",$K242="Not sure")))),1,0)</f>
        <v/>
      </c>
      <c r="N242">
        <f>$N241+$M242</f>
        <v/>
      </c>
      <c r="O242" t="inlineStr">
        <is>
          <t>three-way</t>
        </is>
      </c>
      <c r="P242" t="inlineStr">
        <is>
          <t>outcome_loans</t>
        </is>
      </c>
    </row>
    <row r="243">
      <c r="A243" t="inlineStr">
        <is>
          <t>Split by REV_DEBT</t>
        </is>
      </c>
      <c r="B243" t="inlineStr">
        <is>
          <t>Bad loans</t>
        </is>
      </c>
      <c r="C243" t="n">
        <v>544</v>
      </c>
      <c r="D243" t="inlineStr">
        <is>
          <t>FICO 746 - 921</t>
        </is>
      </c>
      <c r="E243" t="inlineStr">
        <is>
          <t>Branch</t>
        </is>
      </c>
      <c r="F243" t="inlineStr">
        <is>
          <t>high</t>
        </is>
      </c>
      <c r="G243" t="n">
        <v>259</v>
      </c>
      <c r="H243" t="n">
        <v>1.660179196729962</v>
      </c>
      <c r="I243" t="inlineStr">
        <is>
          <t>Yes</t>
        </is>
      </c>
      <c r="J243" t="n">
        <v>22</v>
      </c>
      <c r="K243">
        <f>'_pockets'!$AI$544</f>
        <v/>
      </c>
      <c r="L243">
        <f>'_pockets'!$AJ$544</f>
        <v/>
      </c>
      <c r="M243">
        <f>IF(AND($A243='Pockets'!$D$18,$B243='Pockets'!$C$18,OR('Pockets'!$E$18="All",AND('Pockets'!$E$18="Worse and material",$K243="Yes",$L243="Yes"),AND('Pockets'!$E$18="Worse or not sure",OR($K243="Yes",$K243="Not sure")))),1,0)</f>
        <v/>
      </c>
      <c r="N243">
        <f>$N242+$M243</f>
        <v/>
      </c>
      <c r="O243" t="inlineStr">
        <is>
          <t>three-way</t>
        </is>
      </c>
      <c r="P243" t="inlineStr">
        <is>
          <t>outcome_loans</t>
        </is>
      </c>
    </row>
    <row r="244">
      <c r="A244" t="inlineStr">
        <is>
          <t>Split by REV_DEBT</t>
        </is>
      </c>
      <c r="B244" t="inlineStr">
        <is>
          <t>Bad loans</t>
        </is>
      </c>
      <c r="C244" t="n">
        <v>834</v>
      </c>
      <c r="D244" t="inlineStr">
        <is>
          <t>FICO (marked missing)</t>
        </is>
      </c>
      <c r="E244" t="inlineStr">
        <is>
          <t>ASSET_CLASS 2</t>
        </is>
      </c>
      <c r="F244" t="inlineStr">
        <is>
          <t>high</t>
        </is>
      </c>
      <c r="G244" t="n">
        <v>18</v>
      </c>
      <c r="H244" t="n">
        <v>3.766891604626315</v>
      </c>
      <c r="I244" t="inlineStr">
        <is>
          <t>Yes</t>
        </is>
      </c>
      <c r="J244" t="n">
        <v>23</v>
      </c>
      <c r="K244">
        <f>'_pockets'!$AI$834</f>
        <v/>
      </c>
      <c r="L244">
        <f>'_pockets'!$AJ$834</f>
        <v/>
      </c>
      <c r="M244">
        <f>IF(AND($A244='Pockets'!$D$18,$B244='Pockets'!$C$18,OR('Pockets'!$E$18="All",AND('Pockets'!$E$18="Worse and material",$K244="Yes",$L244="Yes"),AND('Pockets'!$E$18="Worse or not sure",OR($K244="Yes",$K244="Not sure")))),1,0)</f>
        <v/>
      </c>
      <c r="N244">
        <f>$N243+$M244</f>
        <v/>
      </c>
      <c r="O244" t="inlineStr">
        <is>
          <t>three-way</t>
        </is>
      </c>
      <c r="P244" t="inlineStr">
        <is>
          <t>outcome_loans</t>
        </is>
      </c>
    </row>
    <row r="245">
      <c r="A245" t="inlineStr">
        <is>
          <t>Split by REV_DEBT</t>
        </is>
      </c>
      <c r="B245" t="inlineStr">
        <is>
          <t>Bad loans</t>
        </is>
      </c>
      <c r="C245" t="n">
        <v>639</v>
      </c>
      <c r="D245" t="inlineStr">
        <is>
          <t>FICO 712 - 745</t>
        </is>
      </c>
      <c r="E245" t="inlineStr">
        <is>
          <t>ASSET_CLASS 4</t>
        </is>
      </c>
      <c r="F245" t="inlineStr">
        <is>
          <t>low</t>
        </is>
      </c>
      <c r="G245" t="n">
        <v>214</v>
      </c>
      <c r="H245" t="n">
        <v>1.728282581590889</v>
      </c>
      <c r="I245" t="inlineStr">
        <is>
          <t>Yes</t>
        </is>
      </c>
      <c r="J245" t="n">
        <v>24</v>
      </c>
      <c r="K245">
        <f>'_pockets'!$AI$639</f>
        <v/>
      </c>
      <c r="L245">
        <f>'_pockets'!$AJ$639</f>
        <v/>
      </c>
      <c r="M245">
        <f>IF(AND($A245='Pockets'!$D$18,$B245='Pockets'!$C$18,OR('Pockets'!$E$18="All",AND('Pockets'!$E$18="Worse and material",$K245="Yes",$L245="Yes"),AND('Pockets'!$E$18="Worse or not sure",OR($K245="Yes",$K245="Not sure")))),1,0)</f>
        <v/>
      </c>
      <c r="N245">
        <f>$N244+$M245</f>
        <v/>
      </c>
      <c r="O245" t="inlineStr">
        <is>
          <t>three-way</t>
        </is>
      </c>
      <c r="P245" t="inlineStr">
        <is>
          <t>outcome_loans</t>
        </is>
      </c>
    </row>
    <row r="246">
      <c r="A246" t="inlineStr">
        <is>
          <t>Split by REV_DEBT</t>
        </is>
      </c>
      <c r="B246" t="inlineStr">
        <is>
          <t>Bad loans</t>
        </is>
      </c>
      <c r="C246" t="n">
        <v>699</v>
      </c>
      <c r="D246" t="inlineStr">
        <is>
          <t>FICO 746 - 921</t>
        </is>
      </c>
      <c r="E246" t="inlineStr">
        <is>
          <t>ASSET_CLASS 3</t>
        </is>
      </c>
      <c r="F246" t="inlineStr">
        <is>
          <t>high</t>
        </is>
      </c>
      <c r="G246" t="n">
        <v>192</v>
      </c>
      <c r="H246" t="n">
        <v>1.77042088502628</v>
      </c>
      <c r="I246" t="inlineStr">
        <is>
          <t>Yes</t>
        </is>
      </c>
      <c r="J246" t="n">
        <v>25</v>
      </c>
      <c r="K246">
        <f>'_pockets'!$AI$699</f>
        <v/>
      </c>
      <c r="L246">
        <f>'_pockets'!$AJ$699</f>
        <v/>
      </c>
      <c r="M246">
        <f>IF(AND($A246='Pockets'!$D$18,$B246='Pockets'!$C$18,OR('Pockets'!$E$18="All",AND('Pockets'!$E$18="Worse and material",$K246="Yes",$L246="Yes"),AND('Pockets'!$E$18="Worse or not sure",OR($K246="Yes",$K246="Not sure")))),1,0)</f>
        <v/>
      </c>
      <c r="N246">
        <f>$N245+$M246</f>
        <v/>
      </c>
      <c r="O246" t="inlineStr">
        <is>
          <t>three-way</t>
        </is>
      </c>
      <c r="P246" t="inlineStr">
        <is>
          <t>outcome_loans</t>
        </is>
      </c>
    </row>
    <row r="247">
      <c r="A247" t="inlineStr">
        <is>
          <t>Split by REV_DEBT</t>
        </is>
      </c>
      <c r="B247" t="inlineStr">
        <is>
          <t>Bad loans</t>
        </is>
      </c>
      <c r="C247" t="n">
        <v>549</v>
      </c>
      <c r="D247" t="inlineStr">
        <is>
          <t>FICO 686 - 711</t>
        </is>
      </c>
      <c r="E247" t="inlineStr">
        <is>
          <t>Broker</t>
        </is>
      </c>
      <c r="F247" t="inlineStr">
        <is>
          <t>high</t>
        </is>
      </c>
      <c r="G247" t="n">
        <v>250</v>
      </c>
      <c r="H247" t="n">
        <v>1.672247160480332</v>
      </c>
      <c r="I247" t="inlineStr">
        <is>
          <t>Yes</t>
        </is>
      </c>
      <c r="J247" t="n">
        <v>26</v>
      </c>
      <c r="K247">
        <f>'_pockets'!$AI$549</f>
        <v/>
      </c>
      <c r="L247">
        <f>'_pockets'!$AJ$549</f>
        <v/>
      </c>
      <c r="M247">
        <f>IF(AND($A247='Pockets'!$D$18,$B247='Pockets'!$C$18,OR('Pockets'!$E$18="All",AND('Pockets'!$E$18="Worse and material",$K247="Yes",$L247="Yes"),AND('Pockets'!$E$18="Worse or not sure",OR($K247="Yes",$K247="Not sure")))),1,0)</f>
        <v/>
      </c>
      <c r="N247">
        <f>$N246+$M247</f>
        <v/>
      </c>
      <c r="O247" t="inlineStr">
        <is>
          <t>three-way</t>
        </is>
      </c>
      <c r="P247" t="inlineStr">
        <is>
          <t>outcome_loans</t>
        </is>
      </c>
    </row>
    <row r="248">
      <c r="A248" t="inlineStr">
        <is>
          <t>Split by REV_DEBT</t>
        </is>
      </c>
      <c r="B248" t="inlineStr">
        <is>
          <t>Bad loans</t>
        </is>
      </c>
      <c r="C248" t="n">
        <v>754</v>
      </c>
      <c r="D248" t="inlineStr">
        <is>
          <t>FICO 746 - 921</t>
        </is>
      </c>
      <c r="E248" t="inlineStr">
        <is>
          <t>ASSET_CLASS 4</t>
        </is>
      </c>
      <c r="F248" t="inlineStr">
        <is>
          <t>high</t>
        </is>
      </c>
      <c r="G248" t="n">
        <v>186</v>
      </c>
      <c r="H248" t="n">
        <v>1.783253341014059</v>
      </c>
      <c r="I248" t="inlineStr">
        <is>
          <t>Yes</t>
        </is>
      </c>
      <c r="J248" t="n">
        <v>27</v>
      </c>
      <c r="K248">
        <f>'_pockets'!$AI$754</f>
        <v/>
      </c>
      <c r="L248">
        <f>'_pockets'!$AJ$754</f>
        <v/>
      </c>
      <c r="M248">
        <f>IF(AND($A248='Pockets'!$D$18,$B248='Pockets'!$C$18,OR('Pockets'!$E$18="All",AND('Pockets'!$E$18="Worse and material",$K248="Yes",$L248="Yes"),AND('Pockets'!$E$18="Worse or not sure",OR($K248="Yes",$K248="Not sure")))),1,0)</f>
        <v/>
      </c>
      <c r="N248">
        <f>$N247+$M248</f>
        <v/>
      </c>
      <c r="O248" t="inlineStr">
        <is>
          <t>three-way</t>
        </is>
      </c>
      <c r="P248" t="inlineStr">
        <is>
          <t>outcome_loans</t>
        </is>
      </c>
    </row>
    <row r="249">
      <c r="A249" t="inlineStr">
        <is>
          <t>Split by REV_DEBT</t>
        </is>
      </c>
      <c r="B249" t="inlineStr">
        <is>
          <t>Bad loans</t>
        </is>
      </c>
      <c r="C249" t="n">
        <v>664</v>
      </c>
      <c r="D249" t="inlineStr">
        <is>
          <t>FICO 654 - 685</t>
        </is>
      </c>
      <c r="E249" t="inlineStr">
        <is>
          <t>ASSET_CLASS 2</t>
        </is>
      </c>
      <c r="F249" t="inlineStr">
        <is>
          <t>high</t>
        </is>
      </c>
      <c r="G249" t="n">
        <v>177</v>
      </c>
      <c r="H249" t="n">
        <v>1.803769399799352</v>
      </c>
      <c r="I249" t="inlineStr">
        <is>
          <t>Yes</t>
        </is>
      </c>
      <c r="J249" t="n">
        <v>28</v>
      </c>
      <c r="K249">
        <f>'_pockets'!$AI$664</f>
        <v/>
      </c>
      <c r="L249">
        <f>'_pockets'!$AJ$664</f>
        <v/>
      </c>
      <c r="M249">
        <f>IF(AND($A249='Pockets'!$D$18,$B249='Pockets'!$C$18,OR('Pockets'!$E$18="All",AND('Pockets'!$E$18="Worse and material",$K249="Yes",$L249="Yes"),AND('Pockets'!$E$18="Worse or not sure",OR($K249="Yes",$K249="Not sure")))),1,0)</f>
        <v/>
      </c>
      <c r="N249">
        <f>$N248+$M249</f>
        <v/>
      </c>
      <c r="O249" t="inlineStr">
        <is>
          <t>three-way</t>
        </is>
      </c>
      <c r="P249" t="inlineStr">
        <is>
          <t>outcome_loans</t>
        </is>
      </c>
    </row>
    <row r="250">
      <c r="A250" t="inlineStr">
        <is>
          <t>Split by REV_DEBT</t>
        </is>
      </c>
      <c r="B250" t="inlineStr">
        <is>
          <t>Bad loans</t>
        </is>
      </c>
      <c r="C250" t="n">
        <v>804</v>
      </c>
      <c r="D250" t="inlineStr">
        <is>
          <t>FICO 654 - 685</t>
        </is>
      </c>
      <c r="E250" t="inlineStr">
        <is>
          <t>ASSET_CLASS 4</t>
        </is>
      </c>
      <c r="F250" t="inlineStr">
        <is>
          <t>low</t>
        </is>
      </c>
      <c r="G250" t="n">
        <v>205</v>
      </c>
      <c r="H250" t="n">
        <v>1.744661990253643</v>
      </c>
      <c r="I250" t="inlineStr">
        <is>
          <t>Yes</t>
        </is>
      </c>
      <c r="J250" t="n">
        <v>29</v>
      </c>
      <c r="K250">
        <f>'_pockets'!$AI$804</f>
        <v/>
      </c>
      <c r="L250">
        <f>'_pockets'!$AJ$804</f>
        <v/>
      </c>
      <c r="M250">
        <f>IF(AND($A250='Pockets'!$D$18,$B250='Pockets'!$C$18,OR('Pockets'!$E$18="All",AND('Pockets'!$E$18="Worse and material",$K250="Yes",$L250="Yes"),AND('Pockets'!$E$18="Worse or not sure",OR($K250="Yes",$K250="Not sure")))),1,0)</f>
        <v/>
      </c>
      <c r="N250">
        <f>$N249+$M250</f>
        <v/>
      </c>
      <c r="O250" t="inlineStr">
        <is>
          <t>three-way</t>
        </is>
      </c>
      <c r="P250" t="inlineStr">
        <is>
          <t>outcome_loans</t>
        </is>
      </c>
    </row>
    <row r="251">
      <c r="A251" t="inlineStr">
        <is>
          <t>Split by REV_DEBT</t>
        </is>
      </c>
      <c r="B251" t="inlineStr">
        <is>
          <t>Bad loans</t>
        </is>
      </c>
      <c r="C251" t="n">
        <v>424</v>
      </c>
      <c r="D251" t="inlineStr">
        <is>
          <t>FICO 712 - 745</t>
        </is>
      </c>
      <c r="E251" t="inlineStr">
        <is>
          <t>Branch</t>
        </is>
      </c>
      <c r="F251" t="inlineStr">
        <is>
          <t>high</t>
        </is>
      </c>
      <c r="G251" t="n">
        <v>269</v>
      </c>
      <c r="H251" t="n">
        <v>1.647519737139675</v>
      </c>
      <c r="I251" t="inlineStr">
        <is>
          <t>Yes</t>
        </is>
      </c>
      <c r="J251" t="n">
        <v>30</v>
      </c>
      <c r="K251">
        <f>'_pockets'!$AI$424</f>
        <v/>
      </c>
      <c r="L251">
        <f>'_pockets'!$AJ$424</f>
        <v/>
      </c>
      <c r="M251">
        <f>IF(AND($A251='Pockets'!$D$18,$B251='Pockets'!$C$18,OR('Pockets'!$E$18="All",AND('Pockets'!$E$18="Worse and material",$K251="Yes",$L251="Yes"),AND('Pockets'!$E$18="Worse or not sure",OR($K251="Yes",$K251="Not sure")))),1,0)</f>
        <v/>
      </c>
      <c r="N251">
        <f>$N250+$M251</f>
        <v/>
      </c>
      <c r="O251" t="inlineStr">
        <is>
          <t>three-way</t>
        </is>
      </c>
      <c r="P251" t="inlineStr">
        <is>
          <t>outcome_loans</t>
        </is>
      </c>
    </row>
    <row r="252">
      <c r="A252" t="inlineStr">
        <is>
          <t>Split by REV_DEBT</t>
        </is>
      </c>
      <c r="B252" t="inlineStr">
        <is>
          <t>Bad loans</t>
        </is>
      </c>
      <c r="C252" t="n">
        <v>764</v>
      </c>
      <c r="D252" t="inlineStr">
        <is>
          <t>FICO 712 - 745</t>
        </is>
      </c>
      <c r="E252" t="inlineStr">
        <is>
          <t>ASSET_CLASS 3</t>
        </is>
      </c>
      <c r="F252" t="inlineStr">
        <is>
          <t>high</t>
        </is>
      </c>
      <c r="G252" t="n">
        <v>196</v>
      </c>
      <c r="H252" t="n">
        <v>1.762210077571128</v>
      </c>
      <c r="I252" t="inlineStr">
        <is>
          <t>Yes</t>
        </is>
      </c>
      <c r="J252" t="n">
        <v>31</v>
      </c>
      <c r="K252">
        <f>'_pockets'!$AI$764</f>
        <v/>
      </c>
      <c r="L252">
        <f>'_pockets'!$AJ$764</f>
        <v/>
      </c>
      <c r="M252">
        <f>IF(AND($A252='Pockets'!$D$18,$B252='Pockets'!$C$18,OR('Pockets'!$E$18="All",AND('Pockets'!$E$18="Worse and material",$K252="Yes",$L252="Yes"),AND('Pockets'!$E$18="Worse or not sure",OR($K252="Yes",$K252="Not sure")))),1,0)</f>
        <v/>
      </c>
      <c r="N252">
        <f>$N251+$M252</f>
        <v/>
      </c>
      <c r="O252" t="inlineStr">
        <is>
          <t>three-way</t>
        </is>
      </c>
      <c r="P252" t="inlineStr">
        <is>
          <t>outcome_loans</t>
        </is>
      </c>
    </row>
    <row r="253">
      <c r="A253" t="inlineStr">
        <is>
          <t>Split by REV_DEBT</t>
        </is>
      </c>
      <c r="B253" t="inlineStr">
        <is>
          <t>Bad loans</t>
        </is>
      </c>
      <c r="C253" t="n">
        <v>494</v>
      </c>
      <c r="D253" t="inlineStr">
        <is>
          <t>FICO 496 - 653</t>
        </is>
      </c>
      <c r="E253" t="inlineStr">
        <is>
          <t>Branch</t>
        </is>
      </c>
      <c r="F253" t="inlineStr">
        <is>
          <t>high</t>
        </is>
      </c>
      <c r="G253" t="n">
        <v>251</v>
      </c>
      <c r="H253" t="n">
        <v>1.670872794280719</v>
      </c>
      <c r="I253" t="inlineStr">
        <is>
          <t>Yes</t>
        </is>
      </c>
      <c r="J253" t="n">
        <v>32</v>
      </c>
      <c r="K253">
        <f>'_pockets'!$AI$494</f>
        <v/>
      </c>
      <c r="L253">
        <f>'_pockets'!$AJ$494</f>
        <v/>
      </c>
      <c r="M253">
        <f>IF(AND($A253='Pockets'!$D$18,$B253='Pockets'!$C$18,OR('Pockets'!$E$18="All",AND('Pockets'!$E$18="Worse and material",$K253="Yes",$L253="Yes"),AND('Pockets'!$E$18="Worse or not sure",OR($K253="Yes",$K253="Not sure")))),1,0)</f>
        <v/>
      </c>
      <c r="N253">
        <f>$N252+$M253</f>
        <v/>
      </c>
      <c r="O253" t="inlineStr">
        <is>
          <t>three-way</t>
        </is>
      </c>
      <c r="P253" t="inlineStr">
        <is>
          <t>outcome_loans</t>
        </is>
      </c>
    </row>
    <row r="254">
      <c r="A254" t="inlineStr">
        <is>
          <t>Split by REV_DEBT</t>
        </is>
      </c>
      <c r="B254" t="inlineStr">
        <is>
          <t>Bad loans</t>
        </is>
      </c>
      <c r="C254" t="n">
        <v>439</v>
      </c>
      <c r="D254" t="inlineStr">
        <is>
          <t>FICO 496 - 653</t>
        </is>
      </c>
      <c r="E254" t="inlineStr">
        <is>
          <t>Broker</t>
        </is>
      </c>
      <c r="F254" t="inlineStr">
        <is>
          <t>low</t>
        </is>
      </c>
      <c r="G254" t="n">
        <v>262</v>
      </c>
      <c r="H254" t="n">
        <v>1.656301779239856</v>
      </c>
      <c r="I254" t="inlineStr">
        <is>
          <t>Yes</t>
        </is>
      </c>
      <c r="J254" t="n">
        <v>33</v>
      </c>
      <c r="K254">
        <f>'_pockets'!$AI$439</f>
        <v/>
      </c>
      <c r="L254">
        <f>'_pockets'!$AJ$439</f>
        <v/>
      </c>
      <c r="M254">
        <f>IF(AND($A254='Pockets'!$D$18,$B254='Pockets'!$C$18,OR('Pockets'!$E$18="All",AND('Pockets'!$E$18="Worse and material",$K254="Yes",$L254="Yes"),AND('Pockets'!$E$18="Worse or not sure",OR($K254="Yes",$K254="Not sure")))),1,0)</f>
        <v/>
      </c>
      <c r="N254">
        <f>$N253+$M254</f>
        <v/>
      </c>
      <c r="O254" t="inlineStr">
        <is>
          <t>three-way</t>
        </is>
      </c>
      <c r="P254" t="inlineStr">
        <is>
          <t>outcome_loans</t>
        </is>
      </c>
    </row>
    <row r="255">
      <c r="A255" t="inlineStr">
        <is>
          <t>Split by REV_DEBT</t>
        </is>
      </c>
      <c r="B255" t="inlineStr">
        <is>
          <t>Bad loans</t>
        </is>
      </c>
      <c r="C255" t="n">
        <v>779</v>
      </c>
      <c r="D255" t="inlineStr">
        <is>
          <t>FICO 496 - 653</t>
        </is>
      </c>
      <c r="E255" t="inlineStr">
        <is>
          <t>ASSET_CLASS 2</t>
        </is>
      </c>
      <c r="F255" t="inlineStr">
        <is>
          <t>high</t>
        </is>
      </c>
      <c r="G255" t="n">
        <v>197</v>
      </c>
      <c r="H255" t="n">
        <v>1.760198333487843</v>
      </c>
      <c r="I255" t="inlineStr">
        <is>
          <t>Yes</t>
        </is>
      </c>
      <c r="J255" t="n">
        <v>34</v>
      </c>
      <c r="K255">
        <f>'_pockets'!$AI$779</f>
        <v/>
      </c>
      <c r="L255">
        <f>'_pockets'!$AJ$779</f>
        <v/>
      </c>
      <c r="M255">
        <f>IF(AND($A255='Pockets'!$D$18,$B255='Pockets'!$C$18,OR('Pockets'!$E$18="All",AND('Pockets'!$E$18="Worse and material",$K255="Yes",$L255="Yes"),AND('Pockets'!$E$18="Worse or not sure",OR($K255="Yes",$K255="Not sure")))),1,0)</f>
        <v/>
      </c>
      <c r="N255">
        <f>$N254+$M255</f>
        <v/>
      </c>
      <c r="O255" t="inlineStr">
        <is>
          <t>three-way</t>
        </is>
      </c>
      <c r="P255" t="inlineStr">
        <is>
          <t>outcome_loans</t>
        </is>
      </c>
    </row>
    <row r="256">
      <c r="A256" t="inlineStr">
        <is>
          <t>Split by REV_DEBT</t>
        </is>
      </c>
      <c r="B256" t="inlineStr">
        <is>
          <t>Bad loans</t>
        </is>
      </c>
      <c r="C256" t="n">
        <v>554</v>
      </c>
      <c r="D256" t="inlineStr">
        <is>
          <t>FICO 496 - 653</t>
        </is>
      </c>
      <c r="E256" t="inlineStr">
        <is>
          <t>Online</t>
        </is>
      </c>
      <c r="F256" t="inlineStr">
        <is>
          <t>high</t>
        </is>
      </c>
      <c r="G256" t="n">
        <v>265</v>
      </c>
      <c r="H256" t="n">
        <v>1.652493453789482</v>
      </c>
      <c r="I256" t="inlineStr">
        <is>
          <t>Yes</t>
        </is>
      </c>
      <c r="J256" t="n">
        <v>35</v>
      </c>
      <c r="K256">
        <f>'_pockets'!$AI$554</f>
        <v/>
      </c>
      <c r="L256">
        <f>'_pockets'!$AJ$554</f>
        <v/>
      </c>
      <c r="M256">
        <f>IF(AND($A256='Pockets'!$D$18,$B256='Pockets'!$C$18,OR('Pockets'!$E$18="All",AND('Pockets'!$E$18="Worse and material",$K256="Yes",$L256="Yes"),AND('Pockets'!$E$18="Worse or not sure",OR($K256="Yes",$K256="Not sure")))),1,0)</f>
        <v/>
      </c>
      <c r="N256">
        <f>$N255+$M256</f>
        <v/>
      </c>
      <c r="O256" t="inlineStr">
        <is>
          <t>three-way</t>
        </is>
      </c>
      <c r="P256" t="inlineStr">
        <is>
          <t>outcome_loans</t>
        </is>
      </c>
    </row>
    <row r="257">
      <c r="A257" t="inlineStr">
        <is>
          <t>Split by REV_DEBT</t>
        </is>
      </c>
      <c r="B257" t="inlineStr">
        <is>
          <t>Bad loans</t>
        </is>
      </c>
      <c r="C257" t="n">
        <v>649</v>
      </c>
      <c r="D257" t="inlineStr">
        <is>
          <t>FICO 496 - 653</t>
        </is>
      </c>
      <c r="E257" t="inlineStr">
        <is>
          <t>ASSET_CLASS 4</t>
        </is>
      </c>
      <c r="F257" t="inlineStr">
        <is>
          <t>low</t>
        </is>
      </c>
      <c r="G257" t="n">
        <v>196</v>
      </c>
      <c r="H257" t="n">
        <v>1.762210077571128</v>
      </c>
      <c r="I257" t="inlineStr">
        <is>
          <t>Yes</t>
        </is>
      </c>
      <c r="J257" t="n">
        <v>36</v>
      </c>
      <c r="K257">
        <f>'_pockets'!$AI$649</f>
        <v/>
      </c>
      <c r="L257">
        <f>'_pockets'!$AJ$649</f>
        <v/>
      </c>
      <c r="M257">
        <f>IF(AND($A257='Pockets'!$D$18,$B257='Pockets'!$C$18,OR('Pockets'!$E$18="All",AND('Pockets'!$E$18="Worse and material",$K257="Yes",$L257="Yes"),AND('Pockets'!$E$18="Worse or not sure",OR($K257="Yes",$K257="Not sure")))),1,0)</f>
        <v/>
      </c>
      <c r="N257">
        <f>$N256+$M257</f>
        <v/>
      </c>
      <c r="O257" t="inlineStr">
        <is>
          <t>three-way</t>
        </is>
      </c>
      <c r="P257" t="inlineStr">
        <is>
          <t>outcome_loans</t>
        </is>
      </c>
    </row>
    <row r="258">
      <c r="A258" t="inlineStr">
        <is>
          <t>Split by REV_DEBT</t>
        </is>
      </c>
      <c r="B258" t="inlineStr">
        <is>
          <t>Bad loans</t>
        </is>
      </c>
      <c r="C258" t="n">
        <v>709</v>
      </c>
      <c r="D258" t="inlineStr">
        <is>
          <t>FICO 496 - 653</t>
        </is>
      </c>
      <c r="E258" t="inlineStr">
        <is>
          <t>ASSET_CLASS 3</t>
        </is>
      </c>
      <c r="F258" t="inlineStr">
        <is>
          <t>low</t>
        </is>
      </c>
      <c r="G258" t="n">
        <v>175</v>
      </c>
      <c r="H258" t="n">
        <v>1.808552132214177</v>
      </c>
      <c r="I258" t="inlineStr">
        <is>
          <t>Yes</t>
        </is>
      </c>
      <c r="J258" t="n">
        <v>37</v>
      </c>
      <c r="K258">
        <f>'_pockets'!$AI$709</f>
        <v/>
      </c>
      <c r="L258">
        <f>'_pockets'!$AJ$709</f>
        <v/>
      </c>
      <c r="M258">
        <f>IF(AND($A258='Pockets'!$D$18,$B258='Pockets'!$C$18,OR('Pockets'!$E$18="All",AND('Pockets'!$E$18="Worse and material",$K258="Yes",$L258="Yes"),AND('Pockets'!$E$18="Worse or not sure",OR($K258="Yes",$K258="Not sure")))),1,0)</f>
        <v/>
      </c>
      <c r="N258">
        <f>$N257+$M258</f>
        <v/>
      </c>
      <c r="O258" t="inlineStr">
        <is>
          <t>three-way</t>
        </is>
      </c>
      <c r="P258" t="inlineStr">
        <is>
          <t>outcome_loans</t>
        </is>
      </c>
    </row>
    <row r="259">
      <c r="A259" t="inlineStr">
        <is>
          <t>Split by REV_DEBT</t>
        </is>
      </c>
      <c r="B259" t="inlineStr">
        <is>
          <t>Bad loans</t>
        </is>
      </c>
      <c r="C259" t="n">
        <v>574</v>
      </c>
      <c r="D259" t="inlineStr">
        <is>
          <t>FICO 496 - 653</t>
        </is>
      </c>
      <c r="E259" t="inlineStr">
        <is>
          <t>Online</t>
        </is>
      </c>
      <c r="F259" t="inlineStr">
        <is>
          <t>low</t>
        </is>
      </c>
      <c r="G259" t="n">
        <v>266</v>
      </c>
      <c r="H259" t="n">
        <v>1.651239019720465</v>
      </c>
      <c r="I259" t="inlineStr">
        <is>
          <t>Yes</t>
        </is>
      </c>
      <c r="J259" t="n">
        <v>38</v>
      </c>
      <c r="K259">
        <f>'_pockets'!$AI$574</f>
        <v/>
      </c>
      <c r="L259">
        <f>'_pockets'!$AJ$574</f>
        <v/>
      </c>
      <c r="M259">
        <f>IF(AND($A259='Pockets'!$D$18,$B259='Pockets'!$C$18,OR('Pockets'!$E$18="All",AND('Pockets'!$E$18="Worse and material",$K259="Yes",$L259="Yes"),AND('Pockets'!$E$18="Worse or not sure",OR($K259="Yes",$K259="Not sure")))),1,0)</f>
        <v/>
      </c>
      <c r="N259">
        <f>$N258+$M259</f>
        <v/>
      </c>
      <c r="O259" t="inlineStr">
        <is>
          <t>three-way</t>
        </is>
      </c>
      <c r="P259" t="inlineStr">
        <is>
          <t>outcome_loans</t>
        </is>
      </c>
    </row>
    <row r="260">
      <c r="A260" t="inlineStr">
        <is>
          <t>Split by REV_DEBT</t>
        </is>
      </c>
      <c r="B260" t="inlineStr">
        <is>
          <t>Bad loans</t>
        </is>
      </c>
      <c r="C260" t="n">
        <v>869</v>
      </c>
      <c r="D260" t="inlineStr">
        <is>
          <t>ORIG_BAL 15,449 - 26,323</t>
        </is>
      </c>
      <c r="E260" t="inlineStr">
        <is>
          <t>Broker</t>
        </is>
      </c>
      <c r="F260" t="inlineStr">
        <is>
          <t>high</t>
        </is>
      </c>
      <c r="G260" t="n">
        <v>268</v>
      </c>
      <c r="H260" t="n">
        <v>1.648752231649387</v>
      </c>
      <c r="I260" t="inlineStr">
        <is>
          <t>No: may be mostly FICO</t>
        </is>
      </c>
      <c r="J260" t="n">
        <v>39</v>
      </c>
      <c r="K260">
        <f>'_pockets'!$AI$869</f>
        <v/>
      </c>
      <c r="L260">
        <f>'_pockets'!$AJ$869</f>
        <v/>
      </c>
      <c r="M260">
        <f>IF(AND($A260='Pockets'!$D$18,$B260='Pockets'!$C$18,OR('Pockets'!$E$18="All",AND('Pockets'!$E$18="Worse and material",$K260="Yes",$L260="Yes"),AND('Pockets'!$E$18="Worse or not sure",OR($K260="Yes",$K260="Not sure")))),1,0)</f>
        <v/>
      </c>
      <c r="N260">
        <f>$N259+$M260</f>
        <v/>
      </c>
      <c r="O260" t="inlineStr">
        <is>
          <t>three-way</t>
        </is>
      </c>
      <c r="P260" t="inlineStr">
        <is>
          <t>outcome_loans</t>
        </is>
      </c>
    </row>
    <row r="261">
      <c r="A261" t="inlineStr">
        <is>
          <t>Split by REV_DEBT</t>
        </is>
      </c>
      <c r="B261" t="inlineStr">
        <is>
          <t>Bad loans</t>
        </is>
      </c>
      <c r="C261" t="n">
        <v>1074</v>
      </c>
      <c r="D261" t="inlineStr">
        <is>
          <t>ORIG_BAL 37,951 - 49,151</t>
        </is>
      </c>
      <c r="E261" t="inlineStr">
        <is>
          <t>ASSET_CLASS 4</t>
        </is>
      </c>
      <c r="F261" t="inlineStr">
        <is>
          <t>high</t>
        </is>
      </c>
      <c r="G261" t="n">
        <v>207</v>
      </c>
      <c r="H261" t="n">
        <v>1.740925722934131</v>
      </c>
      <c r="I261" t="inlineStr">
        <is>
          <t>No: may be mostly FICO</t>
        </is>
      </c>
      <c r="J261" t="n">
        <v>40</v>
      </c>
      <c r="K261">
        <f>'_pockets'!$AI$1074</f>
        <v/>
      </c>
      <c r="L261">
        <f>'_pockets'!$AJ$1074</f>
        <v/>
      </c>
      <c r="M261">
        <f>IF(AND($A261='Pockets'!$D$18,$B261='Pockets'!$C$18,OR('Pockets'!$E$18="All",AND('Pockets'!$E$18="Worse and material",$K261="Yes",$L261="Yes"),AND('Pockets'!$E$18="Worse or not sure",OR($K261="Yes",$K261="Not sure")))),1,0)</f>
        <v/>
      </c>
      <c r="N261">
        <f>$N260+$M261</f>
        <v/>
      </c>
      <c r="O261" t="inlineStr">
        <is>
          <t>three-way</t>
        </is>
      </c>
      <c r="P261" t="inlineStr">
        <is>
          <t>outcome_loans</t>
        </is>
      </c>
    </row>
    <row r="262">
      <c r="A262" t="inlineStr">
        <is>
          <t>Split by REV_DEBT</t>
        </is>
      </c>
      <c r="B262" t="inlineStr">
        <is>
          <t>Bad loans</t>
        </is>
      </c>
      <c r="C262" t="n">
        <v>989</v>
      </c>
      <c r="D262" t="inlineStr">
        <is>
          <t>ORIG_BAL 49,152 - 59,984</t>
        </is>
      </c>
      <c r="E262" t="inlineStr">
        <is>
          <t>Broker</t>
        </is>
      </c>
      <c r="F262" t="inlineStr">
        <is>
          <t>high</t>
        </is>
      </c>
      <c r="G262" t="n">
        <v>260</v>
      </c>
      <c r="H262" t="n">
        <v>1.65887892121252</v>
      </c>
      <c r="I262" t="inlineStr">
        <is>
          <t>No: may be mostly FICO</t>
        </is>
      </c>
      <c r="J262" t="n">
        <v>41</v>
      </c>
      <c r="K262">
        <f>'_pockets'!$AI$989</f>
        <v/>
      </c>
      <c r="L262">
        <f>'_pockets'!$AJ$989</f>
        <v/>
      </c>
      <c r="M262">
        <f>IF(AND($A262='Pockets'!$D$18,$B262='Pockets'!$C$18,OR('Pockets'!$E$18="All",AND('Pockets'!$E$18="Worse and material",$K262="Yes",$L262="Yes"),AND('Pockets'!$E$18="Worse or not sure",OR($K262="Yes",$K262="Not sure")))),1,0)</f>
        <v/>
      </c>
      <c r="N262">
        <f>$N261+$M262</f>
        <v/>
      </c>
      <c r="O262" t="inlineStr">
        <is>
          <t>three-way</t>
        </is>
      </c>
      <c r="P262" t="inlineStr">
        <is>
          <t>outcome_loans</t>
        </is>
      </c>
    </row>
    <row r="263">
      <c r="A263" t="inlineStr">
        <is>
          <t>Split by REV_DEBT</t>
        </is>
      </c>
      <c r="B263" t="inlineStr">
        <is>
          <t>Bad loans</t>
        </is>
      </c>
      <c r="C263" t="n">
        <v>1189</v>
      </c>
      <c r="D263" t="inlineStr">
        <is>
          <t>ORIG_BAL 26,324 - 37,950</t>
        </is>
      </c>
      <c r="E263" t="inlineStr">
        <is>
          <t>ASSET_CLASS 4</t>
        </is>
      </c>
      <c r="F263" t="inlineStr">
        <is>
          <t>high</t>
        </is>
      </c>
      <c r="G263" t="n">
        <v>206</v>
      </c>
      <c r="H263" t="n">
        <v>1.742786742456572</v>
      </c>
      <c r="I263" t="inlineStr">
        <is>
          <t>No: may be mostly FICO</t>
        </is>
      </c>
      <c r="J263" t="n">
        <v>42</v>
      </c>
      <c r="K263">
        <f>'_pockets'!$AI$1189</f>
        <v/>
      </c>
      <c r="L263">
        <f>'_pockets'!$AJ$1189</f>
        <v/>
      </c>
      <c r="M263">
        <f>IF(AND($A263='Pockets'!$D$18,$B263='Pockets'!$C$18,OR('Pockets'!$E$18="All",AND('Pockets'!$E$18="Worse and material",$K263="Yes",$L263="Yes"),AND('Pockets'!$E$18="Worse or not sure",OR($K263="Yes",$K263="Not sure")))),1,0)</f>
        <v/>
      </c>
      <c r="N263">
        <f>$N262+$M263</f>
        <v/>
      </c>
      <c r="O263" t="inlineStr">
        <is>
          <t>three-way</t>
        </is>
      </c>
      <c r="P263" t="inlineStr">
        <is>
          <t>outcome_loans</t>
        </is>
      </c>
    </row>
    <row r="264">
      <c r="A264" t="inlineStr">
        <is>
          <t>Split by REV_DEBT</t>
        </is>
      </c>
      <c r="B264" t="inlineStr">
        <is>
          <t>Bad loans</t>
        </is>
      </c>
      <c r="C264" t="n">
        <v>844</v>
      </c>
      <c r="D264" t="inlineStr">
        <is>
          <t>ORIG_BAL 26,324 - 37,950</t>
        </is>
      </c>
      <c r="E264" t="inlineStr">
        <is>
          <t>Broker</t>
        </is>
      </c>
      <c r="F264" t="inlineStr">
        <is>
          <t>high</t>
        </is>
      </c>
      <c r="G264" t="n">
        <v>276</v>
      </c>
      <c r="H264" t="n">
        <v>1.639089410182905</v>
      </c>
      <c r="I264" t="inlineStr">
        <is>
          <t>No: may be mostly FICO</t>
        </is>
      </c>
      <c r="J264" t="n">
        <v>43</v>
      </c>
      <c r="K264">
        <f>'_pockets'!$AI$844</f>
        <v/>
      </c>
      <c r="L264">
        <f>'_pockets'!$AJ$844</f>
        <v/>
      </c>
      <c r="M264">
        <f>IF(AND($A264='Pockets'!$D$18,$B264='Pockets'!$C$18,OR('Pockets'!$E$18="All",AND('Pockets'!$E$18="Worse and material",$K264="Yes",$L264="Yes"),AND('Pockets'!$E$18="Worse or not sure",OR($K264="Yes",$K264="Not sure")))),1,0)</f>
        <v/>
      </c>
      <c r="N264">
        <f>$N263+$M264</f>
        <v/>
      </c>
      <c r="O264" t="inlineStr">
        <is>
          <t>three-way</t>
        </is>
      </c>
      <c r="P264" t="inlineStr">
        <is>
          <t>outcome_loans</t>
        </is>
      </c>
    </row>
    <row r="265">
      <c r="A265" t="inlineStr">
        <is>
          <t>Split by REV_DEBT</t>
        </is>
      </c>
      <c r="B265" t="inlineStr">
        <is>
          <t>Bad loans</t>
        </is>
      </c>
      <c r="C265" t="n">
        <v>954</v>
      </c>
      <c r="D265" t="inlineStr">
        <is>
          <t>ORIG_BAL 5,005 - 15,448</t>
        </is>
      </c>
      <c r="E265" t="inlineStr">
        <is>
          <t>Broker</t>
        </is>
      </c>
      <c r="F265" t="inlineStr">
        <is>
          <t>high</t>
        </is>
      </c>
      <c r="G265" t="n">
        <v>257</v>
      </c>
      <c r="H265" t="n">
        <v>1.662803545702996</v>
      </c>
      <c r="I265" t="inlineStr">
        <is>
          <t>No: may be mostly FICO</t>
        </is>
      </c>
      <c r="J265" t="n">
        <v>44</v>
      </c>
      <c r="K265">
        <f>'_pockets'!$AI$954</f>
        <v/>
      </c>
      <c r="L265">
        <f>'_pockets'!$AJ$954</f>
        <v/>
      </c>
      <c r="M265">
        <f>IF(AND($A265='Pockets'!$D$18,$B265='Pockets'!$C$18,OR('Pockets'!$E$18="All",AND('Pockets'!$E$18="Worse and material",$K265="Yes",$L265="Yes"),AND('Pockets'!$E$18="Worse or not sure",OR($K265="Yes",$K265="Not sure")))),1,0)</f>
        <v/>
      </c>
      <c r="N265">
        <f>$N264+$M265</f>
        <v/>
      </c>
      <c r="O265" t="inlineStr">
        <is>
          <t>three-way</t>
        </is>
      </c>
      <c r="P265" t="inlineStr">
        <is>
          <t>outcome_loans</t>
        </is>
      </c>
    </row>
    <row r="266">
      <c r="A266" t="inlineStr">
        <is>
          <t>Split by REV_DEBT</t>
        </is>
      </c>
      <c r="B266" t="inlineStr">
        <is>
          <t>Bad loans</t>
        </is>
      </c>
      <c r="C266" t="n">
        <v>1049</v>
      </c>
      <c r="D266" t="inlineStr">
        <is>
          <t>ORIG_BAL 15,449 - 26,323</t>
        </is>
      </c>
      <c r="E266" t="inlineStr">
        <is>
          <t>ASSET_CLASS 4</t>
        </is>
      </c>
      <c r="F266" t="inlineStr">
        <is>
          <t>high</t>
        </is>
      </c>
      <c r="G266" t="n">
        <v>206</v>
      </c>
      <c r="H266" t="n">
        <v>1.742786742456572</v>
      </c>
      <c r="I266" t="inlineStr">
        <is>
          <t>No: may be mostly FICO</t>
        </is>
      </c>
      <c r="J266" t="n">
        <v>45</v>
      </c>
      <c r="K266">
        <f>'_pockets'!$AI$1049</f>
        <v/>
      </c>
      <c r="L266">
        <f>'_pockets'!$AJ$1049</f>
        <v/>
      </c>
      <c r="M266">
        <f>IF(AND($A266='Pockets'!$D$18,$B266='Pockets'!$C$18,OR('Pockets'!$E$18="All",AND('Pockets'!$E$18="Worse and material",$K266="Yes",$L266="Yes"),AND('Pockets'!$E$18="Worse or not sure",OR($K266="Yes",$K266="Not sure")))),1,0)</f>
        <v/>
      </c>
      <c r="N266">
        <f>$N265+$M266</f>
        <v/>
      </c>
      <c r="O266" t="inlineStr">
        <is>
          <t>three-way</t>
        </is>
      </c>
      <c r="P266" t="inlineStr">
        <is>
          <t>outcome_loans</t>
        </is>
      </c>
    </row>
    <row r="267">
      <c r="A267" t="inlineStr">
        <is>
          <t>Split by REV_DEBT</t>
        </is>
      </c>
      <c r="B267" t="inlineStr">
        <is>
          <t>Bad loans</t>
        </is>
      </c>
      <c r="C267" t="n">
        <v>1164</v>
      </c>
      <c r="D267" t="inlineStr">
        <is>
          <t>ORIG_BAL 49,152 - 59,984</t>
        </is>
      </c>
      <c r="E267" t="inlineStr">
        <is>
          <t>ASSET_CLASS 4</t>
        </is>
      </c>
      <c r="F267" t="inlineStr">
        <is>
          <t>high</t>
        </is>
      </c>
      <c r="G267" t="n">
        <v>192</v>
      </c>
      <c r="H267" t="n">
        <v>1.77042088502628</v>
      </c>
      <c r="I267" t="inlineStr">
        <is>
          <t>No: may be mostly FICO</t>
        </is>
      </c>
      <c r="J267" t="n">
        <v>46</v>
      </c>
      <c r="K267">
        <f>'_pockets'!$AI$1164</f>
        <v/>
      </c>
      <c r="L267">
        <f>'_pockets'!$AJ$1164</f>
        <v/>
      </c>
      <c r="M267">
        <f>IF(AND($A267='Pockets'!$D$18,$B267='Pockets'!$C$18,OR('Pockets'!$E$18="All",AND('Pockets'!$E$18="Worse and material",$K267="Yes",$L267="Yes"),AND('Pockets'!$E$18="Worse or not sure",OR($K267="Yes",$K267="Not sure")))),1,0)</f>
        <v/>
      </c>
      <c r="N267">
        <f>$N266+$M267</f>
        <v/>
      </c>
      <c r="O267" t="inlineStr">
        <is>
          <t>three-way</t>
        </is>
      </c>
      <c r="P267" t="inlineStr">
        <is>
          <t>outcome_loans</t>
        </is>
      </c>
    </row>
    <row r="268">
      <c r="A268" t="inlineStr">
        <is>
          <t>Split by REV_DEBT</t>
        </is>
      </c>
      <c r="B268" t="inlineStr">
        <is>
          <t>Bad loans</t>
        </is>
      </c>
      <c r="C268" t="n">
        <v>929</v>
      </c>
      <c r="D268" t="inlineStr">
        <is>
          <t>ORIG_BAL 37,951 - 49,151</t>
        </is>
      </c>
      <c r="E268" t="inlineStr">
        <is>
          <t>Broker</t>
        </is>
      </c>
      <c r="F268" t="inlineStr">
        <is>
          <t>high</t>
        </is>
      </c>
      <c r="G268" t="n">
        <v>265</v>
      </c>
      <c r="H268" t="n">
        <v>1.652493453789482</v>
      </c>
      <c r="I268" t="inlineStr">
        <is>
          <t>No: may be mostly FICO</t>
        </is>
      </c>
      <c r="J268" t="n">
        <v>47</v>
      </c>
      <c r="K268">
        <f>'_pockets'!$AI$929</f>
        <v/>
      </c>
      <c r="L268">
        <f>'_pockets'!$AJ$929</f>
        <v/>
      </c>
      <c r="M268">
        <f>IF(AND($A268='Pockets'!$D$18,$B268='Pockets'!$C$18,OR('Pockets'!$E$18="All",AND('Pockets'!$E$18="Worse and material",$K268="Yes",$L268="Yes"),AND('Pockets'!$E$18="Worse or not sure",OR($K268="Yes",$K268="Not sure")))),1,0)</f>
        <v/>
      </c>
      <c r="N268">
        <f>$N267+$M268</f>
        <v/>
      </c>
      <c r="O268" t="inlineStr">
        <is>
          <t>three-way</t>
        </is>
      </c>
      <c r="P268" t="inlineStr">
        <is>
          <t>outcome_loans</t>
        </is>
      </c>
    </row>
    <row r="269">
      <c r="A269" t="inlineStr">
        <is>
          <t>Split by REV_DEBT</t>
        </is>
      </c>
      <c r="B269" t="inlineStr">
        <is>
          <t>Bad loans</t>
        </is>
      </c>
      <c r="C269" t="n">
        <v>1089</v>
      </c>
      <c r="D269" t="inlineStr">
        <is>
          <t>ORIG_BAL 37,951 - 49,151</t>
        </is>
      </c>
      <c r="E269" t="inlineStr">
        <is>
          <t>ASSET_CLASS 3</t>
        </is>
      </c>
      <c r="F269" t="inlineStr">
        <is>
          <t>high</t>
        </is>
      </c>
      <c r="G269" t="n">
        <v>191</v>
      </c>
      <c r="H269" t="n">
        <v>1.772515643463992</v>
      </c>
      <c r="I269" t="inlineStr">
        <is>
          <t>No: may be mostly FICO</t>
        </is>
      </c>
      <c r="J269" t="n">
        <v>48</v>
      </c>
      <c r="K269">
        <f>'_pockets'!$AI$1089</f>
        <v/>
      </c>
      <c r="L269">
        <f>'_pockets'!$AJ$1089</f>
        <v/>
      </c>
      <c r="M269">
        <f>IF(AND($A269='Pockets'!$D$18,$B269='Pockets'!$C$18,OR('Pockets'!$E$18="All",AND('Pockets'!$E$18="Worse and material",$K269="Yes",$L269="Yes"),AND('Pockets'!$E$18="Worse or not sure",OR($K269="Yes",$K269="Not sure")))),1,0)</f>
        <v/>
      </c>
      <c r="N269">
        <f>$N268+$M269</f>
        <v/>
      </c>
      <c r="O269" t="inlineStr">
        <is>
          <t>three-way</t>
        </is>
      </c>
      <c r="P269" t="inlineStr">
        <is>
          <t>outcome_loans</t>
        </is>
      </c>
    </row>
    <row r="270">
      <c r="A270" t="inlineStr">
        <is>
          <t>Split by REV_DEBT</t>
        </is>
      </c>
      <c r="B270" t="inlineStr">
        <is>
          <t>Bad loans</t>
        </is>
      </c>
      <c r="C270" t="n">
        <v>949</v>
      </c>
      <c r="D270" t="inlineStr">
        <is>
          <t>ORIG_BAL 37,951 - 49,151</t>
        </is>
      </c>
      <c r="E270" t="inlineStr">
        <is>
          <t>Branch</t>
        </is>
      </c>
      <c r="F270" t="inlineStr">
        <is>
          <t>high</t>
        </is>
      </c>
      <c r="G270" t="n">
        <v>263</v>
      </c>
      <c r="H270" t="n">
        <v>1.655024760404249</v>
      </c>
      <c r="I270" t="inlineStr">
        <is>
          <t>No: may be mostly FICO</t>
        </is>
      </c>
      <c r="J270" t="n">
        <v>49</v>
      </c>
      <c r="K270">
        <f>'_pockets'!$AI$949</f>
        <v/>
      </c>
      <c r="L270">
        <f>'_pockets'!$AJ$949</f>
        <v/>
      </c>
      <c r="M270">
        <f>IF(AND($A270='Pockets'!$D$18,$B270='Pockets'!$C$18,OR('Pockets'!$E$18="All",AND('Pockets'!$E$18="Worse and material",$K270="Yes",$L270="Yes"),AND('Pockets'!$E$18="Worse or not sure",OR($K270="Yes",$K270="Not sure")))),1,0)</f>
        <v/>
      </c>
      <c r="N270">
        <f>$N269+$M270</f>
        <v/>
      </c>
      <c r="O270" t="inlineStr">
        <is>
          <t>three-way</t>
        </is>
      </c>
      <c r="P270" t="inlineStr">
        <is>
          <t>outcome_loans</t>
        </is>
      </c>
    </row>
    <row r="271">
      <c r="A271" t="inlineStr">
        <is>
          <t>Split by REV_DEBT</t>
        </is>
      </c>
      <c r="B271" t="inlineStr">
        <is>
          <t>Bad loans</t>
        </is>
      </c>
      <c r="C271" t="n">
        <v>974</v>
      </c>
      <c r="D271" t="inlineStr">
        <is>
          <t>ORIG_BAL 26,324 - 37,950</t>
        </is>
      </c>
      <c r="E271" t="inlineStr">
        <is>
          <t>Online</t>
        </is>
      </c>
      <c r="F271" t="inlineStr">
        <is>
          <t>high</t>
        </is>
      </c>
      <c r="G271" t="n">
        <v>264</v>
      </c>
      <c r="H271" t="n">
        <v>1.653755343133904</v>
      </c>
      <c r="I271" t="inlineStr">
        <is>
          <t>No: may be mostly FICO</t>
        </is>
      </c>
      <c r="J271" t="n">
        <v>50</v>
      </c>
      <c r="K271">
        <f>'_pockets'!$AI$974</f>
        <v/>
      </c>
      <c r="L271">
        <f>'_pockets'!$AJ$974</f>
        <v/>
      </c>
      <c r="M271">
        <f>IF(AND($A271='Pockets'!$D$18,$B271='Pockets'!$C$18,OR('Pockets'!$E$18="All",AND('Pockets'!$E$18="Worse and material",$K271="Yes",$L271="Yes"),AND('Pockets'!$E$18="Worse or not sure",OR($K271="Yes",$K271="Not sure")))),1,0)</f>
        <v/>
      </c>
      <c r="N271">
        <f>$N270+$M271</f>
        <v/>
      </c>
      <c r="O271" t="inlineStr">
        <is>
          <t>three-way</t>
        </is>
      </c>
      <c r="P271" t="inlineStr">
        <is>
          <t>outcome_loans</t>
        </is>
      </c>
    </row>
    <row r="272">
      <c r="A272" t="inlineStr">
        <is>
          <t>Split by REV_DEBT</t>
        </is>
      </c>
      <c r="B272" t="inlineStr">
        <is>
          <t>Bad loans</t>
        </is>
      </c>
      <c r="C272" t="n">
        <v>1024</v>
      </c>
      <c r="D272" t="inlineStr">
        <is>
          <t>ORIG_BAL 15,449 - 26,323</t>
        </is>
      </c>
      <c r="E272" t="inlineStr">
        <is>
          <t>ASSET_CLASS 1</t>
        </is>
      </c>
      <c r="F272" t="inlineStr">
        <is>
          <t>high</t>
        </is>
      </c>
      <c r="G272" t="n">
        <v>202</v>
      </c>
      <c r="H272" t="n">
        <v>1.750374907798663</v>
      </c>
      <c r="I272" t="inlineStr">
        <is>
          <t>No: may be mostly FICO</t>
        </is>
      </c>
      <c r="J272" t="n">
        <v>51</v>
      </c>
      <c r="K272">
        <f>'_pockets'!$AI$1024</f>
        <v/>
      </c>
      <c r="L272">
        <f>'_pockets'!$AJ$1024</f>
        <v/>
      </c>
      <c r="M272">
        <f>IF(AND($A272='Pockets'!$D$18,$B272='Pockets'!$C$18,OR('Pockets'!$E$18="All",AND('Pockets'!$E$18="Worse and material",$K272="Yes",$L272="Yes"),AND('Pockets'!$E$18="Worse or not sure",OR($K272="Yes",$K272="Not sure")))),1,0)</f>
        <v/>
      </c>
      <c r="N272">
        <f>$N271+$M272</f>
        <v/>
      </c>
      <c r="O272" t="inlineStr">
        <is>
          <t>three-way</t>
        </is>
      </c>
      <c r="P272" t="inlineStr">
        <is>
          <t>outcome_loans</t>
        </is>
      </c>
    </row>
    <row r="273">
      <c r="A273" t="inlineStr">
        <is>
          <t>Split by REV_DEBT</t>
        </is>
      </c>
      <c r="B273" t="inlineStr">
        <is>
          <t>Bad loans</t>
        </is>
      </c>
      <c r="C273" t="n">
        <v>1079</v>
      </c>
      <c r="D273" t="inlineStr">
        <is>
          <t>ORIG_BAL 5,005 - 15,448</t>
        </is>
      </c>
      <c r="E273" t="inlineStr">
        <is>
          <t>ASSET_CLASS 3</t>
        </is>
      </c>
      <c r="F273" t="inlineStr">
        <is>
          <t>high</t>
        </is>
      </c>
      <c r="G273" t="n">
        <v>177</v>
      </c>
      <c r="H273" t="n">
        <v>1.803769399799352</v>
      </c>
      <c r="I273" t="inlineStr">
        <is>
          <t>No: may be mostly FICO</t>
        </is>
      </c>
      <c r="J273" t="n">
        <v>52</v>
      </c>
      <c r="K273">
        <f>'_pockets'!$AI$1079</f>
        <v/>
      </c>
      <c r="L273">
        <f>'_pockets'!$AJ$1079</f>
        <v/>
      </c>
      <c r="M273">
        <f>IF(AND($A273='Pockets'!$D$18,$B273='Pockets'!$C$18,OR('Pockets'!$E$18="All",AND('Pockets'!$E$18="Worse and material",$K273="Yes",$L273="Yes"),AND('Pockets'!$E$18="Worse or not sure",OR($K273="Yes",$K273="Not sure")))),1,0)</f>
        <v/>
      </c>
      <c r="N273">
        <f>$N272+$M273</f>
        <v/>
      </c>
      <c r="O273" t="inlineStr">
        <is>
          <t>three-way</t>
        </is>
      </c>
      <c r="P273" t="inlineStr">
        <is>
          <t>outcome_loans</t>
        </is>
      </c>
    </row>
    <row r="274">
      <c r="A274" t="inlineStr">
        <is>
          <t>Split by REV_DEBT</t>
        </is>
      </c>
      <c r="B274" t="inlineStr">
        <is>
          <t>Bad loans</t>
        </is>
      </c>
      <c r="C274" t="n">
        <v>839</v>
      </c>
      <c r="D274" t="inlineStr">
        <is>
          <t>ORIG_BAL 5,005 - 15,448</t>
        </is>
      </c>
      <c r="E274" t="inlineStr">
        <is>
          <t>Online</t>
        </is>
      </c>
      <c r="F274" t="inlineStr">
        <is>
          <t>high</t>
        </is>
      </c>
      <c r="G274" t="n">
        <v>272</v>
      </c>
      <c r="H274" t="n">
        <v>1.643865028056036</v>
      </c>
      <c r="I274" t="inlineStr">
        <is>
          <t>No: may be mostly FICO</t>
        </is>
      </c>
      <c r="J274" t="n">
        <v>53</v>
      </c>
      <c r="K274">
        <f>'_pockets'!$AI$839</f>
        <v/>
      </c>
      <c r="L274">
        <f>'_pockets'!$AJ$839</f>
        <v/>
      </c>
      <c r="M274">
        <f>IF(AND($A274='Pockets'!$D$18,$B274='Pockets'!$C$18,OR('Pockets'!$E$18="All",AND('Pockets'!$E$18="Worse and material",$K274="Yes",$L274="Yes"),AND('Pockets'!$E$18="Worse or not sure",OR($K274="Yes",$K274="Not sure")))),1,0)</f>
        <v/>
      </c>
      <c r="N274">
        <f>$N273+$M274</f>
        <v/>
      </c>
      <c r="O274" t="inlineStr">
        <is>
          <t>three-way</t>
        </is>
      </c>
      <c r="P274" t="inlineStr">
        <is>
          <t>outcome_loans</t>
        </is>
      </c>
    </row>
    <row r="275">
      <c r="A275" t="inlineStr">
        <is>
          <t>Split by REV_DEBT</t>
        </is>
      </c>
      <c r="B275" t="inlineStr">
        <is>
          <t>Bad loans</t>
        </is>
      </c>
      <c r="C275" t="n">
        <v>1134</v>
      </c>
      <c r="D275" t="inlineStr">
        <is>
          <t>ORIG_BAL 5,005 - 15,448</t>
        </is>
      </c>
      <c r="E275" t="inlineStr">
        <is>
          <t>ASSET_CLASS 4</t>
        </is>
      </c>
      <c r="F275" t="inlineStr">
        <is>
          <t>high</t>
        </is>
      </c>
      <c r="G275" t="n">
        <v>212</v>
      </c>
      <c r="H275" t="n">
        <v>1.731828000356066</v>
      </c>
      <c r="I275" t="inlineStr">
        <is>
          <t>No: may be mostly FICO</t>
        </is>
      </c>
      <c r="J275" t="n">
        <v>54</v>
      </c>
      <c r="K275">
        <f>'_pockets'!$AI$1134</f>
        <v/>
      </c>
      <c r="L275">
        <f>'_pockets'!$AJ$1134</f>
        <v/>
      </c>
      <c r="M275">
        <f>IF(AND($A275='Pockets'!$D$18,$B275='Pockets'!$C$18,OR('Pockets'!$E$18="All",AND('Pockets'!$E$18="Worse and material",$K275="Yes",$L275="Yes"),AND('Pockets'!$E$18="Worse or not sure",OR($K275="Yes",$K275="Not sure")))),1,0)</f>
        <v/>
      </c>
      <c r="N275">
        <f>$N274+$M275</f>
        <v/>
      </c>
      <c r="O275" t="inlineStr">
        <is>
          <t>three-way</t>
        </is>
      </c>
      <c r="P275" t="inlineStr">
        <is>
          <t>outcome_loans</t>
        </is>
      </c>
    </row>
    <row r="276">
      <c r="A276" t="inlineStr">
        <is>
          <t>Split by REV_DEBT</t>
        </is>
      </c>
      <c r="B276" t="inlineStr">
        <is>
          <t>Bad loans</t>
        </is>
      </c>
      <c r="C276" t="n">
        <v>939</v>
      </c>
      <c r="D276" t="inlineStr">
        <is>
          <t>ORIG_BAL 37,951 - 49,151</t>
        </is>
      </c>
      <c r="E276" t="inlineStr">
        <is>
          <t>Online</t>
        </is>
      </c>
      <c r="F276" t="inlineStr">
        <is>
          <t>high</t>
        </is>
      </c>
      <c r="G276" t="n">
        <v>271</v>
      </c>
      <c r="H276" t="n">
        <v>1.645076202850474</v>
      </c>
      <c r="I276" t="inlineStr">
        <is>
          <t>No: may be mostly FICO</t>
        </is>
      </c>
      <c r="J276" t="n">
        <v>55</v>
      </c>
      <c r="K276">
        <f>'_pockets'!$AI$939</f>
        <v/>
      </c>
      <c r="L276">
        <f>'_pockets'!$AJ$939</f>
        <v/>
      </c>
      <c r="M276">
        <f>IF(AND($A276='Pockets'!$D$18,$B276='Pockets'!$C$18,OR('Pockets'!$E$18="All",AND('Pockets'!$E$18="Worse and material",$K276="Yes",$L276="Yes"),AND('Pockets'!$E$18="Worse or not sure",OR($K276="Yes",$K276="Not sure")))),1,0)</f>
        <v/>
      </c>
      <c r="N276">
        <f>$N275+$M276</f>
        <v/>
      </c>
      <c r="O276" t="inlineStr">
        <is>
          <t>three-way</t>
        </is>
      </c>
      <c r="P276" t="inlineStr">
        <is>
          <t>outcome_loans</t>
        </is>
      </c>
    </row>
    <row r="277">
      <c r="A277" t="inlineStr">
        <is>
          <t>Split by REV_DEBT</t>
        </is>
      </c>
      <c r="B277" t="inlineStr">
        <is>
          <t>Bad loans</t>
        </is>
      </c>
      <c r="C277" t="n">
        <v>904</v>
      </c>
      <c r="D277" t="inlineStr">
        <is>
          <t>ORIG_BAL 15,449 - 26,323</t>
        </is>
      </c>
      <c r="E277" t="inlineStr">
        <is>
          <t>Online</t>
        </is>
      </c>
      <c r="F277" t="inlineStr">
        <is>
          <t>high</t>
        </is>
      </c>
      <c r="G277" t="n">
        <v>269</v>
      </c>
      <c r="H277" t="n">
        <v>1.647519737139675</v>
      </c>
      <c r="I277" t="inlineStr">
        <is>
          <t>No: may be mostly FICO</t>
        </is>
      </c>
      <c r="J277" t="n">
        <v>56</v>
      </c>
      <c r="K277">
        <f>'_pockets'!$AI$904</f>
        <v/>
      </c>
      <c r="L277">
        <f>'_pockets'!$AJ$904</f>
        <v/>
      </c>
      <c r="M277">
        <f>IF(AND($A277='Pockets'!$D$18,$B277='Pockets'!$C$18,OR('Pockets'!$E$18="All",AND('Pockets'!$E$18="Worse and material",$K277="Yes",$L277="Yes"),AND('Pockets'!$E$18="Worse or not sure",OR($K277="Yes",$K277="Not sure")))),1,0)</f>
        <v/>
      </c>
      <c r="N277">
        <f>$N276+$M277</f>
        <v/>
      </c>
      <c r="O277" t="inlineStr">
        <is>
          <t>three-way</t>
        </is>
      </c>
      <c r="P277" t="inlineStr">
        <is>
          <t>outcome_loans</t>
        </is>
      </c>
    </row>
    <row r="278">
      <c r="A278" t="inlineStr">
        <is>
          <t>Split by REV_DEBT</t>
        </is>
      </c>
      <c r="B278" t="inlineStr">
        <is>
          <t>Bad loans</t>
        </is>
      </c>
      <c r="C278" t="n">
        <v>1064</v>
      </c>
      <c r="D278" t="inlineStr">
        <is>
          <t>ORIG_BAL 26,324 - 37,950</t>
        </is>
      </c>
      <c r="E278" t="inlineStr">
        <is>
          <t>ASSET_CLASS 1</t>
        </is>
      </c>
      <c r="F278" t="inlineStr">
        <is>
          <t>high</t>
        </is>
      </c>
      <c r="G278" t="n">
        <v>194</v>
      </c>
      <c r="H278" t="n">
        <v>1.766282281624315</v>
      </c>
      <c r="I278" t="inlineStr">
        <is>
          <t>No: may be mostly FICO</t>
        </is>
      </c>
      <c r="J278" t="n">
        <v>57</v>
      </c>
      <c r="K278">
        <f>'_pockets'!$AI$1064</f>
        <v/>
      </c>
      <c r="L278">
        <f>'_pockets'!$AJ$1064</f>
        <v/>
      </c>
      <c r="M278">
        <f>IF(AND($A278='Pockets'!$D$18,$B278='Pockets'!$C$18,OR('Pockets'!$E$18="All",AND('Pockets'!$E$18="Worse and material",$K278="Yes",$L278="Yes"),AND('Pockets'!$E$18="Worse or not sure",OR($K278="Yes",$K278="Not sure")))),1,0)</f>
        <v/>
      </c>
      <c r="N278">
        <f>$N277+$M278</f>
        <v/>
      </c>
      <c r="O278" t="inlineStr">
        <is>
          <t>three-way</t>
        </is>
      </c>
      <c r="P278" t="inlineStr">
        <is>
          <t>outcome_loans</t>
        </is>
      </c>
    </row>
    <row r="279">
      <c r="A279" t="inlineStr">
        <is>
          <t>Split by REV_DEBT</t>
        </is>
      </c>
      <c r="B279" t="inlineStr">
        <is>
          <t>Bad loans</t>
        </is>
      </c>
      <c r="C279" t="n">
        <v>1144</v>
      </c>
      <c r="D279" t="inlineStr">
        <is>
          <t>ORIG_BAL 15,449 - 26,323</t>
        </is>
      </c>
      <c r="E279" t="inlineStr">
        <is>
          <t>ASSET_CLASS 3</t>
        </is>
      </c>
      <c r="F279" t="inlineStr">
        <is>
          <t>high</t>
        </is>
      </c>
      <c r="G279" t="n">
        <v>213</v>
      </c>
      <c r="H279" t="n">
        <v>1.730048761680541</v>
      </c>
      <c r="I279" t="inlineStr">
        <is>
          <t>No: may be mostly FICO</t>
        </is>
      </c>
      <c r="J279" t="n">
        <v>58</v>
      </c>
      <c r="K279">
        <f>'_pockets'!$AI$1144</f>
        <v/>
      </c>
      <c r="L279">
        <f>'_pockets'!$AJ$1144</f>
        <v/>
      </c>
      <c r="M279">
        <f>IF(AND($A279='Pockets'!$D$18,$B279='Pockets'!$C$18,OR('Pockets'!$E$18="All",AND('Pockets'!$E$18="Worse and material",$K279="Yes",$L279="Yes"),AND('Pockets'!$E$18="Worse or not sure",OR($K279="Yes",$K279="Not sure")))),1,0)</f>
        <v/>
      </c>
      <c r="N279">
        <f>$N278+$M279</f>
        <v/>
      </c>
      <c r="O279" t="inlineStr">
        <is>
          <t>three-way</t>
        </is>
      </c>
      <c r="P279" t="inlineStr">
        <is>
          <t>outcome_loans</t>
        </is>
      </c>
    </row>
    <row r="280">
      <c r="A280" t="inlineStr">
        <is>
          <t>Split by REV_DEBT</t>
        </is>
      </c>
      <c r="B280" t="inlineStr">
        <is>
          <t>Bad loans</t>
        </is>
      </c>
      <c r="C280" t="n">
        <v>914</v>
      </c>
      <c r="D280" t="inlineStr">
        <is>
          <t>ORIG_BAL 49,152 - 59,984</t>
        </is>
      </c>
      <c r="E280" t="inlineStr">
        <is>
          <t>Online</t>
        </is>
      </c>
      <c r="F280" t="inlineStr">
        <is>
          <t>high</t>
        </is>
      </c>
      <c r="G280" t="n">
        <v>282</v>
      </c>
      <c r="H280" t="n">
        <v>1.632126292275921</v>
      </c>
      <c r="I280" t="inlineStr">
        <is>
          <t>No: may be mostly FICO</t>
        </is>
      </c>
      <c r="J280" t="n">
        <v>59</v>
      </c>
      <c r="K280">
        <f>'_pockets'!$AI$914</f>
        <v/>
      </c>
      <c r="L280">
        <f>'_pockets'!$AJ$914</f>
        <v/>
      </c>
      <c r="M280">
        <f>IF(AND($A280='Pockets'!$D$18,$B280='Pockets'!$C$18,OR('Pockets'!$E$18="All",AND('Pockets'!$E$18="Worse and material",$K280="Yes",$L280="Yes"),AND('Pockets'!$E$18="Worse or not sure",OR($K280="Yes",$K280="Not sure")))),1,0)</f>
        <v/>
      </c>
      <c r="N280">
        <f>$N279+$M280</f>
        <v/>
      </c>
      <c r="O280" t="inlineStr">
        <is>
          <t>three-way</t>
        </is>
      </c>
      <c r="P280" t="inlineStr">
        <is>
          <t>outcome_loans</t>
        </is>
      </c>
    </row>
    <row r="281">
      <c r="A281" t="inlineStr">
        <is>
          <t>Split by REV_DEBT</t>
        </is>
      </c>
      <c r="B281" t="inlineStr">
        <is>
          <t>Bad loans</t>
        </is>
      </c>
      <c r="C281" t="n">
        <v>1054</v>
      </c>
      <c r="D281" t="inlineStr">
        <is>
          <t>ORIG_BAL 5,005 - 15,448</t>
        </is>
      </c>
      <c r="E281" t="inlineStr">
        <is>
          <t>ASSET_CLASS 2</t>
        </is>
      </c>
      <c r="F281" t="inlineStr">
        <is>
          <t>high</t>
        </is>
      </c>
      <c r="G281" t="n">
        <v>202</v>
      </c>
      <c r="H281" t="n">
        <v>1.750374907798663</v>
      </c>
      <c r="I281" t="inlineStr">
        <is>
          <t>No: may be mostly FICO</t>
        </is>
      </c>
      <c r="J281" t="n">
        <v>60</v>
      </c>
      <c r="K281">
        <f>'_pockets'!$AI$1054</f>
        <v/>
      </c>
      <c r="L281">
        <f>'_pockets'!$AJ$1054</f>
        <v/>
      </c>
      <c r="M281">
        <f>IF(AND($A281='Pockets'!$D$18,$B281='Pockets'!$C$18,OR('Pockets'!$E$18="All",AND('Pockets'!$E$18="Worse and material",$K281="Yes",$L281="Yes"),AND('Pockets'!$E$18="Worse or not sure",OR($K281="Yes",$K281="Not sure")))),1,0)</f>
        <v/>
      </c>
      <c r="N281">
        <f>$N280+$M281</f>
        <v/>
      </c>
      <c r="O281" t="inlineStr">
        <is>
          <t>three-way</t>
        </is>
      </c>
      <c r="P281" t="inlineStr">
        <is>
          <t>outcome_loans</t>
        </is>
      </c>
    </row>
    <row r="282">
      <c r="A282" t="inlineStr">
        <is>
          <t>Split by REV_DEBT</t>
        </is>
      </c>
      <c r="B282" t="inlineStr">
        <is>
          <t>Bad loans</t>
        </is>
      </c>
      <c r="C282" t="n">
        <v>1139</v>
      </c>
      <c r="D282" t="inlineStr">
        <is>
          <t>ORIG_BAL 49,152 - 59,984</t>
        </is>
      </c>
      <c r="E282" t="inlineStr">
        <is>
          <t>ASSET_CLASS 2</t>
        </is>
      </c>
      <c r="F282" t="inlineStr">
        <is>
          <t>high</t>
        </is>
      </c>
      <c r="G282" t="n">
        <v>199</v>
      </c>
      <c r="H282" t="n">
        <v>1.756222511672635</v>
      </c>
      <c r="I282" t="inlineStr">
        <is>
          <t>No: may be mostly FICO</t>
        </is>
      </c>
      <c r="J282" t="n">
        <v>61</v>
      </c>
      <c r="K282">
        <f>'_pockets'!$AI$1139</f>
        <v/>
      </c>
      <c r="L282">
        <f>'_pockets'!$AJ$1139</f>
        <v/>
      </c>
      <c r="M282">
        <f>IF(AND($A282='Pockets'!$D$18,$B282='Pockets'!$C$18,OR('Pockets'!$E$18="All",AND('Pockets'!$E$18="Worse and material",$K282="Yes",$L282="Yes"),AND('Pockets'!$E$18="Worse or not sure",OR($K282="Yes",$K282="Not sure")))),1,0)</f>
        <v/>
      </c>
      <c r="N282">
        <f>$N281+$M282</f>
        <v/>
      </c>
      <c r="O282" t="inlineStr">
        <is>
          <t>three-way</t>
        </is>
      </c>
      <c r="P282" t="inlineStr">
        <is>
          <t>outcome_loans</t>
        </is>
      </c>
    </row>
    <row r="283">
      <c r="A283" t="inlineStr">
        <is>
          <t>Split by REV_DEBT</t>
        </is>
      </c>
      <c r="B283" t="inlineStr">
        <is>
          <t>Bad loans</t>
        </is>
      </c>
      <c r="C283" t="n">
        <v>994</v>
      </c>
      <c r="D283" t="inlineStr">
        <is>
          <t>ORIG_BAL 5,005 - 15,448</t>
        </is>
      </c>
      <c r="E283" t="inlineStr">
        <is>
          <t>ASSET_CLASS 1</t>
        </is>
      </c>
      <c r="F283" t="inlineStr">
        <is>
          <t>high</t>
        </is>
      </c>
      <c r="G283" t="n">
        <v>208</v>
      </c>
      <c r="H283" t="n">
        <v>1.739078755887907</v>
      </c>
      <c r="I283" t="inlineStr">
        <is>
          <t>No: may be mostly FICO</t>
        </is>
      </c>
      <c r="J283" t="n">
        <v>62</v>
      </c>
      <c r="K283">
        <f>'_pockets'!$AI$994</f>
        <v/>
      </c>
      <c r="L283">
        <f>'_pockets'!$AJ$994</f>
        <v/>
      </c>
      <c r="M283">
        <f>IF(AND($A283='Pockets'!$D$18,$B283='Pockets'!$C$18,OR('Pockets'!$E$18="All",AND('Pockets'!$E$18="Worse and material",$K283="Yes",$L283="Yes"),AND('Pockets'!$E$18="Worse or not sure",OR($K283="Yes",$K283="Not sure")))),1,0)</f>
        <v/>
      </c>
      <c r="N283">
        <f>$N282+$M283</f>
        <v/>
      </c>
      <c r="O283" t="inlineStr">
        <is>
          <t>three-way</t>
        </is>
      </c>
      <c r="P283" t="inlineStr">
        <is>
          <t>outcome_loans</t>
        </is>
      </c>
    </row>
    <row r="284">
      <c r="A284" t="inlineStr">
        <is>
          <t>Split by REV_DEBT</t>
        </is>
      </c>
      <c r="B284" t="inlineStr">
        <is>
          <t>Bad loans</t>
        </is>
      </c>
      <c r="C284" t="n">
        <v>1059</v>
      </c>
      <c r="D284" t="inlineStr">
        <is>
          <t>ORIG_BAL 49,152 - 59,984</t>
        </is>
      </c>
      <c r="E284" t="inlineStr">
        <is>
          <t>ASSET_CLASS 1</t>
        </is>
      </c>
      <c r="F284" t="inlineStr">
        <is>
          <t>high</t>
        </is>
      </c>
      <c r="G284" t="n">
        <v>206</v>
      </c>
      <c r="H284" t="n">
        <v>1.742786742456572</v>
      </c>
      <c r="I284" t="inlineStr">
        <is>
          <t>No: may be mostly FICO</t>
        </is>
      </c>
      <c r="J284" t="n">
        <v>63</v>
      </c>
      <c r="K284">
        <f>'_pockets'!$AI$1059</f>
        <v/>
      </c>
      <c r="L284">
        <f>'_pockets'!$AJ$1059</f>
        <v/>
      </c>
      <c r="M284">
        <f>IF(AND($A284='Pockets'!$D$18,$B284='Pockets'!$C$18,OR('Pockets'!$E$18="All",AND('Pockets'!$E$18="Worse and material",$K284="Yes",$L284="Yes"),AND('Pockets'!$E$18="Worse or not sure",OR($K284="Yes",$K284="Not sure")))),1,0)</f>
        <v/>
      </c>
      <c r="N284">
        <f>$N283+$M284</f>
        <v/>
      </c>
      <c r="O284" t="inlineStr">
        <is>
          <t>three-way</t>
        </is>
      </c>
      <c r="P284" t="inlineStr">
        <is>
          <t>outcome_loans</t>
        </is>
      </c>
    </row>
    <row r="285">
      <c r="A285" t="inlineStr">
        <is>
          <t>Split by REV_DEBT</t>
        </is>
      </c>
      <c r="B285" t="inlineStr">
        <is>
          <t>Bad loans</t>
        </is>
      </c>
      <c r="C285" t="n">
        <v>859</v>
      </c>
      <c r="D285" t="inlineStr">
        <is>
          <t>ORIG_BAL 26,324 - 37,950</t>
        </is>
      </c>
      <c r="E285" t="inlineStr">
        <is>
          <t>Branch</t>
        </is>
      </c>
      <c r="F285" t="inlineStr">
        <is>
          <t>high</t>
        </is>
      </c>
      <c r="G285" t="n">
        <v>258</v>
      </c>
      <c r="H285" t="n">
        <v>1.661487378609934</v>
      </c>
      <c r="I285" t="inlineStr">
        <is>
          <t>No: may be mostly FICO</t>
        </is>
      </c>
      <c r="J285" t="n">
        <v>64</v>
      </c>
      <c r="K285">
        <f>'_pockets'!$AI$859</f>
        <v/>
      </c>
      <c r="L285">
        <f>'_pockets'!$AJ$859</f>
        <v/>
      </c>
      <c r="M285">
        <f>IF(AND($A285='Pockets'!$D$18,$B285='Pockets'!$C$18,OR('Pockets'!$E$18="All",AND('Pockets'!$E$18="Worse and material",$K285="Yes",$L285="Yes"),AND('Pockets'!$E$18="Worse or not sure",OR($K285="Yes",$K285="Not sure")))),1,0)</f>
        <v/>
      </c>
      <c r="N285">
        <f>$N284+$M285</f>
        <v/>
      </c>
      <c r="O285" t="inlineStr">
        <is>
          <t>three-way</t>
        </is>
      </c>
      <c r="P285" t="inlineStr">
        <is>
          <t>outcome_loans</t>
        </is>
      </c>
    </row>
    <row r="286">
      <c r="A286" t="inlineStr">
        <is>
          <t>Split by REV_DEBT</t>
        </is>
      </c>
      <c r="B286" t="inlineStr">
        <is>
          <t>Bad loans</t>
        </is>
      </c>
      <c r="C286" t="n">
        <v>1184</v>
      </c>
      <c r="D286" t="inlineStr">
        <is>
          <t>ORIG_BAL 26,324 - 37,950</t>
        </is>
      </c>
      <c r="E286" t="inlineStr">
        <is>
          <t>ASSET_CLASS 3</t>
        </is>
      </c>
      <c r="F286" t="inlineStr">
        <is>
          <t>high</t>
        </is>
      </c>
      <c r="G286" t="n">
        <v>183</v>
      </c>
      <c r="H286" t="n">
        <v>1.789915937385259</v>
      </c>
      <c r="I286" t="inlineStr">
        <is>
          <t>No: may be mostly FICO</t>
        </is>
      </c>
      <c r="J286" t="n">
        <v>65</v>
      </c>
      <c r="K286">
        <f>'_pockets'!$AI$1184</f>
        <v/>
      </c>
      <c r="L286">
        <f>'_pockets'!$AJ$1184</f>
        <v/>
      </c>
      <c r="M286">
        <f>IF(AND($A286='Pockets'!$D$18,$B286='Pockets'!$C$18,OR('Pockets'!$E$18="All",AND('Pockets'!$E$18="Worse and material",$K286="Yes",$L286="Yes"),AND('Pockets'!$E$18="Worse or not sure",OR($K286="Yes",$K286="Not sure")))),1,0)</f>
        <v/>
      </c>
      <c r="N286">
        <f>$N285+$M286</f>
        <v/>
      </c>
      <c r="O286" t="inlineStr">
        <is>
          <t>three-way</t>
        </is>
      </c>
      <c r="P286" t="inlineStr">
        <is>
          <t>outcome_loans</t>
        </is>
      </c>
    </row>
    <row r="287">
      <c r="A287" t="inlineStr">
        <is>
          <t>Split by REV_DEBT</t>
        </is>
      </c>
      <c r="B287" t="inlineStr">
        <is>
          <t>Bad loans</t>
        </is>
      </c>
      <c r="C287" t="n">
        <v>909</v>
      </c>
      <c r="D287" t="inlineStr">
        <is>
          <t>ORIG_BAL 5,005 - 15,448</t>
        </is>
      </c>
      <c r="E287" t="inlineStr">
        <is>
          <t>Branch</t>
        </is>
      </c>
      <c r="F287" t="inlineStr">
        <is>
          <t>high</t>
        </is>
      </c>
      <c r="G287" t="n">
        <v>271</v>
      </c>
      <c r="H287" t="n">
        <v>1.645076202850474</v>
      </c>
      <c r="I287" t="inlineStr">
        <is>
          <t>No: may be mostly FICO</t>
        </is>
      </c>
      <c r="J287" t="n">
        <v>66</v>
      </c>
      <c r="K287">
        <f>'_pockets'!$AI$909</f>
        <v/>
      </c>
      <c r="L287">
        <f>'_pockets'!$AJ$909</f>
        <v/>
      </c>
      <c r="M287">
        <f>IF(AND($A287='Pockets'!$D$18,$B287='Pockets'!$C$18,OR('Pockets'!$E$18="All",AND('Pockets'!$E$18="Worse and material",$K287="Yes",$L287="Yes"),AND('Pockets'!$E$18="Worse or not sure",OR($K287="Yes",$K287="Not sure")))),1,0)</f>
        <v/>
      </c>
      <c r="N287">
        <f>$N286+$M287</f>
        <v/>
      </c>
      <c r="O287" t="inlineStr">
        <is>
          <t>three-way</t>
        </is>
      </c>
      <c r="P287" t="inlineStr">
        <is>
          <t>outcome_loans</t>
        </is>
      </c>
    </row>
    <row r="288">
      <c r="A288" t="inlineStr">
        <is>
          <t>Split by REV_DEBT</t>
        </is>
      </c>
      <c r="B288" t="inlineStr">
        <is>
          <t>Bad loans</t>
        </is>
      </c>
      <c r="C288" t="n">
        <v>999</v>
      </c>
      <c r="D288" t="inlineStr">
        <is>
          <t>ORIG_BAL 26,324 - 37,950</t>
        </is>
      </c>
      <c r="E288" t="inlineStr">
        <is>
          <t>ASSET_CLASS 2</t>
        </is>
      </c>
      <c r="F288" t="inlineStr">
        <is>
          <t>high</t>
        </is>
      </c>
      <c r="G288" t="n">
        <v>215</v>
      </c>
      <c r="H288" t="n">
        <v>1.726529304016181</v>
      </c>
      <c r="I288" t="inlineStr">
        <is>
          <t>No: may be mostly FICO</t>
        </is>
      </c>
      <c r="J288" t="n">
        <v>67</v>
      </c>
      <c r="K288">
        <f>'_pockets'!$AI$999</f>
        <v/>
      </c>
      <c r="L288">
        <f>'_pockets'!$AJ$999</f>
        <v/>
      </c>
      <c r="M288">
        <f>IF(AND($A288='Pockets'!$D$18,$B288='Pockets'!$C$18,OR('Pockets'!$E$18="All",AND('Pockets'!$E$18="Worse and material",$K288="Yes",$L288="Yes"),AND('Pockets'!$E$18="Worse or not sure",OR($K288="Yes",$K288="Not sure")))),1,0)</f>
        <v/>
      </c>
      <c r="N288">
        <f>$N287+$M288</f>
        <v/>
      </c>
      <c r="O288" t="inlineStr">
        <is>
          <t>three-way</t>
        </is>
      </c>
      <c r="P288" t="inlineStr">
        <is>
          <t>outcome_loans</t>
        </is>
      </c>
    </row>
    <row r="289">
      <c r="A289" t="inlineStr">
        <is>
          <t>Split by REV_DEBT</t>
        </is>
      </c>
      <c r="B289" t="inlineStr">
        <is>
          <t>Bad loans</t>
        </is>
      </c>
      <c r="C289" t="n">
        <v>1099</v>
      </c>
      <c r="D289" t="inlineStr">
        <is>
          <t>ORIG_BAL 49,152 - 59,984</t>
        </is>
      </c>
      <c r="E289" t="inlineStr">
        <is>
          <t>ASSET_CLASS 3</t>
        </is>
      </c>
      <c r="F289" t="inlineStr">
        <is>
          <t>high</t>
        </is>
      </c>
      <c r="G289" t="n">
        <v>202</v>
      </c>
      <c r="H289" t="n">
        <v>1.750374907798663</v>
      </c>
      <c r="I289" t="inlineStr">
        <is>
          <t>No: may be mostly FICO</t>
        </is>
      </c>
      <c r="J289" t="n">
        <v>68</v>
      </c>
      <c r="K289">
        <f>'_pockets'!$AI$1099</f>
        <v/>
      </c>
      <c r="L289">
        <f>'_pockets'!$AJ$1099</f>
        <v/>
      </c>
      <c r="M289">
        <f>IF(AND($A289='Pockets'!$D$18,$B289='Pockets'!$C$18,OR('Pockets'!$E$18="All",AND('Pockets'!$E$18="Worse and material",$K289="Yes",$L289="Yes"),AND('Pockets'!$E$18="Worse or not sure",OR($K289="Yes",$K289="Not sure")))),1,0)</f>
        <v/>
      </c>
      <c r="N289">
        <f>$N288+$M289</f>
        <v/>
      </c>
      <c r="O289" t="inlineStr">
        <is>
          <t>three-way</t>
        </is>
      </c>
      <c r="P289" t="inlineStr">
        <is>
          <t>outcome_loans</t>
        </is>
      </c>
    </row>
    <row r="290">
      <c r="A290" t="inlineStr">
        <is>
          <t>Split by REV_DEBT</t>
        </is>
      </c>
      <c r="B290" t="inlineStr">
        <is>
          <t>Bad loans</t>
        </is>
      </c>
      <c r="C290" t="n">
        <v>1104</v>
      </c>
      <c r="D290" t="inlineStr">
        <is>
          <t>ORIG_BAL 37,951 - 49,151</t>
        </is>
      </c>
      <c r="E290" t="inlineStr">
        <is>
          <t>ASSET_CLASS 1</t>
        </is>
      </c>
      <c r="F290" t="inlineStr">
        <is>
          <t>high</t>
        </is>
      </c>
      <c r="G290" t="n">
        <v>192</v>
      </c>
      <c r="H290" t="n">
        <v>1.77042088502628</v>
      </c>
      <c r="I290" t="inlineStr">
        <is>
          <t>No: may be mostly FICO</t>
        </is>
      </c>
      <c r="J290" t="n">
        <v>69</v>
      </c>
      <c r="K290">
        <f>'_pockets'!$AI$1104</f>
        <v/>
      </c>
      <c r="L290">
        <f>'_pockets'!$AJ$1104</f>
        <v/>
      </c>
      <c r="M290">
        <f>IF(AND($A290='Pockets'!$D$18,$B290='Pockets'!$C$18,OR('Pockets'!$E$18="All",AND('Pockets'!$E$18="Worse and material",$K290="Yes",$L290="Yes"),AND('Pockets'!$E$18="Worse or not sure",OR($K290="Yes",$K290="Not sure")))),1,0)</f>
        <v/>
      </c>
      <c r="N290">
        <f>$N289+$M290</f>
        <v/>
      </c>
      <c r="O290" t="inlineStr">
        <is>
          <t>three-way</t>
        </is>
      </c>
      <c r="P290" t="inlineStr">
        <is>
          <t>outcome_loans</t>
        </is>
      </c>
    </row>
    <row r="291">
      <c r="A291" t="inlineStr">
        <is>
          <t>Split by REV_DEBT</t>
        </is>
      </c>
      <c r="B291" t="inlineStr">
        <is>
          <t>Bad loans</t>
        </is>
      </c>
      <c r="C291" t="n">
        <v>1044</v>
      </c>
      <c r="D291" t="inlineStr">
        <is>
          <t>ORIG_BAL 5,005 - 15,448</t>
        </is>
      </c>
      <c r="E291" t="inlineStr">
        <is>
          <t>ASSET_CLASS 4</t>
        </is>
      </c>
      <c r="F291" t="inlineStr">
        <is>
          <t>low</t>
        </is>
      </c>
      <c r="G291" t="n">
        <v>213</v>
      </c>
      <c r="H291" t="n">
        <v>1.730048761680541</v>
      </c>
      <c r="I291" t="inlineStr">
        <is>
          <t>No: may be mostly FICO</t>
        </is>
      </c>
      <c r="J291" t="n">
        <v>70</v>
      </c>
      <c r="K291">
        <f>'_pockets'!$AI$1044</f>
        <v/>
      </c>
      <c r="L291">
        <f>'_pockets'!$AJ$1044</f>
        <v/>
      </c>
      <c r="M291">
        <f>IF(AND($A291='Pockets'!$D$18,$B291='Pockets'!$C$18,OR('Pockets'!$E$18="All",AND('Pockets'!$E$18="Worse and material",$K291="Yes",$L291="Yes"),AND('Pockets'!$E$18="Worse or not sure",OR($K291="Yes",$K291="Not sure")))),1,0)</f>
        <v/>
      </c>
      <c r="N291">
        <f>$N290+$M291</f>
        <v/>
      </c>
      <c r="O291" t="inlineStr">
        <is>
          <t>three-way</t>
        </is>
      </c>
      <c r="P291" t="inlineStr">
        <is>
          <t>outcome_loans</t>
        </is>
      </c>
    </row>
    <row r="292">
      <c r="A292" t="inlineStr">
        <is>
          <t>Split by REV_DEBT</t>
        </is>
      </c>
      <c r="B292" t="inlineStr">
        <is>
          <t>Bad loans</t>
        </is>
      </c>
      <c r="C292" t="n">
        <v>944</v>
      </c>
      <c r="D292" t="inlineStr">
        <is>
          <t>ORIG_BAL 49,152 - 59,984</t>
        </is>
      </c>
      <c r="E292" t="inlineStr">
        <is>
          <t>Branch</t>
        </is>
      </c>
      <c r="F292" t="inlineStr">
        <is>
          <t>high</t>
        </is>
      </c>
      <c r="G292" t="n">
        <v>257</v>
      </c>
      <c r="H292" t="n">
        <v>1.662803545702996</v>
      </c>
      <c r="I292" t="inlineStr">
        <is>
          <t>No: may be mostly FICO</t>
        </is>
      </c>
      <c r="J292" t="n">
        <v>71</v>
      </c>
      <c r="K292">
        <f>'_pockets'!$AI$944</f>
        <v/>
      </c>
      <c r="L292">
        <f>'_pockets'!$AJ$944</f>
        <v/>
      </c>
      <c r="M292">
        <f>IF(AND($A292='Pockets'!$D$18,$B292='Pockets'!$C$18,OR('Pockets'!$E$18="All",AND('Pockets'!$E$18="Worse and material",$K292="Yes",$L292="Yes"),AND('Pockets'!$E$18="Worse or not sure",OR($K292="Yes",$K292="Not sure")))),1,0)</f>
        <v/>
      </c>
      <c r="N292">
        <f>$N291+$M292</f>
        <v/>
      </c>
      <c r="O292" t="inlineStr">
        <is>
          <t>three-way</t>
        </is>
      </c>
      <c r="P292" t="inlineStr">
        <is>
          <t>outcome_loans</t>
        </is>
      </c>
    </row>
    <row r="293">
      <c r="A293" t="inlineStr">
        <is>
          <t>Split by REV_DEBT</t>
        </is>
      </c>
      <c r="B293" t="inlineStr">
        <is>
          <t>Bad loans</t>
        </is>
      </c>
      <c r="C293" t="n">
        <v>959</v>
      </c>
      <c r="D293" t="inlineStr">
        <is>
          <t>ORIG_BAL 15,449 - 26,323</t>
        </is>
      </c>
      <c r="E293" t="inlineStr">
        <is>
          <t>Branch</t>
        </is>
      </c>
      <c r="F293" t="inlineStr">
        <is>
          <t>high</t>
        </is>
      </c>
      <c r="G293" t="n">
        <v>262</v>
      </c>
      <c r="H293" t="n">
        <v>1.656301779239856</v>
      </c>
      <c r="I293" t="inlineStr">
        <is>
          <t>No: may be mostly FICO</t>
        </is>
      </c>
      <c r="J293" t="n">
        <v>72</v>
      </c>
      <c r="K293">
        <f>'_pockets'!$AI$959</f>
        <v/>
      </c>
      <c r="L293">
        <f>'_pockets'!$AJ$959</f>
        <v/>
      </c>
      <c r="M293">
        <f>IF(AND($A293='Pockets'!$D$18,$B293='Pockets'!$C$18,OR('Pockets'!$E$18="All",AND('Pockets'!$E$18="Worse and material",$K293="Yes",$L293="Yes"),AND('Pockets'!$E$18="Worse or not sure",OR($K293="Yes",$K293="Not sure")))),1,0)</f>
        <v/>
      </c>
      <c r="N293">
        <f>$N292+$M293</f>
        <v/>
      </c>
      <c r="O293" t="inlineStr">
        <is>
          <t>three-way</t>
        </is>
      </c>
      <c r="P293" t="inlineStr">
        <is>
          <t>outcome_loans</t>
        </is>
      </c>
    </row>
    <row r="294">
      <c r="A294" t="inlineStr">
        <is>
          <t>Split by REV_DEBT</t>
        </is>
      </c>
      <c r="B294" t="inlineStr">
        <is>
          <t>Bad loans</t>
        </is>
      </c>
      <c r="C294" t="n">
        <v>1159</v>
      </c>
      <c r="D294" t="inlineStr">
        <is>
          <t>ORIG_BAL 15,449 - 26,323</t>
        </is>
      </c>
      <c r="E294" t="inlineStr">
        <is>
          <t>ASSET_CLASS 2</t>
        </is>
      </c>
      <c r="F294" t="inlineStr">
        <is>
          <t>high</t>
        </is>
      </c>
      <c r="G294" t="n">
        <v>178</v>
      </c>
      <c r="H294" t="n">
        <v>1.80140969799399</v>
      </c>
      <c r="I294" t="inlineStr">
        <is>
          <t>No: may be mostly FICO</t>
        </is>
      </c>
      <c r="J294" t="n">
        <v>73</v>
      </c>
      <c r="K294">
        <f>'_pockets'!$AI$1159</f>
        <v/>
      </c>
      <c r="L294">
        <f>'_pockets'!$AJ$1159</f>
        <v/>
      </c>
      <c r="M294">
        <f>IF(AND($A294='Pockets'!$D$18,$B294='Pockets'!$C$18,OR('Pockets'!$E$18="All",AND('Pockets'!$E$18="Worse and material",$K294="Yes",$L294="Yes"),AND('Pockets'!$E$18="Worse or not sure",OR($K294="Yes",$K294="Not sure")))),1,0)</f>
        <v/>
      </c>
      <c r="N294">
        <f>$N293+$M294</f>
        <v/>
      </c>
      <c r="O294" t="inlineStr">
        <is>
          <t>three-way</t>
        </is>
      </c>
      <c r="P294" t="inlineStr">
        <is>
          <t>outcome_loans</t>
        </is>
      </c>
    </row>
    <row r="295">
      <c r="A295" t="inlineStr">
        <is>
          <t>Split by REV_DEBT</t>
        </is>
      </c>
      <c r="B295" t="inlineStr">
        <is>
          <t>Bad loans</t>
        </is>
      </c>
      <c r="C295" t="n">
        <v>1124</v>
      </c>
      <c r="D295" t="inlineStr">
        <is>
          <t>ORIG_BAL 37,951 - 49,151</t>
        </is>
      </c>
      <c r="E295" t="inlineStr">
        <is>
          <t>ASSET_CLASS 2</t>
        </is>
      </c>
      <c r="F295" t="inlineStr">
        <is>
          <t>high</t>
        </is>
      </c>
      <c r="G295" t="n">
        <v>210</v>
      </c>
      <c r="H295" t="n">
        <v>1.735426290996793</v>
      </c>
      <c r="I295" t="inlineStr">
        <is>
          <t>No: may be mostly FICO</t>
        </is>
      </c>
      <c r="J295" t="n">
        <v>74</v>
      </c>
      <c r="K295">
        <f>'_pockets'!$AI$1124</f>
        <v/>
      </c>
      <c r="L295">
        <f>'_pockets'!$AJ$1124</f>
        <v/>
      </c>
      <c r="M295">
        <f>IF(AND($A295='Pockets'!$D$18,$B295='Pockets'!$C$18,OR('Pockets'!$E$18="All",AND('Pockets'!$E$18="Worse and material",$K295="Yes",$L295="Yes"),AND('Pockets'!$E$18="Worse or not sure",OR($K295="Yes",$K295="Not sure")))),1,0)</f>
        <v/>
      </c>
      <c r="N295">
        <f>$N294+$M295</f>
        <v/>
      </c>
      <c r="O295" t="inlineStr">
        <is>
          <t>three-way</t>
        </is>
      </c>
      <c r="P295" t="inlineStr">
        <is>
          <t>outcome_loans</t>
        </is>
      </c>
    </row>
    <row r="296">
      <c r="A296" t="inlineStr">
        <is>
          <t>Split by REV_DEBT</t>
        </is>
      </c>
      <c r="B296" t="inlineStr">
        <is>
          <t>Bad loans</t>
        </is>
      </c>
      <c r="C296" t="n">
        <v>1169</v>
      </c>
      <c r="D296" t="inlineStr">
        <is>
          <t>ORIG_BAL 15,449 - 26,323</t>
        </is>
      </c>
      <c r="E296" t="inlineStr">
        <is>
          <t>ASSET_CLASS 3</t>
        </is>
      </c>
      <c r="F296" t="inlineStr">
        <is>
          <t>low</t>
        </is>
      </c>
      <c r="G296" t="n">
        <v>214</v>
      </c>
      <c r="H296" t="n">
        <v>1.728282581590889</v>
      </c>
      <c r="I296" t="inlineStr">
        <is>
          <t>No: may be mostly FICO</t>
        </is>
      </c>
      <c r="J296" t="n">
        <v>75</v>
      </c>
      <c r="K296">
        <f>'_pockets'!$AI$1169</f>
        <v/>
      </c>
      <c r="L296">
        <f>'_pockets'!$AJ$1169</f>
        <v/>
      </c>
      <c r="M296">
        <f>IF(AND($A296='Pockets'!$D$18,$B296='Pockets'!$C$18,OR('Pockets'!$E$18="All",AND('Pockets'!$E$18="Worse and material",$K296="Yes",$L296="Yes"),AND('Pockets'!$E$18="Worse or not sure",OR($K296="Yes",$K296="Not sure")))),1,0)</f>
        <v/>
      </c>
      <c r="N296">
        <f>$N295+$M296</f>
        <v/>
      </c>
      <c r="O296" t="inlineStr">
        <is>
          <t>three-way</t>
        </is>
      </c>
      <c r="P296" t="inlineStr">
        <is>
          <t>outcome_loans</t>
        </is>
      </c>
    </row>
    <row r="297">
      <c r="A297" t="inlineStr">
        <is>
          <t>Split by REV_DEBT</t>
        </is>
      </c>
      <c r="B297" t="inlineStr">
        <is>
          <t>Bad dollars</t>
        </is>
      </c>
      <c r="C297" t="n">
        <v>490</v>
      </c>
      <c r="D297" t="inlineStr">
        <is>
          <t>FICO 496 - 653</t>
        </is>
      </c>
      <c r="E297" t="inlineStr">
        <is>
          <t>Broker</t>
        </is>
      </c>
      <c r="F297" t="inlineStr">
        <is>
          <t>high</t>
        </is>
      </c>
      <c r="G297" t="n">
        <v>261</v>
      </c>
      <c r="H297" t="n">
        <v>1.737114000364497</v>
      </c>
      <c r="I297" t="inlineStr">
        <is>
          <t>Yes</t>
        </is>
      </c>
      <c r="J297" t="n">
        <v>1</v>
      </c>
      <c r="K297">
        <f>'_pockets'!$AI$490</f>
        <v/>
      </c>
      <c r="L297">
        <f>'_pockets'!$AJ$490</f>
        <v/>
      </c>
      <c r="M297">
        <f>IF(AND($A297='Pockets'!$D$18,$B297='Pockets'!$C$18,OR('Pockets'!$E$18="All",AND('Pockets'!$E$18="Worse and material",$K297="Yes",$L297="Yes"),AND('Pockets'!$E$18="Worse or not sure",OR($K297="Yes",$K297="Not sure")))),1,0)</f>
        <v/>
      </c>
      <c r="N297">
        <f>$N296+$M297</f>
        <v/>
      </c>
      <c r="O297" t="inlineStr">
        <is>
          <t>three-way</t>
        </is>
      </c>
      <c r="P297" t="inlineStr">
        <is>
          <t>outcome_booked</t>
        </is>
      </c>
    </row>
    <row r="298">
      <c r="A298" t="inlineStr">
        <is>
          <t>Split by REV_DEBT</t>
        </is>
      </c>
      <c r="B298" t="inlineStr">
        <is>
          <t>Bad dollars</t>
        </is>
      </c>
      <c r="C298" t="n">
        <v>685</v>
      </c>
      <c r="D298" t="inlineStr">
        <is>
          <t>FICO 496 - 653</t>
        </is>
      </c>
      <c r="E298" t="inlineStr">
        <is>
          <t>ASSET_CLASS 4</t>
        </is>
      </c>
      <c r="F298" t="inlineStr">
        <is>
          <t>high</t>
        </is>
      </c>
      <c r="G298" t="n">
        <v>196</v>
      </c>
      <c r="H298" t="n">
        <v>1.861411441103017</v>
      </c>
      <c r="I298" t="inlineStr">
        <is>
          <t>Yes</t>
        </is>
      </c>
      <c r="J298" t="n">
        <v>2</v>
      </c>
      <c r="K298">
        <f>'_pockets'!$AI$685</f>
        <v/>
      </c>
      <c r="L298">
        <f>'_pockets'!$AJ$685</f>
        <v/>
      </c>
      <c r="M298">
        <f>IF(AND($A298='Pockets'!$D$18,$B298='Pockets'!$C$18,OR('Pockets'!$E$18="All",AND('Pockets'!$E$18="Worse and material",$K298="Yes",$L298="Yes"),AND('Pockets'!$E$18="Worse or not sure",OR($K298="Yes",$K298="Not sure")))),1,0)</f>
        <v/>
      </c>
      <c r="N298">
        <f>$N297+$M298</f>
        <v/>
      </c>
      <c r="O298" t="inlineStr">
        <is>
          <t>three-way</t>
        </is>
      </c>
      <c r="P298" t="inlineStr">
        <is>
          <t>outcome_booked</t>
        </is>
      </c>
    </row>
    <row r="299">
      <c r="A299" t="inlineStr">
        <is>
          <t>Split by REV_DEBT</t>
        </is>
      </c>
      <c r="B299" t="inlineStr">
        <is>
          <t>Bad dollars</t>
        </is>
      </c>
      <c r="C299" t="n">
        <v>480</v>
      </c>
      <c r="D299" t="inlineStr">
        <is>
          <t>FICO 686 - 711</t>
        </is>
      </c>
      <c r="E299" t="inlineStr">
        <is>
          <t>Online</t>
        </is>
      </c>
      <c r="F299" t="inlineStr">
        <is>
          <t>high</t>
        </is>
      </c>
      <c r="G299" t="n">
        <v>273</v>
      </c>
      <c r="H299" t="n">
        <v>1.719400137746503</v>
      </c>
      <c r="I299" t="inlineStr">
        <is>
          <t>Yes</t>
        </is>
      </c>
      <c r="J299" t="n">
        <v>3</v>
      </c>
      <c r="K299">
        <f>'_pockets'!$AI$480</f>
        <v/>
      </c>
      <c r="L299">
        <f>'_pockets'!$AJ$480</f>
        <v/>
      </c>
      <c r="M299">
        <f>IF(AND($A299='Pockets'!$D$18,$B299='Pockets'!$C$18,OR('Pockets'!$E$18="All",AND('Pockets'!$E$18="Worse and material",$K299="Yes",$L299="Yes"),AND('Pockets'!$E$18="Worse or not sure",OR($K299="Yes",$K299="Not sure")))),1,0)</f>
        <v/>
      </c>
      <c r="N299">
        <f>$N298+$M299</f>
        <v/>
      </c>
      <c r="O299" t="inlineStr">
        <is>
          <t>three-way</t>
        </is>
      </c>
      <c r="P299" t="inlineStr">
        <is>
          <t>outcome_booked</t>
        </is>
      </c>
    </row>
    <row r="300">
      <c r="A300" t="inlineStr">
        <is>
          <t>Split by REV_DEBT</t>
        </is>
      </c>
      <c r="B300" t="inlineStr">
        <is>
          <t>Bad dollars</t>
        </is>
      </c>
      <c r="C300" t="n">
        <v>715</v>
      </c>
      <c r="D300" t="inlineStr">
        <is>
          <t>FICO 654 - 685</t>
        </is>
      </c>
      <c r="E300" t="inlineStr">
        <is>
          <t>ASSET_CLASS 4</t>
        </is>
      </c>
      <c r="F300" t="inlineStr">
        <is>
          <t>high</t>
        </is>
      </c>
      <c r="G300" t="n">
        <v>205</v>
      </c>
      <c r="H300" t="n">
        <v>1.840540851451334</v>
      </c>
      <c r="I300" t="inlineStr">
        <is>
          <t>Yes</t>
        </is>
      </c>
      <c r="J300" t="n">
        <v>4</v>
      </c>
      <c r="K300">
        <f>'_pockets'!$AI$715</f>
        <v/>
      </c>
      <c r="L300">
        <f>'_pockets'!$AJ$715</f>
        <v/>
      </c>
      <c r="M300">
        <f>IF(AND($A300='Pockets'!$D$18,$B300='Pockets'!$C$18,OR('Pockets'!$E$18="All",AND('Pockets'!$E$18="Worse and material",$K300="Yes",$L300="Yes"),AND('Pockets'!$E$18="Worse or not sure",OR($K300="Yes",$K300="Not sure")))),1,0)</f>
        <v/>
      </c>
      <c r="N300">
        <f>$N299+$M300</f>
        <v/>
      </c>
      <c r="O300" t="inlineStr">
        <is>
          <t>three-way</t>
        </is>
      </c>
      <c r="P300" t="inlineStr">
        <is>
          <t>outcome_booked</t>
        </is>
      </c>
    </row>
    <row r="301">
      <c r="A301" t="inlineStr">
        <is>
          <t>Split by REV_DEBT</t>
        </is>
      </c>
      <c r="B301" t="inlineStr">
        <is>
          <t>Bad dollars</t>
        </is>
      </c>
      <c r="C301" t="n">
        <v>465</v>
      </c>
      <c r="D301" t="inlineStr">
        <is>
          <t>FICO 712 - 745</t>
        </is>
      </c>
      <c r="E301" t="inlineStr">
        <is>
          <t>Online</t>
        </is>
      </c>
      <c r="F301" t="inlineStr">
        <is>
          <t>high</t>
        </is>
      </c>
      <c r="G301" t="n">
        <v>282</v>
      </c>
      <c r="H301" t="n">
        <v>1.70689860495267</v>
      </c>
      <c r="I301" t="inlineStr">
        <is>
          <t>Yes</t>
        </is>
      </c>
      <c r="J301" t="n">
        <v>5</v>
      </c>
      <c r="K301">
        <f>'_pockets'!$AI$465</f>
        <v/>
      </c>
      <c r="L301">
        <f>'_pockets'!$AJ$465</f>
        <v/>
      </c>
      <c r="M301">
        <f>IF(AND($A301='Pockets'!$D$18,$B301='Pockets'!$C$18,OR('Pockets'!$E$18="All",AND('Pockets'!$E$18="Worse and material",$K301="Yes",$L301="Yes"),AND('Pockets'!$E$18="Worse or not sure",OR($K301="Yes",$K301="Not sure")))),1,0)</f>
        <v/>
      </c>
      <c r="N301">
        <f>$N300+$M301</f>
        <v/>
      </c>
      <c r="O301" t="inlineStr">
        <is>
          <t>three-way</t>
        </is>
      </c>
      <c r="P301" t="inlineStr">
        <is>
          <t>outcome_booked</t>
        </is>
      </c>
    </row>
    <row r="302">
      <c r="A302" t="inlineStr">
        <is>
          <t>Split by REV_DEBT</t>
        </is>
      </c>
      <c r="B302" t="inlineStr">
        <is>
          <t>Bad dollars</t>
        </is>
      </c>
      <c r="C302" t="n">
        <v>530</v>
      </c>
      <c r="D302" t="inlineStr">
        <is>
          <t>FICO 654 - 685</t>
        </is>
      </c>
      <c r="E302" t="inlineStr">
        <is>
          <t>Broker</t>
        </is>
      </c>
      <c r="F302" t="inlineStr">
        <is>
          <t>high</t>
        </is>
      </c>
      <c r="G302" t="n">
        <v>265</v>
      </c>
      <c r="H302" t="n">
        <v>1.731069331063485</v>
      </c>
      <c r="I302" t="inlineStr">
        <is>
          <t>Yes</t>
        </is>
      </c>
      <c r="J302" t="n">
        <v>6</v>
      </c>
      <c r="K302">
        <f>'_pockets'!$AI$530</f>
        <v/>
      </c>
      <c r="L302">
        <f>'_pockets'!$AJ$530</f>
        <v/>
      </c>
      <c r="M302">
        <f>IF(AND($A302='Pockets'!$D$18,$B302='Pockets'!$C$18,OR('Pockets'!$E$18="All",AND('Pockets'!$E$18="Worse and material",$K302="Yes",$L302="Yes"),AND('Pockets'!$E$18="Worse or not sure",OR($K302="Yes",$K302="Not sure")))),1,0)</f>
        <v/>
      </c>
      <c r="N302">
        <f>$N301+$M302</f>
        <v/>
      </c>
      <c r="O302" t="inlineStr">
        <is>
          <t>three-way</t>
        </is>
      </c>
      <c r="P302" t="inlineStr">
        <is>
          <t>outcome_booked</t>
        </is>
      </c>
    </row>
    <row r="303">
      <c r="A303" t="inlineStr">
        <is>
          <t>Split by REV_DEBT</t>
        </is>
      </c>
      <c r="B303" t="inlineStr">
        <is>
          <t>Bad dollars</t>
        </is>
      </c>
      <c r="C303" t="n">
        <v>620</v>
      </c>
      <c r="D303" t="inlineStr">
        <is>
          <t>FICO 712 - 745</t>
        </is>
      </c>
      <c r="E303" t="inlineStr">
        <is>
          <t>ASSET_CLASS 4</t>
        </is>
      </c>
      <c r="F303" t="inlineStr">
        <is>
          <t>high</t>
        </is>
      </c>
      <c r="G303" t="n">
        <v>213</v>
      </c>
      <c r="H303" t="n">
        <v>1.823169083360852</v>
      </c>
      <c r="I303" t="inlineStr">
        <is>
          <t>Yes</t>
        </is>
      </c>
      <c r="J303" t="n">
        <v>7</v>
      </c>
      <c r="K303">
        <f>'_pockets'!$AI$620</f>
        <v/>
      </c>
      <c r="L303">
        <f>'_pockets'!$AJ$620</f>
        <v/>
      </c>
      <c r="M303">
        <f>IF(AND($A303='Pockets'!$D$18,$B303='Pockets'!$C$18,OR('Pockets'!$E$18="All",AND('Pockets'!$E$18="Worse and material",$K303="Yes",$L303="Yes"),AND('Pockets'!$E$18="Worse or not sure",OR($K303="Yes",$K303="Not sure")))),1,0)</f>
        <v/>
      </c>
      <c r="N303">
        <f>$N302+$M303</f>
        <v/>
      </c>
      <c r="O303" t="inlineStr">
        <is>
          <t>three-way</t>
        </is>
      </c>
      <c r="P303" t="inlineStr">
        <is>
          <t>outcome_booked</t>
        </is>
      </c>
    </row>
    <row r="304">
      <c r="A304" t="inlineStr">
        <is>
          <t>Split by REV_DEBT</t>
        </is>
      </c>
      <c r="B304" t="inlineStr">
        <is>
          <t>Bad dollars</t>
        </is>
      </c>
      <c r="C304" t="n">
        <v>810</v>
      </c>
      <c r="D304" t="inlineStr">
        <is>
          <t>FICO 686 - 711</t>
        </is>
      </c>
      <c r="E304" t="inlineStr">
        <is>
          <t>ASSET_CLASS 4</t>
        </is>
      </c>
      <c r="F304" t="inlineStr">
        <is>
          <t>high</t>
        </is>
      </c>
      <c r="G304" t="n">
        <v>203</v>
      </c>
      <c r="H304" t="n">
        <v>1.845052124002008</v>
      </c>
      <c r="I304" t="inlineStr">
        <is>
          <t>Yes</t>
        </is>
      </c>
      <c r="J304" t="n">
        <v>8</v>
      </c>
      <c r="K304">
        <f>'_pockets'!$AI$810</f>
        <v/>
      </c>
      <c r="L304">
        <f>'_pockets'!$AJ$810</f>
        <v/>
      </c>
      <c r="M304">
        <f>IF(AND($A304='Pockets'!$D$18,$B304='Pockets'!$C$18,OR('Pockets'!$E$18="All",AND('Pockets'!$E$18="Worse and material",$K304="Yes",$L304="Yes"),AND('Pockets'!$E$18="Worse or not sure",OR($K304="Yes",$K304="Not sure")))),1,0)</f>
        <v/>
      </c>
      <c r="N304">
        <f>$N303+$M304</f>
        <v/>
      </c>
      <c r="O304" t="inlineStr">
        <is>
          <t>three-way</t>
        </is>
      </c>
      <c r="P304" t="inlineStr">
        <is>
          <t>outcome_booked</t>
        </is>
      </c>
    </row>
    <row r="305">
      <c r="A305" t="inlineStr">
        <is>
          <t>Split by REV_DEBT</t>
        </is>
      </c>
      <c r="B305" t="inlineStr">
        <is>
          <t>Bad dollars</t>
        </is>
      </c>
      <c r="C305" t="n">
        <v>775</v>
      </c>
      <c r="D305" t="inlineStr">
        <is>
          <t>FICO 686 - 711</t>
        </is>
      </c>
      <c r="E305" t="inlineStr">
        <is>
          <t>ASSET_CLASS 3</t>
        </is>
      </c>
      <c r="F305" t="inlineStr">
        <is>
          <t>high</t>
        </is>
      </c>
      <c r="G305" t="n">
        <v>194</v>
      </c>
      <c r="H305" t="n">
        <v>1.866256320082394</v>
      </c>
      <c r="I305" t="inlineStr">
        <is>
          <t>Yes</t>
        </is>
      </c>
      <c r="J305" t="n">
        <v>9</v>
      </c>
      <c r="K305">
        <f>'_pockets'!$AI$775</f>
        <v/>
      </c>
      <c r="L305">
        <f>'_pockets'!$AJ$775</f>
        <v/>
      </c>
      <c r="M305">
        <f>IF(AND($A305='Pockets'!$D$18,$B305='Pockets'!$C$18,OR('Pockets'!$E$18="All",AND('Pockets'!$E$18="Worse and material",$K305="Yes",$L305="Yes"),AND('Pockets'!$E$18="Worse or not sure",OR($K305="Yes",$K305="Not sure")))),1,0)</f>
        <v/>
      </c>
      <c r="N305">
        <f>$N304+$M305</f>
        <v/>
      </c>
      <c r="O305" t="inlineStr">
        <is>
          <t>three-way</t>
        </is>
      </c>
      <c r="P305" t="inlineStr">
        <is>
          <t>outcome_booked</t>
        </is>
      </c>
    </row>
    <row r="306">
      <c r="A306" t="inlineStr">
        <is>
          <t>Split by REV_DEBT</t>
        </is>
      </c>
      <c r="B306" t="inlineStr">
        <is>
          <t>Bad dollars</t>
        </is>
      </c>
      <c r="C306" t="n">
        <v>625</v>
      </c>
      <c r="D306" t="inlineStr">
        <is>
          <t>FICO 746 - 921</t>
        </is>
      </c>
      <c r="E306" t="inlineStr">
        <is>
          <t>ASSET_CLASS 2</t>
        </is>
      </c>
      <c r="F306" t="inlineStr">
        <is>
          <t>high</t>
        </is>
      </c>
      <c r="G306" t="n">
        <v>199</v>
      </c>
      <c r="H306" t="n">
        <v>1.854288927293069</v>
      </c>
      <c r="I306" t="inlineStr">
        <is>
          <t>Yes</t>
        </is>
      </c>
      <c r="J306" t="n">
        <v>10</v>
      </c>
      <c r="K306">
        <f>'_pockets'!$AI$625</f>
        <v/>
      </c>
      <c r="L306">
        <f>'_pockets'!$AJ$625</f>
        <v/>
      </c>
      <c r="M306">
        <f>IF(AND($A306='Pockets'!$D$18,$B306='Pockets'!$C$18,OR('Pockets'!$E$18="All",AND('Pockets'!$E$18="Worse and material",$K306="Yes",$L306="Yes"),AND('Pockets'!$E$18="Worse or not sure",OR($K306="Yes",$K306="Not sure")))),1,0)</f>
        <v/>
      </c>
      <c r="N306">
        <f>$N305+$M306</f>
        <v/>
      </c>
      <c r="O306" t="inlineStr">
        <is>
          <t>three-way</t>
        </is>
      </c>
      <c r="P306" t="inlineStr">
        <is>
          <t>outcome_booked</t>
        </is>
      </c>
    </row>
    <row r="307">
      <c r="A307" t="inlineStr">
        <is>
          <t>Split by REV_DEBT</t>
        </is>
      </c>
      <c r="B307" t="inlineStr">
        <is>
          <t>Bad dollars</t>
        </is>
      </c>
      <c r="C307" t="n">
        <v>505</v>
      </c>
      <c r="D307" t="inlineStr">
        <is>
          <t>FICO 654 - 685</t>
        </is>
      </c>
      <c r="E307" t="inlineStr">
        <is>
          <t>Online</t>
        </is>
      </c>
      <c r="F307" t="inlineStr">
        <is>
          <t>high</t>
        </is>
      </c>
      <c r="G307" t="n">
        <v>252</v>
      </c>
      <c r="H307" t="n">
        <v>1.751263197656776</v>
      </c>
      <c r="I307" t="inlineStr">
        <is>
          <t>Yes</t>
        </is>
      </c>
      <c r="J307" t="n">
        <v>11</v>
      </c>
      <c r="K307">
        <f>'_pockets'!$AI$505</f>
        <v/>
      </c>
      <c r="L307">
        <f>'_pockets'!$AJ$505</f>
        <v/>
      </c>
      <c r="M307">
        <f>IF(AND($A307='Pockets'!$D$18,$B307='Pockets'!$C$18,OR('Pockets'!$E$18="All",AND('Pockets'!$E$18="Worse and material",$K307="Yes",$L307="Yes"),AND('Pockets'!$E$18="Worse or not sure",OR($K307="Yes",$K307="Not sure")))),1,0)</f>
        <v/>
      </c>
      <c r="N307">
        <f>$N306+$M307</f>
        <v/>
      </c>
      <c r="O307" t="inlineStr">
        <is>
          <t>three-way</t>
        </is>
      </c>
      <c r="P307" t="inlineStr">
        <is>
          <t>outcome_booked</t>
        </is>
      </c>
    </row>
    <row r="308">
      <c r="A308" t="inlineStr">
        <is>
          <t>Split by REV_DEBT</t>
        </is>
      </c>
      <c r="B308" t="inlineStr">
        <is>
          <t>Bad dollars</t>
        </is>
      </c>
      <c r="C308" t="n">
        <v>690</v>
      </c>
      <c r="D308" t="inlineStr">
        <is>
          <t>FICO 496 - 653</t>
        </is>
      </c>
      <c r="E308" t="inlineStr">
        <is>
          <t>ASSET_CLASS 3</t>
        </is>
      </c>
      <c r="F308" t="inlineStr">
        <is>
          <t>high</t>
        </is>
      </c>
      <c r="G308" t="n">
        <v>175</v>
      </c>
      <c r="H308" t="n">
        <v>1.916587118224312</v>
      </c>
      <c r="I308" t="inlineStr">
        <is>
          <t>Yes</t>
        </is>
      </c>
      <c r="J308" t="n">
        <v>12</v>
      </c>
      <c r="K308">
        <f>'_pockets'!$AI$690</f>
        <v/>
      </c>
      <c r="L308">
        <f>'_pockets'!$AJ$690</f>
        <v/>
      </c>
      <c r="M308">
        <f>IF(AND($A308='Pockets'!$D$18,$B308='Pockets'!$C$18,OR('Pockets'!$E$18="All",AND('Pockets'!$E$18="Worse and material",$K308="Yes",$L308="Yes"),AND('Pockets'!$E$18="Worse or not sure",OR($K308="Yes",$K308="Not sure")))),1,0)</f>
        <v/>
      </c>
      <c r="N308">
        <f>$N307+$M308</f>
        <v/>
      </c>
      <c r="O308" t="inlineStr">
        <is>
          <t>three-way</t>
        </is>
      </c>
      <c r="P308" t="inlineStr">
        <is>
          <t>outcome_booked</t>
        </is>
      </c>
    </row>
    <row r="309">
      <c r="A309" t="inlineStr">
        <is>
          <t>Split by REV_DEBT</t>
        </is>
      </c>
      <c r="B309" t="inlineStr">
        <is>
          <t>Bad dollars</t>
        </is>
      </c>
      <c r="C309" t="n">
        <v>670</v>
      </c>
      <c r="D309" t="inlineStr">
        <is>
          <t>FICO 686 - 711</t>
        </is>
      </c>
      <c r="E309" t="inlineStr">
        <is>
          <t>ASSET_CLASS 1</t>
        </is>
      </c>
      <c r="F309" t="inlineStr">
        <is>
          <t>high</t>
        </is>
      </c>
      <c r="G309" t="n">
        <v>186</v>
      </c>
      <c r="H309" t="n">
        <v>1.886454664827914</v>
      </c>
      <c r="I309" t="inlineStr">
        <is>
          <t>Yes</t>
        </is>
      </c>
      <c r="J309" t="n">
        <v>13</v>
      </c>
      <c r="K309">
        <f>'_pockets'!$AI$670</f>
        <v/>
      </c>
      <c r="L309">
        <f>'_pockets'!$AJ$670</f>
        <v/>
      </c>
      <c r="M309">
        <f>IF(AND($A309='Pockets'!$D$18,$B309='Pockets'!$C$18,OR('Pockets'!$E$18="All",AND('Pockets'!$E$18="Worse and material",$K309="Yes",$L309="Yes"),AND('Pockets'!$E$18="Worse or not sure",OR($K309="Yes",$K309="Not sure")))),1,0)</f>
        <v/>
      </c>
      <c r="N309">
        <f>$N308+$M309</f>
        <v/>
      </c>
      <c r="O309" t="inlineStr">
        <is>
          <t>three-way</t>
        </is>
      </c>
      <c r="P309" t="inlineStr">
        <is>
          <t>outcome_booked</t>
        </is>
      </c>
    </row>
    <row r="310">
      <c r="A310" t="inlineStr">
        <is>
          <t>Split by REV_DEBT</t>
        </is>
      </c>
      <c r="B310" t="inlineStr">
        <is>
          <t>Bad dollars</t>
        </is>
      </c>
      <c r="C310" t="n">
        <v>470</v>
      </c>
      <c r="D310" t="inlineStr">
        <is>
          <t>FICO 654 - 685</t>
        </is>
      </c>
      <c r="E310" t="inlineStr">
        <is>
          <t>Branch</t>
        </is>
      </c>
      <c r="F310" t="inlineStr">
        <is>
          <t>high</t>
        </is>
      </c>
      <c r="G310" t="n">
        <v>251</v>
      </c>
      <c r="H310" t="n">
        <v>1.752884479335255</v>
      </c>
      <c r="I310" t="inlineStr">
        <is>
          <t>Yes</t>
        </is>
      </c>
      <c r="J310" t="n">
        <v>14</v>
      </c>
      <c r="K310">
        <f>'_pockets'!$AI$470</f>
        <v/>
      </c>
      <c r="L310">
        <f>'_pockets'!$AJ$470</f>
        <v/>
      </c>
      <c r="M310">
        <f>IF(AND($A310='Pockets'!$D$18,$B310='Pockets'!$C$18,OR('Pockets'!$E$18="All",AND('Pockets'!$E$18="Worse and material",$K310="Yes",$L310="Yes"),AND('Pockets'!$E$18="Worse or not sure",OR($K310="Yes",$K310="Not sure")))),1,0)</f>
        <v/>
      </c>
      <c r="N310">
        <f>$N309+$M310</f>
        <v/>
      </c>
      <c r="O310" t="inlineStr">
        <is>
          <t>three-way</t>
        </is>
      </c>
      <c r="P310" t="inlineStr">
        <is>
          <t>outcome_booked</t>
        </is>
      </c>
    </row>
    <row r="311">
      <c r="A311" t="inlineStr">
        <is>
          <t>Split by REV_DEBT</t>
        </is>
      </c>
      <c r="B311" t="inlineStr">
        <is>
          <t>Bad dollars</t>
        </is>
      </c>
      <c r="C311" t="n">
        <v>790</v>
      </c>
      <c r="D311" t="inlineStr">
        <is>
          <t>FICO 496 - 653</t>
        </is>
      </c>
      <c r="E311" t="inlineStr">
        <is>
          <t>ASSET_CLASS 1</t>
        </is>
      </c>
      <c r="F311" t="inlineStr">
        <is>
          <t>high</t>
        </is>
      </c>
      <c r="G311" t="n">
        <v>210</v>
      </c>
      <c r="H311" t="n">
        <v>1.829560898677709</v>
      </c>
      <c r="I311" t="inlineStr">
        <is>
          <t>Yes</t>
        </is>
      </c>
      <c r="J311" t="n">
        <v>15</v>
      </c>
      <c r="K311">
        <f>'_pockets'!$AI$790</f>
        <v/>
      </c>
      <c r="L311">
        <f>'_pockets'!$AJ$790</f>
        <v/>
      </c>
      <c r="M311">
        <f>IF(AND($A311='Pockets'!$D$18,$B311='Pockets'!$C$18,OR('Pockets'!$E$18="All",AND('Pockets'!$E$18="Worse and material",$K311="Yes",$L311="Yes"),AND('Pockets'!$E$18="Worse or not sure",OR($K311="Yes",$K311="Not sure")))),1,0)</f>
        <v/>
      </c>
      <c r="N311">
        <f>$N310+$M311</f>
        <v/>
      </c>
      <c r="O311" t="inlineStr">
        <is>
          <t>three-way</t>
        </is>
      </c>
      <c r="P311" t="inlineStr">
        <is>
          <t>outcome_booked</t>
        </is>
      </c>
    </row>
    <row r="312">
      <c r="A312" t="inlineStr">
        <is>
          <t>Split by REV_DEBT</t>
        </is>
      </c>
      <c r="B312" t="inlineStr">
        <is>
          <t>Bad dollars</t>
        </is>
      </c>
      <c r="C312" t="n">
        <v>705</v>
      </c>
      <c r="D312" t="inlineStr">
        <is>
          <t>FICO 654 - 685</t>
        </is>
      </c>
      <c r="E312" t="inlineStr">
        <is>
          <t>ASSET_CLASS 3</t>
        </is>
      </c>
      <c r="F312" t="inlineStr">
        <is>
          <t>high</t>
        </is>
      </c>
      <c r="G312" t="n">
        <v>188</v>
      </c>
      <c r="H312" t="n">
        <v>1.881277732004701</v>
      </c>
      <c r="I312" t="inlineStr">
        <is>
          <t>Yes</t>
        </is>
      </c>
      <c r="J312" t="n">
        <v>16</v>
      </c>
      <c r="K312">
        <f>'_pockets'!$AI$705</f>
        <v/>
      </c>
      <c r="L312">
        <f>'_pockets'!$AJ$705</f>
        <v/>
      </c>
      <c r="M312">
        <f>IF(AND($A312='Pockets'!$D$18,$B312='Pockets'!$C$18,OR('Pockets'!$E$18="All",AND('Pockets'!$E$18="Worse and material",$K312="Yes",$L312="Yes"),AND('Pockets'!$E$18="Worse or not sure",OR($K312="Yes",$K312="Not sure")))),1,0)</f>
        <v/>
      </c>
      <c r="N312">
        <f>$N311+$M312</f>
        <v/>
      </c>
      <c r="O312" t="inlineStr">
        <is>
          <t>three-way</t>
        </is>
      </c>
      <c r="P312" t="inlineStr">
        <is>
          <t>outcome_booked</t>
        </is>
      </c>
    </row>
    <row r="313">
      <c r="A313" t="inlineStr">
        <is>
          <t>Split by REV_DEBT</t>
        </is>
      </c>
      <c r="B313" t="inlineStr">
        <is>
          <t>Bad dollars</t>
        </is>
      </c>
      <c r="C313" t="n">
        <v>680</v>
      </c>
      <c r="D313" t="inlineStr">
        <is>
          <t>FICO 654 - 685</t>
        </is>
      </c>
      <c r="E313" t="inlineStr">
        <is>
          <t>ASSET_CLASS 1</t>
        </is>
      </c>
      <c r="F313" t="inlineStr">
        <is>
          <t>high</t>
        </is>
      </c>
      <c r="G313" t="n">
        <v>198</v>
      </c>
      <c r="H313" t="n">
        <v>1.856644129621704</v>
      </c>
      <c r="I313" t="inlineStr">
        <is>
          <t>Yes</t>
        </is>
      </c>
      <c r="J313" t="n">
        <v>17</v>
      </c>
      <c r="K313">
        <f>'_pockets'!$AI$680</f>
        <v/>
      </c>
      <c r="L313">
        <f>'_pockets'!$AJ$680</f>
        <v/>
      </c>
      <c r="M313">
        <f>IF(AND($A313='Pockets'!$D$18,$B313='Pockets'!$C$18,OR('Pockets'!$E$18="All",AND('Pockets'!$E$18="Worse and material",$K313="Yes",$L313="Yes"),AND('Pockets'!$E$18="Worse or not sure",OR($K313="Yes",$K313="Not sure")))),1,0)</f>
        <v/>
      </c>
      <c r="N313">
        <f>$N312+$M313</f>
        <v/>
      </c>
      <c r="O313" t="inlineStr">
        <is>
          <t>three-way</t>
        </is>
      </c>
      <c r="P313" t="inlineStr">
        <is>
          <t>outcome_booked</t>
        </is>
      </c>
    </row>
    <row r="314">
      <c r="A314" t="inlineStr">
        <is>
          <t>Split by REV_DEBT</t>
        </is>
      </c>
      <c r="B314" t="inlineStr">
        <is>
          <t>Bad dollars</t>
        </is>
      </c>
      <c r="C314" t="n">
        <v>540</v>
      </c>
      <c r="D314" t="inlineStr">
        <is>
          <t>FICO 746 - 921</t>
        </is>
      </c>
      <c r="E314" t="inlineStr">
        <is>
          <t>Broker</t>
        </is>
      </c>
      <c r="F314" t="inlineStr">
        <is>
          <t>high</t>
        </is>
      </c>
      <c r="G314" t="n">
        <v>268</v>
      </c>
      <c r="H314" t="n">
        <v>1.726629217318258</v>
      </c>
      <c r="I314" t="inlineStr">
        <is>
          <t>Yes</t>
        </is>
      </c>
      <c r="J314" t="n">
        <v>18</v>
      </c>
      <c r="K314">
        <f>'_pockets'!$AI$540</f>
        <v/>
      </c>
      <c r="L314">
        <f>'_pockets'!$AJ$540</f>
        <v/>
      </c>
      <c r="M314">
        <f>IF(AND($A314='Pockets'!$D$18,$B314='Pockets'!$C$18,OR('Pockets'!$E$18="All",AND('Pockets'!$E$18="Worse and material",$K314="Yes",$L314="Yes"),AND('Pockets'!$E$18="Worse or not sure",OR($K314="Yes",$K314="Not sure")))),1,0)</f>
        <v/>
      </c>
      <c r="N314">
        <f>$N313+$M314</f>
        <v/>
      </c>
      <c r="O314" t="inlineStr">
        <is>
          <t>three-way</t>
        </is>
      </c>
      <c r="P314" t="inlineStr">
        <is>
          <t>outcome_booked</t>
        </is>
      </c>
    </row>
    <row r="315">
      <c r="A315" t="inlineStr">
        <is>
          <t>Split by REV_DEBT</t>
        </is>
      </c>
      <c r="B315" t="inlineStr">
        <is>
          <t>Bad dollars</t>
        </is>
      </c>
      <c r="C315" t="n">
        <v>590</v>
      </c>
      <c r="D315" t="inlineStr">
        <is>
          <t>FICO (marked missing)</t>
        </is>
      </c>
      <c r="E315" t="inlineStr">
        <is>
          <t>Broker</t>
        </is>
      </c>
      <c r="F315" t="inlineStr">
        <is>
          <t>high</t>
        </is>
      </c>
      <c r="G315" t="n">
        <v>27</v>
      </c>
      <c r="H315" t="n">
        <v>3.666908086258942</v>
      </c>
      <c r="I315" t="inlineStr">
        <is>
          <t>Yes</t>
        </is>
      </c>
      <c r="J315" t="n">
        <v>19</v>
      </c>
      <c r="K315">
        <f>'_pockets'!$AI$590</f>
        <v/>
      </c>
      <c r="L315">
        <f>'_pockets'!$AJ$590</f>
        <v/>
      </c>
      <c r="M315">
        <f>IF(AND($A315='Pockets'!$D$18,$B315='Pockets'!$C$18,OR('Pockets'!$E$18="All",AND('Pockets'!$E$18="Worse and material",$K315="Yes",$L315="Yes"),AND('Pockets'!$E$18="Worse or not sure",OR($K315="Yes",$K315="Not sure")))),1,0)</f>
        <v/>
      </c>
      <c r="N315">
        <f>$N314+$M315</f>
        <v/>
      </c>
      <c r="O315" t="inlineStr">
        <is>
          <t>three-way</t>
        </is>
      </c>
      <c r="P315" t="inlineStr">
        <is>
          <t>outcome_booked</t>
        </is>
      </c>
    </row>
    <row r="316">
      <c r="A316" t="inlineStr">
        <is>
          <t>Split by REV_DEBT</t>
        </is>
      </c>
      <c r="B316" t="inlineStr">
        <is>
          <t>Bad dollars</t>
        </is>
      </c>
      <c r="C316" t="n">
        <v>440</v>
      </c>
      <c r="D316" t="inlineStr">
        <is>
          <t>FICO 496 - 653</t>
        </is>
      </c>
      <c r="E316" t="inlineStr">
        <is>
          <t>Broker</t>
        </is>
      </c>
      <c r="F316" t="inlineStr">
        <is>
          <t>low</t>
        </is>
      </c>
      <c r="G316" t="n">
        <v>262</v>
      </c>
      <c r="H316" t="n">
        <v>1.735589228311301</v>
      </c>
      <c r="I316" t="inlineStr">
        <is>
          <t>Yes</t>
        </is>
      </c>
      <c r="J316" t="n">
        <v>20</v>
      </c>
      <c r="K316">
        <f>'_pockets'!$AI$440</f>
        <v/>
      </c>
      <c r="L316">
        <f>'_pockets'!$AJ$440</f>
        <v/>
      </c>
      <c r="M316">
        <f>IF(AND($A316='Pockets'!$D$18,$B316='Pockets'!$C$18,OR('Pockets'!$E$18="All",AND('Pockets'!$E$18="Worse and material",$K316="Yes",$L316="Yes"),AND('Pockets'!$E$18="Worse or not sure",OR($K316="Yes",$K316="Not sure")))),1,0)</f>
        <v/>
      </c>
      <c r="N316">
        <f>$N315+$M316</f>
        <v/>
      </c>
      <c r="O316" t="inlineStr">
        <is>
          <t>three-way</t>
        </is>
      </c>
      <c r="P316" t="inlineStr">
        <is>
          <t>outcome_booked</t>
        </is>
      </c>
    </row>
    <row r="317">
      <c r="A317" t="inlineStr">
        <is>
          <t>Split by REV_DEBT</t>
        </is>
      </c>
      <c r="B317" t="inlineStr">
        <is>
          <t>Bad dollars</t>
        </is>
      </c>
      <c r="C317" t="n">
        <v>550</v>
      </c>
      <c r="D317" t="inlineStr">
        <is>
          <t>FICO 686 - 711</t>
        </is>
      </c>
      <c r="E317" t="inlineStr">
        <is>
          <t>Broker</t>
        </is>
      </c>
      <c r="F317" t="inlineStr">
        <is>
          <t>high</t>
        </is>
      </c>
      <c r="G317" t="n">
        <v>250</v>
      </c>
      <c r="H317" t="n">
        <v>1.75451596370724</v>
      </c>
      <c r="I317" t="inlineStr">
        <is>
          <t>Yes</t>
        </is>
      </c>
      <c r="J317" t="n">
        <v>21</v>
      </c>
      <c r="K317">
        <f>'_pockets'!$AI$550</f>
        <v/>
      </c>
      <c r="L317">
        <f>'_pockets'!$AJ$550</f>
        <v/>
      </c>
      <c r="M317">
        <f>IF(AND($A317='Pockets'!$D$18,$B317='Pockets'!$C$18,OR('Pockets'!$E$18="All",AND('Pockets'!$E$18="Worse and material",$K317="Yes",$L317="Yes"),AND('Pockets'!$E$18="Worse or not sure",OR($K317="Yes",$K317="Not sure")))),1,0)</f>
        <v/>
      </c>
      <c r="N317">
        <f>$N316+$M317</f>
        <v/>
      </c>
      <c r="O317" t="inlineStr">
        <is>
          <t>three-way</t>
        </is>
      </c>
      <c r="P317" t="inlineStr">
        <is>
          <t>outcome_booked</t>
        </is>
      </c>
    </row>
    <row r="318">
      <c r="A318" t="inlineStr">
        <is>
          <t>Split by REV_DEBT</t>
        </is>
      </c>
      <c r="B318" t="inlineStr">
        <is>
          <t>Bad dollars</t>
        </is>
      </c>
      <c r="C318" t="n">
        <v>665</v>
      </c>
      <c r="D318" t="inlineStr">
        <is>
          <t>FICO 654 - 685</t>
        </is>
      </c>
      <c r="E318" t="inlineStr">
        <is>
          <t>ASSET_CLASS 2</t>
        </is>
      </c>
      <c r="F318" t="inlineStr">
        <is>
          <t>high</t>
        </is>
      </c>
      <c r="G318" t="n">
        <v>177</v>
      </c>
      <c r="H318" t="n">
        <v>1.910888399048516</v>
      </c>
      <c r="I318" t="inlineStr">
        <is>
          <t>Yes</t>
        </is>
      </c>
      <c r="J318" t="n">
        <v>22</v>
      </c>
      <c r="K318">
        <f>'_pockets'!$AI$665</f>
        <v/>
      </c>
      <c r="L318">
        <f>'_pockets'!$AJ$665</f>
        <v/>
      </c>
      <c r="M318">
        <f>IF(AND($A318='Pockets'!$D$18,$B318='Pockets'!$C$18,OR('Pockets'!$E$18="All",AND('Pockets'!$E$18="Worse and material",$K318="Yes",$L318="Yes"),AND('Pockets'!$E$18="Worse or not sure",OR($K318="Yes",$K318="Not sure")))),1,0)</f>
        <v/>
      </c>
      <c r="N318">
        <f>$N317+$M318</f>
        <v/>
      </c>
      <c r="O318" t="inlineStr">
        <is>
          <t>three-way</t>
        </is>
      </c>
      <c r="P318" t="inlineStr">
        <is>
          <t>outcome_booked</t>
        </is>
      </c>
    </row>
    <row r="319">
      <c r="A319" t="inlineStr">
        <is>
          <t>Split by REV_DEBT</t>
        </is>
      </c>
      <c r="B319" t="inlineStr">
        <is>
          <t>Bad dollars</t>
        </is>
      </c>
      <c r="C319" t="n">
        <v>450</v>
      </c>
      <c r="D319" t="inlineStr">
        <is>
          <t>FICO 712 - 745</t>
        </is>
      </c>
      <c r="E319" t="inlineStr">
        <is>
          <t>Online</t>
        </is>
      </c>
      <c r="F319" t="inlineStr">
        <is>
          <t>low</t>
        </is>
      </c>
      <c r="G319" t="n">
        <v>282</v>
      </c>
      <c r="H319" t="n">
        <v>1.70689860495267</v>
      </c>
      <c r="I319" t="inlineStr">
        <is>
          <t>Yes</t>
        </is>
      </c>
      <c r="J319" t="n">
        <v>23</v>
      </c>
      <c r="K319">
        <f>'_pockets'!$AI$450</f>
        <v/>
      </c>
      <c r="L319">
        <f>'_pockets'!$AJ$450</f>
        <v/>
      </c>
      <c r="M319">
        <f>IF(AND($A319='Pockets'!$D$18,$B319='Pockets'!$C$18,OR('Pockets'!$E$18="All",AND('Pockets'!$E$18="Worse and material",$K319="Yes",$L319="Yes"),AND('Pockets'!$E$18="Worse or not sure",OR($K319="Yes",$K319="Not sure")))),1,0)</f>
        <v/>
      </c>
      <c r="N319">
        <f>$N318+$M319</f>
        <v/>
      </c>
      <c r="O319" t="inlineStr">
        <is>
          <t>three-way</t>
        </is>
      </c>
      <c r="P319" t="inlineStr">
        <is>
          <t>outcome_booked</t>
        </is>
      </c>
    </row>
    <row r="320">
      <c r="A320" t="inlineStr">
        <is>
          <t>Split by REV_DEBT</t>
        </is>
      </c>
      <c r="B320" t="inlineStr">
        <is>
          <t>Bad dollars</t>
        </is>
      </c>
      <c r="C320" t="n">
        <v>545</v>
      </c>
      <c r="D320" t="inlineStr">
        <is>
          <t>FICO 746 - 921</t>
        </is>
      </c>
      <c r="E320" t="inlineStr">
        <is>
          <t>Branch</t>
        </is>
      </c>
      <c r="F320" t="inlineStr">
        <is>
          <t>high</t>
        </is>
      </c>
      <c r="G320" t="n">
        <v>259</v>
      </c>
      <c r="H320" t="n">
        <v>1.74019129750391</v>
      </c>
      <c r="I320" t="inlineStr">
        <is>
          <t>Yes</t>
        </is>
      </c>
      <c r="J320" t="n">
        <v>24</v>
      </c>
      <c r="K320">
        <f>'_pockets'!$AI$545</f>
        <v/>
      </c>
      <c r="L320">
        <f>'_pockets'!$AJ$545</f>
        <v/>
      </c>
      <c r="M320">
        <f>IF(AND($A320='Pockets'!$D$18,$B320='Pockets'!$C$18,OR('Pockets'!$E$18="All",AND('Pockets'!$E$18="Worse and material",$K320="Yes",$L320="Yes"),AND('Pockets'!$E$18="Worse or not sure",OR($K320="Yes",$K320="Not sure")))),1,0)</f>
        <v/>
      </c>
      <c r="N320">
        <f>$N319+$M320</f>
        <v/>
      </c>
      <c r="O320" t="inlineStr">
        <is>
          <t>three-way</t>
        </is>
      </c>
      <c r="P320" t="inlineStr">
        <is>
          <t>outcome_booked</t>
        </is>
      </c>
    </row>
    <row r="321">
      <c r="A321" t="inlineStr">
        <is>
          <t>Split by REV_DEBT</t>
        </is>
      </c>
      <c r="B321" t="inlineStr">
        <is>
          <t>Bad dollars</t>
        </is>
      </c>
      <c r="C321" t="n">
        <v>560</v>
      </c>
      <c r="D321" t="inlineStr">
        <is>
          <t>FICO 686 - 711</t>
        </is>
      </c>
      <c r="E321" t="inlineStr">
        <is>
          <t>Branch</t>
        </is>
      </c>
      <c r="F321" t="inlineStr">
        <is>
          <t>high</t>
        </is>
      </c>
      <c r="G321" t="n">
        <v>257</v>
      </c>
      <c r="H321" t="n">
        <v>1.743306219572847</v>
      </c>
      <c r="I321" t="inlineStr">
        <is>
          <t>Yes</t>
        </is>
      </c>
      <c r="J321" t="n">
        <v>25</v>
      </c>
      <c r="K321">
        <f>'_pockets'!$AI$560</f>
        <v/>
      </c>
      <c r="L321">
        <f>'_pockets'!$AJ$560</f>
        <v/>
      </c>
      <c r="M321">
        <f>IF(AND($A321='Pockets'!$D$18,$B321='Pockets'!$C$18,OR('Pockets'!$E$18="All",AND('Pockets'!$E$18="Worse and material",$K321="Yes",$L321="Yes"),AND('Pockets'!$E$18="Worse or not sure",OR($K321="Yes",$K321="Not sure")))),1,0)</f>
        <v/>
      </c>
      <c r="N321">
        <f>$N320+$M321</f>
        <v/>
      </c>
      <c r="O321" t="inlineStr">
        <is>
          <t>three-way</t>
        </is>
      </c>
      <c r="P321" t="inlineStr">
        <is>
          <t>outcome_booked</t>
        </is>
      </c>
    </row>
    <row r="322">
      <c r="A322" t="inlineStr">
        <is>
          <t>Split by REV_DEBT</t>
        </is>
      </c>
      <c r="B322" t="inlineStr">
        <is>
          <t>Bad dollars</t>
        </is>
      </c>
      <c r="C322" t="n">
        <v>640</v>
      </c>
      <c r="D322" t="inlineStr">
        <is>
          <t>FICO 712 - 745</t>
        </is>
      </c>
      <c r="E322" t="inlineStr">
        <is>
          <t>ASSET_CLASS 4</t>
        </is>
      </c>
      <c r="F322" t="inlineStr">
        <is>
          <t>low</t>
        </is>
      </c>
      <c r="G322" t="n">
        <v>214</v>
      </c>
      <c r="H322" t="n">
        <v>1.821069977695777</v>
      </c>
      <c r="I322" t="inlineStr">
        <is>
          <t>Yes</t>
        </is>
      </c>
      <c r="J322" t="n">
        <v>26</v>
      </c>
      <c r="K322">
        <f>'_pockets'!$AI$640</f>
        <v/>
      </c>
      <c r="L322">
        <f>'_pockets'!$AJ$640</f>
        <v/>
      </c>
      <c r="M322">
        <f>IF(AND($A322='Pockets'!$D$18,$B322='Pockets'!$C$18,OR('Pockets'!$E$18="All",AND('Pockets'!$E$18="Worse and material",$K322="Yes",$L322="Yes"),AND('Pockets'!$E$18="Worse or not sure",OR($K322="Yes",$K322="Not sure")))),1,0)</f>
        <v/>
      </c>
      <c r="N322">
        <f>$N321+$M322</f>
        <v/>
      </c>
      <c r="O322" t="inlineStr">
        <is>
          <t>three-way</t>
        </is>
      </c>
      <c r="P322" t="inlineStr">
        <is>
          <t>outcome_booked</t>
        </is>
      </c>
    </row>
    <row r="323">
      <c r="A323" t="inlineStr">
        <is>
          <t>Split by REV_DEBT</t>
        </is>
      </c>
      <c r="B323" t="inlineStr">
        <is>
          <t>Bad dollars</t>
        </is>
      </c>
      <c r="C323" t="n">
        <v>835</v>
      </c>
      <c r="D323" t="inlineStr">
        <is>
          <t>FICO (marked missing)</t>
        </is>
      </c>
      <c r="E323" t="inlineStr">
        <is>
          <t>ASSET_CLASS 2</t>
        </is>
      </c>
      <c r="F323" t="inlineStr">
        <is>
          <t>high</t>
        </is>
      </c>
      <c r="G323" t="n">
        <v>18</v>
      </c>
      <c r="H323" t="n">
        <v>4.40845194303626</v>
      </c>
      <c r="I323" t="inlineStr">
        <is>
          <t>Yes</t>
        </is>
      </c>
      <c r="J323" t="n">
        <v>27</v>
      </c>
      <c r="K323">
        <f>'_pockets'!$AI$835</f>
        <v/>
      </c>
      <c r="L323">
        <f>'_pockets'!$AJ$835</f>
        <v/>
      </c>
      <c r="M323">
        <f>IF(AND($A323='Pockets'!$D$18,$B323='Pockets'!$C$18,OR('Pockets'!$E$18="All",AND('Pockets'!$E$18="Worse and material",$K323="Yes",$L323="Yes"),AND('Pockets'!$E$18="Worse or not sure",OR($K323="Yes",$K323="Not sure")))),1,0)</f>
        <v/>
      </c>
      <c r="N323">
        <f>$N322+$M323</f>
        <v/>
      </c>
      <c r="O323" t="inlineStr">
        <is>
          <t>three-way</t>
        </is>
      </c>
      <c r="P323" t="inlineStr">
        <is>
          <t>outcome_booked</t>
        </is>
      </c>
    </row>
    <row r="324">
      <c r="A324" t="inlineStr">
        <is>
          <t>Split by REV_DEBT</t>
        </is>
      </c>
      <c r="B324" t="inlineStr">
        <is>
          <t>Bad dollars</t>
        </is>
      </c>
      <c r="C324" t="n">
        <v>425</v>
      </c>
      <c r="D324" t="inlineStr">
        <is>
          <t>FICO 712 - 745</t>
        </is>
      </c>
      <c r="E324" t="inlineStr">
        <is>
          <t>Branch</t>
        </is>
      </c>
      <c r="F324" t="inlineStr">
        <is>
          <t>high</t>
        </is>
      </c>
      <c r="G324" t="n">
        <v>268</v>
      </c>
      <c r="H324" t="n">
        <v>1.726629217318258</v>
      </c>
      <c r="I324" t="inlineStr">
        <is>
          <t>Yes</t>
        </is>
      </c>
      <c r="J324" t="n">
        <v>28</v>
      </c>
      <c r="K324">
        <f>'_pockets'!$AI$425</f>
        <v/>
      </c>
      <c r="L324">
        <f>'_pockets'!$AJ$425</f>
        <v/>
      </c>
      <c r="M324">
        <f>IF(AND($A324='Pockets'!$D$18,$B324='Pockets'!$C$18,OR('Pockets'!$E$18="All",AND('Pockets'!$E$18="Worse and material",$K324="Yes",$L324="Yes"),AND('Pockets'!$E$18="Worse or not sure",OR($K324="Yes",$K324="Not sure")))),1,0)</f>
        <v/>
      </c>
      <c r="N324">
        <f>$N323+$M324</f>
        <v/>
      </c>
      <c r="O324" t="inlineStr">
        <is>
          <t>three-way</t>
        </is>
      </c>
      <c r="P324" t="inlineStr">
        <is>
          <t>outcome_booked</t>
        </is>
      </c>
    </row>
    <row r="325">
      <c r="A325" t="inlineStr">
        <is>
          <t>Split by REV_DEBT</t>
        </is>
      </c>
      <c r="B325" t="inlineStr">
        <is>
          <t>Bad dollars</t>
        </is>
      </c>
      <c r="C325" t="n">
        <v>495</v>
      </c>
      <c r="D325" t="inlineStr">
        <is>
          <t>FICO 496 - 653</t>
        </is>
      </c>
      <c r="E325" t="inlineStr">
        <is>
          <t>Branch</t>
        </is>
      </c>
      <c r="F325" t="inlineStr">
        <is>
          <t>high</t>
        </is>
      </c>
      <c r="G325" t="n">
        <v>251</v>
      </c>
      <c r="H325" t="n">
        <v>1.752884479335255</v>
      </c>
      <c r="I325" t="inlineStr">
        <is>
          <t>Yes</t>
        </is>
      </c>
      <c r="J325" t="n">
        <v>29</v>
      </c>
      <c r="K325">
        <f>'_pockets'!$AI$495</f>
        <v/>
      </c>
      <c r="L325">
        <f>'_pockets'!$AJ$495</f>
        <v/>
      </c>
      <c r="M325">
        <f>IF(AND($A325='Pockets'!$D$18,$B325='Pockets'!$C$18,OR('Pockets'!$E$18="All",AND('Pockets'!$E$18="Worse and material",$K325="Yes",$L325="Yes"),AND('Pockets'!$E$18="Worse or not sure",OR($K325="Yes",$K325="Not sure")))),1,0)</f>
        <v/>
      </c>
      <c r="N325">
        <f>$N324+$M325</f>
        <v/>
      </c>
      <c r="O325" t="inlineStr">
        <is>
          <t>three-way</t>
        </is>
      </c>
      <c r="P325" t="inlineStr">
        <is>
          <t>outcome_booked</t>
        </is>
      </c>
    </row>
    <row r="326">
      <c r="A326" t="inlineStr">
        <is>
          <t>Split by REV_DEBT</t>
        </is>
      </c>
      <c r="B326" t="inlineStr">
        <is>
          <t>Bad dollars</t>
        </is>
      </c>
      <c r="C326" t="n">
        <v>825</v>
      </c>
      <c r="D326" t="inlineStr">
        <is>
          <t>FICO (marked missing)</t>
        </is>
      </c>
      <c r="E326" t="inlineStr">
        <is>
          <t>ASSET_CLASS 2</t>
        </is>
      </c>
      <c r="F326" t="inlineStr">
        <is>
          <t>low</t>
        </is>
      </c>
      <c r="G326" t="n">
        <v>18</v>
      </c>
      <c r="H326" t="n">
        <v>4.40845194303626</v>
      </c>
      <c r="I326" t="inlineStr">
        <is>
          <t>Yes</t>
        </is>
      </c>
      <c r="J326" t="n">
        <v>30</v>
      </c>
      <c r="K326">
        <f>'_pockets'!$AI$825</f>
        <v/>
      </c>
      <c r="L326">
        <f>'_pockets'!$AJ$825</f>
        <v/>
      </c>
      <c r="M326">
        <f>IF(AND($A326='Pockets'!$D$18,$B326='Pockets'!$C$18,OR('Pockets'!$E$18="All",AND('Pockets'!$E$18="Worse and material",$K326="Yes",$L326="Yes"),AND('Pockets'!$E$18="Worse or not sure",OR($K326="Yes",$K326="Not sure")))),1,0)</f>
        <v/>
      </c>
      <c r="N326">
        <f>$N325+$M326</f>
        <v/>
      </c>
      <c r="O326" t="inlineStr">
        <is>
          <t>three-way</t>
        </is>
      </c>
      <c r="P326" t="inlineStr">
        <is>
          <t>outcome_booked</t>
        </is>
      </c>
    </row>
    <row r="327">
      <c r="A327" t="inlineStr">
        <is>
          <t>Split by REV_DEBT</t>
        </is>
      </c>
      <c r="B327" t="inlineStr">
        <is>
          <t>Bad dollars</t>
        </is>
      </c>
      <c r="C327" t="n">
        <v>765</v>
      </c>
      <c r="D327" t="inlineStr">
        <is>
          <t>FICO 712 - 745</t>
        </is>
      </c>
      <c r="E327" t="inlineStr">
        <is>
          <t>ASSET_CLASS 3</t>
        </is>
      </c>
      <c r="F327" t="inlineStr">
        <is>
          <t>high</t>
        </is>
      </c>
      <c r="G327" t="n">
        <v>196</v>
      </c>
      <c r="H327" t="n">
        <v>1.861411441103017</v>
      </c>
      <c r="I327" t="inlineStr">
        <is>
          <t>Yes</t>
        </is>
      </c>
      <c r="J327" t="n">
        <v>31</v>
      </c>
      <c r="K327">
        <f>'_pockets'!$AI$765</f>
        <v/>
      </c>
      <c r="L327">
        <f>'_pockets'!$AJ$765</f>
        <v/>
      </c>
      <c r="M327">
        <f>IF(AND($A327='Pockets'!$D$18,$B327='Pockets'!$C$18,OR('Pockets'!$E$18="All",AND('Pockets'!$E$18="Worse and material",$K327="Yes",$L327="Yes"),AND('Pockets'!$E$18="Worse or not sure",OR($K327="Yes",$K327="Not sure")))),1,0)</f>
        <v/>
      </c>
      <c r="N327">
        <f>$N326+$M327</f>
        <v/>
      </c>
      <c r="O327" t="inlineStr">
        <is>
          <t>three-way</t>
        </is>
      </c>
      <c r="P327" t="inlineStr">
        <is>
          <t>outcome_booked</t>
        </is>
      </c>
    </row>
    <row r="328">
      <c r="A328" t="inlineStr">
        <is>
          <t>Split by REV_DEBT</t>
        </is>
      </c>
      <c r="B328" t="inlineStr">
        <is>
          <t>Bad dollars</t>
        </is>
      </c>
      <c r="C328" t="n">
        <v>755</v>
      </c>
      <c r="D328" t="inlineStr">
        <is>
          <t>FICO 746 - 921</t>
        </is>
      </c>
      <c r="E328" t="inlineStr">
        <is>
          <t>ASSET_CLASS 4</t>
        </is>
      </c>
      <c r="F328" t="inlineStr">
        <is>
          <t>high</t>
        </is>
      </c>
      <c r="G328" t="n">
        <v>186</v>
      </c>
      <c r="H328" t="n">
        <v>1.886454664827914</v>
      </c>
      <c r="I328" t="inlineStr">
        <is>
          <t>Yes</t>
        </is>
      </c>
      <c r="J328" t="n">
        <v>32</v>
      </c>
      <c r="K328">
        <f>'_pockets'!$AI$755</f>
        <v/>
      </c>
      <c r="L328">
        <f>'_pockets'!$AJ$755</f>
        <v/>
      </c>
      <c r="M328">
        <f>IF(AND($A328='Pockets'!$D$18,$B328='Pockets'!$C$18,OR('Pockets'!$E$18="All",AND('Pockets'!$E$18="Worse and material",$K328="Yes",$L328="Yes"),AND('Pockets'!$E$18="Worse or not sure",OR($K328="Yes",$K328="Not sure")))),1,0)</f>
        <v/>
      </c>
      <c r="N328">
        <f>$N327+$M328</f>
        <v/>
      </c>
      <c r="O328" t="inlineStr">
        <is>
          <t>three-way</t>
        </is>
      </c>
      <c r="P328" t="inlineStr">
        <is>
          <t>outcome_booked</t>
        </is>
      </c>
    </row>
    <row r="329">
      <c r="A329" t="inlineStr">
        <is>
          <t>Split by REV_DEBT</t>
        </is>
      </c>
      <c r="B329" t="inlineStr">
        <is>
          <t>Bad dollars</t>
        </is>
      </c>
      <c r="C329" t="n">
        <v>645</v>
      </c>
      <c r="D329" t="inlineStr">
        <is>
          <t>FICO 746 - 921</t>
        </is>
      </c>
      <c r="E329" t="inlineStr">
        <is>
          <t>ASSET_CLASS 1</t>
        </is>
      </c>
      <c r="F329" t="inlineStr">
        <is>
          <t>low</t>
        </is>
      </c>
      <c r="G329" t="n">
        <v>207</v>
      </c>
      <c r="H329" t="n">
        <v>1.836098601592007</v>
      </c>
      <c r="I329" t="inlineStr">
        <is>
          <t>Yes</t>
        </is>
      </c>
      <c r="J329" t="n">
        <v>33</v>
      </c>
      <c r="K329">
        <f>'_pockets'!$AI$645</f>
        <v/>
      </c>
      <c r="L329">
        <f>'_pockets'!$AJ$645</f>
        <v/>
      </c>
      <c r="M329">
        <f>IF(AND($A329='Pockets'!$D$18,$B329='Pockets'!$C$18,OR('Pockets'!$E$18="All",AND('Pockets'!$E$18="Worse and material",$K329="Yes",$L329="Yes"),AND('Pockets'!$E$18="Worse or not sure",OR($K329="Yes",$K329="Not sure")))),1,0)</f>
        <v/>
      </c>
      <c r="N329">
        <f>$N328+$M329</f>
        <v/>
      </c>
      <c r="O329" t="inlineStr">
        <is>
          <t>three-way</t>
        </is>
      </c>
      <c r="P329" t="inlineStr">
        <is>
          <t>outcome_booked</t>
        </is>
      </c>
    </row>
    <row r="330">
      <c r="A330" t="inlineStr">
        <is>
          <t>Split by REV_DEBT</t>
        </is>
      </c>
      <c r="B330" t="inlineStr">
        <is>
          <t>Bad dollars</t>
        </is>
      </c>
      <c r="C330" t="n">
        <v>745</v>
      </c>
      <c r="D330" t="inlineStr">
        <is>
          <t>FICO (marked missing)</t>
        </is>
      </c>
      <c r="E330" t="inlineStr">
        <is>
          <t>ASSET_CLASS 3</t>
        </is>
      </c>
      <c r="F330" t="inlineStr">
        <is>
          <t>low</t>
        </is>
      </c>
      <c r="G330" t="n">
        <v>22</v>
      </c>
      <c r="H330" t="n">
        <v>4.016580485581801</v>
      </c>
      <c r="I330" t="inlineStr">
        <is>
          <t>Yes</t>
        </is>
      </c>
      <c r="J330" t="n">
        <v>34</v>
      </c>
      <c r="K330">
        <f>'_pockets'!$AI$745</f>
        <v/>
      </c>
      <c r="L330">
        <f>'_pockets'!$AJ$745</f>
        <v/>
      </c>
      <c r="M330">
        <f>IF(AND($A330='Pockets'!$D$18,$B330='Pockets'!$C$18,OR('Pockets'!$E$18="All",AND('Pockets'!$E$18="Worse and material",$K330="Yes",$L330="Yes"),AND('Pockets'!$E$18="Worse or not sure",OR($K330="Yes",$K330="Not sure")))),1,0)</f>
        <v/>
      </c>
      <c r="N330">
        <f>$N329+$M330</f>
        <v/>
      </c>
      <c r="O330" t="inlineStr">
        <is>
          <t>three-way</t>
        </is>
      </c>
      <c r="P330" t="inlineStr">
        <is>
          <t>outcome_booked</t>
        </is>
      </c>
    </row>
    <row r="331">
      <c r="A331" t="inlineStr">
        <is>
          <t>Split by REV_DEBT</t>
        </is>
      </c>
      <c r="B331" t="inlineStr">
        <is>
          <t>Bad dollars</t>
        </is>
      </c>
      <c r="C331" t="n">
        <v>435</v>
      </c>
      <c r="D331" t="inlineStr">
        <is>
          <t>FICO 746 - 921</t>
        </is>
      </c>
      <c r="E331" t="inlineStr">
        <is>
          <t>Branch</t>
        </is>
      </c>
      <c r="F331" t="inlineStr">
        <is>
          <t>low</t>
        </is>
      </c>
      <c r="G331" t="n">
        <v>259</v>
      </c>
      <c r="H331" t="n">
        <v>1.74019129750391</v>
      </c>
      <c r="I331" t="inlineStr">
        <is>
          <t>Yes</t>
        </is>
      </c>
      <c r="J331" t="n">
        <v>35</v>
      </c>
      <c r="K331">
        <f>'_pockets'!$AI$435</f>
        <v/>
      </c>
      <c r="L331">
        <f>'_pockets'!$AJ$435</f>
        <v/>
      </c>
      <c r="M331">
        <f>IF(AND($A331='Pockets'!$D$18,$B331='Pockets'!$C$18,OR('Pockets'!$E$18="All",AND('Pockets'!$E$18="Worse and material",$K331="Yes",$L331="Yes"),AND('Pockets'!$E$18="Worse or not sure",OR($K331="Yes",$K331="Not sure")))),1,0)</f>
        <v/>
      </c>
      <c r="N331">
        <f>$N330+$M331</f>
        <v/>
      </c>
      <c r="O331" t="inlineStr">
        <is>
          <t>three-way</t>
        </is>
      </c>
      <c r="P331" t="inlineStr">
        <is>
          <t>outcome_booked</t>
        </is>
      </c>
    </row>
    <row r="332">
      <c r="A332" t="inlineStr">
        <is>
          <t>Split by REV_DEBT</t>
        </is>
      </c>
      <c r="B332" t="inlineStr">
        <is>
          <t>Bad dollars</t>
        </is>
      </c>
      <c r="C332" t="n">
        <v>815</v>
      </c>
      <c r="D332" t="inlineStr">
        <is>
          <t>FICO (marked missing)</t>
        </is>
      </c>
      <c r="E332" t="inlineStr">
        <is>
          <t>ASSET_CLASS 4</t>
        </is>
      </c>
      <c r="F332" t="inlineStr">
        <is>
          <t>high</t>
        </is>
      </c>
      <c r="G332" t="n">
        <v>19</v>
      </c>
      <c r="H332" t="n">
        <v>4.29765083647134</v>
      </c>
      <c r="I332" t="inlineStr">
        <is>
          <t>Yes</t>
        </is>
      </c>
      <c r="J332" t="n">
        <v>36</v>
      </c>
      <c r="K332">
        <f>'_pockets'!$AI$815</f>
        <v/>
      </c>
      <c r="L332">
        <f>'_pockets'!$AJ$815</f>
        <v/>
      </c>
      <c r="M332">
        <f>IF(AND($A332='Pockets'!$D$18,$B332='Pockets'!$C$18,OR('Pockets'!$E$18="All",AND('Pockets'!$E$18="Worse and material",$K332="Yes",$L332="Yes"),AND('Pockets'!$E$18="Worse or not sure",OR($K332="Yes",$K332="Not sure")))),1,0)</f>
        <v/>
      </c>
      <c r="N332">
        <f>$N331+$M332</f>
        <v/>
      </c>
      <c r="O332" t="inlineStr">
        <is>
          <t>three-way</t>
        </is>
      </c>
      <c r="P332" t="inlineStr">
        <is>
          <t>outcome_booked</t>
        </is>
      </c>
    </row>
    <row r="333">
      <c r="A333" t="inlineStr">
        <is>
          <t>Split by REV_DEBT</t>
        </is>
      </c>
      <c r="B333" t="inlineStr">
        <is>
          <t>Bad dollars</t>
        </is>
      </c>
      <c r="C333" t="n">
        <v>555</v>
      </c>
      <c r="D333" t="inlineStr">
        <is>
          <t>FICO 496 - 653</t>
        </is>
      </c>
      <c r="E333" t="inlineStr">
        <is>
          <t>Online</t>
        </is>
      </c>
      <c r="F333" t="inlineStr">
        <is>
          <t>high</t>
        </is>
      </c>
      <c r="G333" t="n">
        <v>265</v>
      </c>
      <c r="H333" t="n">
        <v>1.731069331063485</v>
      </c>
      <c r="I333" t="inlineStr">
        <is>
          <t>Yes</t>
        </is>
      </c>
      <c r="J333" t="n">
        <v>37</v>
      </c>
      <c r="K333">
        <f>'_pockets'!$AI$555</f>
        <v/>
      </c>
      <c r="L333">
        <f>'_pockets'!$AJ$555</f>
        <v/>
      </c>
      <c r="M333">
        <f>IF(AND($A333='Pockets'!$D$18,$B333='Pockets'!$C$18,OR('Pockets'!$E$18="All",AND('Pockets'!$E$18="Worse and material",$K333="Yes",$L333="Yes"),AND('Pockets'!$E$18="Worse or not sure",OR($K333="Yes",$K333="Not sure")))),1,0)</f>
        <v/>
      </c>
      <c r="N333">
        <f>$N332+$M333</f>
        <v/>
      </c>
      <c r="O333" t="inlineStr">
        <is>
          <t>three-way</t>
        </is>
      </c>
      <c r="P333" t="inlineStr">
        <is>
          <t>outcome_booked</t>
        </is>
      </c>
    </row>
    <row r="334">
      <c r="A334" t="inlineStr">
        <is>
          <t>Split by REV_DEBT</t>
        </is>
      </c>
      <c r="B334" t="inlineStr">
        <is>
          <t>Bad dollars</t>
        </is>
      </c>
      <c r="C334" t="n">
        <v>650</v>
      </c>
      <c r="D334" t="inlineStr">
        <is>
          <t>FICO 496 - 653</t>
        </is>
      </c>
      <c r="E334" t="inlineStr">
        <is>
          <t>ASSET_CLASS 4</t>
        </is>
      </c>
      <c r="F334" t="inlineStr">
        <is>
          <t>low</t>
        </is>
      </c>
      <c r="G334" t="n">
        <v>196</v>
      </c>
      <c r="H334" t="n">
        <v>1.861411441103017</v>
      </c>
      <c r="I334" t="inlineStr">
        <is>
          <t>Yes</t>
        </is>
      </c>
      <c r="J334" t="n">
        <v>38</v>
      </c>
      <c r="K334">
        <f>'_pockets'!$AI$650</f>
        <v/>
      </c>
      <c r="L334">
        <f>'_pockets'!$AJ$650</f>
        <v/>
      </c>
      <c r="M334">
        <f>IF(AND($A334='Pockets'!$D$18,$B334='Pockets'!$C$18,OR('Pockets'!$E$18="All",AND('Pockets'!$E$18="Worse and material",$K334="Yes",$L334="Yes"),AND('Pockets'!$E$18="Worse or not sure",OR($K334="Yes",$K334="Not sure")))),1,0)</f>
        <v/>
      </c>
      <c r="N334">
        <f>$N333+$M334</f>
        <v/>
      </c>
      <c r="O334" t="inlineStr">
        <is>
          <t>three-way</t>
        </is>
      </c>
      <c r="P334" t="inlineStr">
        <is>
          <t>outcome_booked</t>
        </is>
      </c>
    </row>
    <row r="335">
      <c r="A335" t="inlineStr">
        <is>
          <t>Split by REV_DEBT</t>
        </is>
      </c>
      <c r="B335" t="inlineStr">
        <is>
          <t>Bad dollars</t>
        </is>
      </c>
      <c r="C335" t="n">
        <v>780</v>
      </c>
      <c r="D335" t="inlineStr">
        <is>
          <t>FICO 496 - 653</t>
        </is>
      </c>
      <c r="E335" t="inlineStr">
        <is>
          <t>ASSET_CLASS 2</t>
        </is>
      </c>
      <c r="F335" t="inlineStr">
        <is>
          <t>high</t>
        </is>
      </c>
      <c r="G335" t="n">
        <v>197</v>
      </c>
      <c r="H335" t="n">
        <v>1.859018217468696</v>
      </c>
      <c r="I335" t="inlineStr">
        <is>
          <t>Yes</t>
        </is>
      </c>
      <c r="J335" t="n">
        <v>39</v>
      </c>
      <c r="K335">
        <f>'_pockets'!$AI$780</f>
        <v/>
      </c>
      <c r="L335">
        <f>'_pockets'!$AJ$780</f>
        <v/>
      </c>
      <c r="M335">
        <f>IF(AND($A335='Pockets'!$D$18,$B335='Pockets'!$C$18,OR('Pockets'!$E$18="All",AND('Pockets'!$E$18="Worse and material",$K335="Yes",$L335="Yes"),AND('Pockets'!$E$18="Worse or not sure",OR($K335="Yes",$K335="Not sure")))),1,0)</f>
        <v/>
      </c>
      <c r="N335">
        <f>$N334+$M335</f>
        <v/>
      </c>
      <c r="O335" t="inlineStr">
        <is>
          <t>three-way</t>
        </is>
      </c>
      <c r="P335" t="inlineStr">
        <is>
          <t>outcome_booked</t>
        </is>
      </c>
    </row>
    <row r="336">
      <c r="A336" t="inlineStr">
        <is>
          <t>Split by REV_DEBT</t>
        </is>
      </c>
      <c r="B336" t="inlineStr">
        <is>
          <t>Bad dollars</t>
        </is>
      </c>
      <c r="C336" t="n">
        <v>710</v>
      </c>
      <c r="D336" t="inlineStr">
        <is>
          <t>FICO 496 - 653</t>
        </is>
      </c>
      <c r="E336" t="inlineStr">
        <is>
          <t>ASSET_CLASS 3</t>
        </is>
      </c>
      <c r="F336" t="inlineStr">
        <is>
          <t>low</t>
        </is>
      </c>
      <c r="G336" t="n">
        <v>175</v>
      </c>
      <c r="H336" t="n">
        <v>1.916587118224312</v>
      </c>
      <c r="I336" t="inlineStr">
        <is>
          <t>Yes</t>
        </is>
      </c>
      <c r="J336" t="n">
        <v>40</v>
      </c>
      <c r="K336">
        <f>'_pockets'!$AI$710</f>
        <v/>
      </c>
      <c r="L336">
        <f>'_pockets'!$AJ$710</f>
        <v/>
      </c>
      <c r="M336">
        <f>IF(AND($A336='Pockets'!$D$18,$B336='Pockets'!$C$18,OR('Pockets'!$E$18="All",AND('Pockets'!$E$18="Worse and material",$K336="Yes",$L336="Yes"),AND('Pockets'!$E$18="Worse or not sure",OR($K336="Yes",$K336="Not sure")))),1,0)</f>
        <v/>
      </c>
      <c r="N336">
        <f>$N335+$M336</f>
        <v/>
      </c>
      <c r="O336" t="inlineStr">
        <is>
          <t>three-way</t>
        </is>
      </c>
      <c r="P336" t="inlineStr">
        <is>
          <t>outcome_booked</t>
        </is>
      </c>
    </row>
    <row r="337">
      <c r="A337" t="inlineStr">
        <is>
          <t>Split by REV_DEBT</t>
        </is>
      </c>
      <c r="B337" t="inlineStr">
        <is>
          <t>Bad dollars</t>
        </is>
      </c>
      <c r="C337" t="n">
        <v>630</v>
      </c>
      <c r="D337" t="inlineStr">
        <is>
          <t>FICO 496 - 653</t>
        </is>
      </c>
      <c r="E337" t="inlineStr">
        <is>
          <t>ASSET_CLASS 1</t>
        </is>
      </c>
      <c r="F337" t="inlineStr">
        <is>
          <t>low</t>
        </is>
      </c>
      <c r="G337" t="n">
        <v>210</v>
      </c>
      <c r="H337" t="n">
        <v>1.829560898677709</v>
      </c>
      <c r="I337" t="inlineStr">
        <is>
          <t>Yes</t>
        </is>
      </c>
      <c r="J337" t="n">
        <v>41</v>
      </c>
      <c r="K337">
        <f>'_pockets'!$AI$630</f>
        <v/>
      </c>
      <c r="L337">
        <f>'_pockets'!$AJ$630</f>
        <v/>
      </c>
      <c r="M337">
        <f>IF(AND($A337='Pockets'!$D$18,$B337='Pockets'!$C$18,OR('Pockets'!$E$18="All",AND('Pockets'!$E$18="Worse and material",$K337="Yes",$L337="Yes"),AND('Pockets'!$E$18="Worse or not sure",OR($K337="Yes",$K337="Not sure")))),1,0)</f>
        <v/>
      </c>
      <c r="N337">
        <f>$N336+$M337</f>
        <v/>
      </c>
      <c r="O337" t="inlineStr">
        <is>
          <t>three-way</t>
        </is>
      </c>
      <c r="P337" t="inlineStr">
        <is>
          <t>outcome_booked</t>
        </is>
      </c>
    </row>
    <row r="338">
      <c r="A338" t="inlineStr">
        <is>
          <t>Split by REV_DEBT</t>
        </is>
      </c>
      <c r="B338" t="inlineStr">
        <is>
          <t>Bad dollars</t>
        </is>
      </c>
      <c r="C338" t="n">
        <v>615</v>
      </c>
      <c r="D338" t="inlineStr">
        <is>
          <t>FICO 496 - 653</t>
        </is>
      </c>
      <c r="E338" t="inlineStr">
        <is>
          <t>ASSET_CLASS 2</t>
        </is>
      </c>
      <c r="F338" t="inlineStr">
        <is>
          <t>low</t>
        </is>
      </c>
      <c r="G338" t="n">
        <v>196</v>
      </c>
      <c r="H338" t="n">
        <v>1.861411441103017</v>
      </c>
      <c r="I338" t="inlineStr">
        <is>
          <t>Yes</t>
        </is>
      </c>
      <c r="J338" t="n">
        <v>42</v>
      </c>
      <c r="K338">
        <f>'_pockets'!$AI$615</f>
        <v/>
      </c>
      <c r="L338">
        <f>'_pockets'!$AJ$615</f>
        <v/>
      </c>
      <c r="M338">
        <f>IF(AND($A338='Pockets'!$D$18,$B338='Pockets'!$C$18,OR('Pockets'!$E$18="All",AND('Pockets'!$E$18="Worse and material",$K338="Yes",$L338="Yes"),AND('Pockets'!$E$18="Worse or not sure",OR($K338="Yes",$K338="Not sure")))),1,0)</f>
        <v/>
      </c>
      <c r="N338">
        <f>$N337+$M338</f>
        <v/>
      </c>
      <c r="O338" t="inlineStr">
        <is>
          <t>three-way</t>
        </is>
      </c>
      <c r="P338" t="inlineStr">
        <is>
          <t>outcome_booked</t>
        </is>
      </c>
    </row>
    <row r="339">
      <c r="A339" t="inlineStr">
        <is>
          <t>Split by REV_DEBT</t>
        </is>
      </c>
      <c r="B339" t="inlineStr">
        <is>
          <t>Bad dollars</t>
        </is>
      </c>
      <c r="C339" t="n">
        <v>990</v>
      </c>
      <c r="D339" t="inlineStr">
        <is>
          <t>ORIG_BAL 49,152 - 59,984</t>
        </is>
      </c>
      <c r="E339" t="inlineStr">
        <is>
          <t>Broker</t>
        </is>
      </c>
      <c r="F339" t="inlineStr">
        <is>
          <t>high</t>
        </is>
      </c>
      <c r="G339" t="n">
        <v>260</v>
      </c>
      <c r="H339" t="n">
        <v>1.738647992707129</v>
      </c>
      <c r="I339" t="inlineStr">
        <is>
          <t>No: may be mostly FICO</t>
        </is>
      </c>
      <c r="J339" t="n">
        <v>43</v>
      </c>
      <c r="K339">
        <f>'_pockets'!$AI$990</f>
        <v/>
      </c>
      <c r="L339">
        <f>'_pockets'!$AJ$990</f>
        <v/>
      </c>
      <c r="M339">
        <f>IF(AND($A339='Pockets'!$D$18,$B339='Pockets'!$C$18,OR('Pockets'!$E$18="All",AND('Pockets'!$E$18="Worse and material",$K339="Yes",$L339="Yes"),AND('Pockets'!$E$18="Worse or not sure",OR($K339="Yes",$K339="Not sure")))),1,0)</f>
        <v/>
      </c>
      <c r="N339">
        <f>$N338+$M339</f>
        <v/>
      </c>
      <c r="O339" t="inlineStr">
        <is>
          <t>three-way</t>
        </is>
      </c>
      <c r="P339" t="inlineStr">
        <is>
          <t>outcome_booked</t>
        </is>
      </c>
    </row>
    <row r="340">
      <c r="A340" t="inlineStr">
        <is>
          <t>Split by REV_DEBT</t>
        </is>
      </c>
      <c r="B340" t="inlineStr">
        <is>
          <t>Bad dollars</t>
        </is>
      </c>
      <c r="C340" t="n">
        <v>1075</v>
      </c>
      <c r="D340" t="inlineStr">
        <is>
          <t>ORIG_BAL 37,951 - 49,151</t>
        </is>
      </c>
      <c r="E340" t="inlineStr">
        <is>
          <t>ASSET_CLASS 4</t>
        </is>
      </c>
      <c r="F340" t="inlineStr">
        <is>
          <t>high</t>
        </is>
      </c>
      <c r="G340" t="n">
        <v>207</v>
      </c>
      <c r="H340" t="n">
        <v>1.836098601592007</v>
      </c>
      <c r="I340" t="inlineStr">
        <is>
          <t>No: may be mostly FICO</t>
        </is>
      </c>
      <c r="J340" t="n">
        <v>44</v>
      </c>
      <c r="K340">
        <f>'_pockets'!$AI$1075</f>
        <v/>
      </c>
      <c r="L340">
        <f>'_pockets'!$AJ$1075</f>
        <v/>
      </c>
      <c r="M340">
        <f>IF(AND($A340='Pockets'!$D$18,$B340='Pockets'!$C$18,OR('Pockets'!$E$18="All",AND('Pockets'!$E$18="Worse and material",$K340="Yes",$L340="Yes"),AND('Pockets'!$E$18="Worse or not sure",OR($K340="Yes",$K340="Not sure")))),1,0)</f>
        <v/>
      </c>
      <c r="N340">
        <f>$N339+$M340</f>
        <v/>
      </c>
      <c r="O340" t="inlineStr">
        <is>
          <t>three-way</t>
        </is>
      </c>
      <c r="P340" t="inlineStr">
        <is>
          <t>outcome_booked</t>
        </is>
      </c>
    </row>
    <row r="341">
      <c r="A341" t="inlineStr">
        <is>
          <t>Split by REV_DEBT</t>
        </is>
      </c>
      <c r="B341" t="inlineStr">
        <is>
          <t>Bad dollars</t>
        </is>
      </c>
      <c r="C341" t="n">
        <v>1165</v>
      </c>
      <c r="D341" t="inlineStr">
        <is>
          <t>ORIG_BAL 49,152 - 59,984</t>
        </is>
      </c>
      <c r="E341" t="inlineStr">
        <is>
          <t>ASSET_CLASS 4</t>
        </is>
      </c>
      <c r="F341" t="inlineStr">
        <is>
          <t>high</t>
        </is>
      </c>
      <c r="G341" t="n">
        <v>192</v>
      </c>
      <c r="H341" t="n">
        <v>1.871180863369752</v>
      </c>
      <c r="I341" t="inlineStr">
        <is>
          <t>No: may be mostly FICO</t>
        </is>
      </c>
      <c r="J341" t="n">
        <v>45</v>
      </c>
      <c r="K341">
        <f>'_pockets'!$AI$1165</f>
        <v/>
      </c>
      <c r="L341">
        <f>'_pockets'!$AJ$1165</f>
        <v/>
      </c>
      <c r="M341">
        <f>IF(AND($A341='Pockets'!$D$18,$B341='Pockets'!$C$18,OR('Pockets'!$E$18="All",AND('Pockets'!$E$18="Worse and material",$K341="Yes",$L341="Yes"),AND('Pockets'!$E$18="Worse or not sure",OR($K341="Yes",$K341="Not sure")))),1,0)</f>
        <v/>
      </c>
      <c r="N341">
        <f>$N340+$M341</f>
        <v/>
      </c>
      <c r="O341" t="inlineStr">
        <is>
          <t>three-way</t>
        </is>
      </c>
      <c r="P341" t="inlineStr">
        <is>
          <t>outcome_booked</t>
        </is>
      </c>
    </row>
    <row r="342">
      <c r="A342" t="inlineStr">
        <is>
          <t>Split by REV_DEBT</t>
        </is>
      </c>
      <c r="B342" t="inlineStr">
        <is>
          <t>Bad dollars</t>
        </is>
      </c>
      <c r="C342" t="n">
        <v>1190</v>
      </c>
      <c r="D342" t="inlineStr">
        <is>
          <t>ORIG_BAL 26,324 - 37,950</t>
        </is>
      </c>
      <c r="E342" t="inlineStr">
        <is>
          <t>ASSET_CLASS 4</t>
        </is>
      </c>
      <c r="F342" t="inlineStr">
        <is>
          <t>high</t>
        </is>
      </c>
      <c r="G342" t="n">
        <v>206</v>
      </c>
      <c r="H342" t="n">
        <v>1.838311207580444</v>
      </c>
      <c r="I342" t="inlineStr">
        <is>
          <t>No: may be mostly FICO</t>
        </is>
      </c>
      <c r="J342" t="n">
        <v>46</v>
      </c>
      <c r="K342">
        <f>'_pockets'!$AI$1190</f>
        <v/>
      </c>
      <c r="L342">
        <f>'_pockets'!$AJ$1190</f>
        <v/>
      </c>
      <c r="M342">
        <f>IF(AND($A342='Pockets'!$D$18,$B342='Pockets'!$C$18,OR('Pockets'!$E$18="All",AND('Pockets'!$E$18="Worse and material",$K342="Yes",$L342="Yes"),AND('Pockets'!$E$18="Worse or not sure",OR($K342="Yes",$K342="Not sure")))),1,0)</f>
        <v/>
      </c>
      <c r="N342">
        <f>$N341+$M342</f>
        <v/>
      </c>
      <c r="O342" t="inlineStr">
        <is>
          <t>three-way</t>
        </is>
      </c>
      <c r="P342" t="inlineStr">
        <is>
          <t>outcome_booked</t>
        </is>
      </c>
    </row>
    <row r="343">
      <c r="A343" t="inlineStr">
        <is>
          <t>Split by REV_DEBT</t>
        </is>
      </c>
      <c r="B343" t="inlineStr">
        <is>
          <t>Bad dollars</t>
        </is>
      </c>
      <c r="C343" t="n">
        <v>930</v>
      </c>
      <c r="D343" t="inlineStr">
        <is>
          <t>ORIG_BAL 37,951 - 49,151</t>
        </is>
      </c>
      <c r="E343" t="inlineStr">
        <is>
          <t>Broker</t>
        </is>
      </c>
      <c r="F343" t="inlineStr">
        <is>
          <t>high</t>
        </is>
      </c>
      <c r="G343" t="n">
        <v>265</v>
      </c>
      <c r="H343" t="n">
        <v>1.731069331063485</v>
      </c>
      <c r="I343" t="inlineStr">
        <is>
          <t>No: may be mostly FICO</t>
        </is>
      </c>
      <c r="J343" t="n">
        <v>47</v>
      </c>
      <c r="K343">
        <f>'_pockets'!$AI$930</f>
        <v/>
      </c>
      <c r="L343">
        <f>'_pockets'!$AJ$930</f>
        <v/>
      </c>
      <c r="M343">
        <f>IF(AND($A343='Pockets'!$D$18,$B343='Pockets'!$C$18,OR('Pockets'!$E$18="All",AND('Pockets'!$E$18="Worse and material",$K343="Yes",$L343="Yes"),AND('Pockets'!$E$18="Worse or not sure",OR($K343="Yes",$K343="Not sure")))),1,0)</f>
        <v/>
      </c>
      <c r="N343">
        <f>$N342+$M343</f>
        <v/>
      </c>
      <c r="O343" t="inlineStr">
        <is>
          <t>three-way</t>
        </is>
      </c>
      <c r="P343" t="inlineStr">
        <is>
          <t>outcome_booked</t>
        </is>
      </c>
    </row>
    <row r="344">
      <c r="A344" t="inlineStr">
        <is>
          <t>Split by REV_DEBT</t>
        </is>
      </c>
      <c r="B344" t="inlineStr">
        <is>
          <t>Bad dollars</t>
        </is>
      </c>
      <c r="C344" t="n">
        <v>845</v>
      </c>
      <c r="D344" t="inlineStr">
        <is>
          <t>ORIG_BAL 26,324 - 37,950</t>
        </is>
      </c>
      <c r="E344" t="inlineStr">
        <is>
          <t>Broker</t>
        </is>
      </c>
      <c r="F344" t="inlineStr">
        <is>
          <t>high</t>
        </is>
      </c>
      <c r="G344" t="n">
        <v>276</v>
      </c>
      <c r="H344" t="n">
        <v>1.7151618140116</v>
      </c>
      <c r="I344" t="inlineStr">
        <is>
          <t>No: may be mostly FICO</t>
        </is>
      </c>
      <c r="J344" t="n">
        <v>48</v>
      </c>
      <c r="K344">
        <f>'_pockets'!$AI$845</f>
        <v/>
      </c>
      <c r="L344">
        <f>'_pockets'!$AJ$845</f>
        <v/>
      </c>
      <c r="M344">
        <f>IF(AND($A344='Pockets'!$D$18,$B344='Pockets'!$C$18,OR('Pockets'!$E$18="All",AND('Pockets'!$E$18="Worse and material",$K344="Yes",$L344="Yes"),AND('Pockets'!$E$18="Worse or not sure",OR($K344="Yes",$K344="Not sure")))),1,0)</f>
        <v/>
      </c>
      <c r="N344">
        <f>$N343+$M344</f>
        <v/>
      </c>
      <c r="O344" t="inlineStr">
        <is>
          <t>three-way</t>
        </is>
      </c>
      <c r="P344" t="inlineStr">
        <is>
          <t>outcome_booked</t>
        </is>
      </c>
    </row>
    <row r="345">
      <c r="A345" t="inlineStr">
        <is>
          <t>Split by REV_DEBT</t>
        </is>
      </c>
      <c r="B345" t="inlineStr">
        <is>
          <t>Bad dollars</t>
        </is>
      </c>
      <c r="C345" t="n">
        <v>1090</v>
      </c>
      <c r="D345" t="inlineStr">
        <is>
          <t>ORIG_BAL 37,951 - 49,151</t>
        </is>
      </c>
      <c r="E345" t="inlineStr">
        <is>
          <t>ASSET_CLASS 3</t>
        </is>
      </c>
      <c r="F345" t="inlineStr">
        <is>
          <t>high</t>
        </is>
      </c>
      <c r="G345" t="n">
        <v>191</v>
      </c>
      <c r="H345" t="n">
        <v>1.873673686041768</v>
      </c>
      <c r="I345" t="inlineStr">
        <is>
          <t>No: may be mostly FICO</t>
        </is>
      </c>
      <c r="J345" t="n">
        <v>49</v>
      </c>
      <c r="K345">
        <f>'_pockets'!$AI$1090</f>
        <v/>
      </c>
      <c r="L345">
        <f>'_pockets'!$AJ$1090</f>
        <v/>
      </c>
      <c r="M345">
        <f>IF(AND($A345='Pockets'!$D$18,$B345='Pockets'!$C$18,OR('Pockets'!$E$18="All",AND('Pockets'!$E$18="Worse and material",$K345="Yes",$L345="Yes"),AND('Pockets'!$E$18="Worse or not sure",OR($K345="Yes",$K345="Not sure")))),1,0)</f>
        <v/>
      </c>
      <c r="N345">
        <f>$N344+$M345</f>
        <v/>
      </c>
      <c r="O345" t="inlineStr">
        <is>
          <t>three-way</t>
        </is>
      </c>
      <c r="P345" t="inlineStr">
        <is>
          <t>outcome_booked</t>
        </is>
      </c>
    </row>
    <row r="346">
      <c r="A346" t="inlineStr">
        <is>
          <t>Split by REV_DEBT</t>
        </is>
      </c>
      <c r="B346" t="inlineStr">
        <is>
          <t>Bad dollars</t>
        </is>
      </c>
      <c r="C346" t="n">
        <v>950</v>
      </c>
      <c r="D346" t="inlineStr">
        <is>
          <t>ORIG_BAL 37,951 - 49,151</t>
        </is>
      </c>
      <c r="E346" t="inlineStr">
        <is>
          <t>Branch</t>
        </is>
      </c>
      <c r="F346" t="inlineStr">
        <is>
          <t>high</t>
        </is>
      </c>
      <c r="G346" t="n">
        <v>263</v>
      </c>
      <c r="H346" t="n">
        <v>1.734073585646454</v>
      </c>
      <c r="I346" t="inlineStr">
        <is>
          <t>No: may be mostly FICO</t>
        </is>
      </c>
      <c r="J346" t="n">
        <v>50</v>
      </c>
      <c r="K346">
        <f>'_pockets'!$AI$950</f>
        <v/>
      </c>
      <c r="L346">
        <f>'_pockets'!$AJ$950</f>
        <v/>
      </c>
      <c r="M346">
        <f>IF(AND($A346='Pockets'!$D$18,$B346='Pockets'!$C$18,OR('Pockets'!$E$18="All",AND('Pockets'!$E$18="Worse and material",$K346="Yes",$L346="Yes"),AND('Pockets'!$E$18="Worse or not sure",OR($K346="Yes",$K346="Not sure")))),1,0)</f>
        <v/>
      </c>
      <c r="N346">
        <f>$N345+$M346</f>
        <v/>
      </c>
      <c r="O346" t="inlineStr">
        <is>
          <t>three-way</t>
        </is>
      </c>
      <c r="P346" t="inlineStr">
        <is>
          <t>outcome_booked</t>
        </is>
      </c>
    </row>
    <row r="347">
      <c r="A347" t="inlineStr">
        <is>
          <t>Split by REV_DEBT</t>
        </is>
      </c>
      <c r="B347" t="inlineStr">
        <is>
          <t>Bad dollars</t>
        </is>
      </c>
      <c r="C347" t="n">
        <v>870</v>
      </c>
      <c r="D347" t="inlineStr">
        <is>
          <t>ORIG_BAL 15,449 - 26,323</t>
        </is>
      </c>
      <c r="E347" t="inlineStr">
        <is>
          <t>Broker</t>
        </is>
      </c>
      <c r="F347" t="inlineStr">
        <is>
          <t>high</t>
        </is>
      </c>
      <c r="G347" t="n">
        <v>268</v>
      </c>
      <c r="H347" t="n">
        <v>1.726629217318258</v>
      </c>
      <c r="I347" t="inlineStr">
        <is>
          <t>No: may be mostly FICO</t>
        </is>
      </c>
      <c r="J347" t="n">
        <v>51</v>
      </c>
      <c r="K347">
        <f>'_pockets'!$AI$870</f>
        <v/>
      </c>
      <c r="L347">
        <f>'_pockets'!$AJ$870</f>
        <v/>
      </c>
      <c r="M347">
        <f>IF(AND($A347='Pockets'!$D$18,$B347='Pockets'!$C$18,OR('Pockets'!$E$18="All",AND('Pockets'!$E$18="Worse and material",$K347="Yes",$L347="Yes"),AND('Pockets'!$E$18="Worse or not sure",OR($K347="Yes",$K347="Not sure")))),1,0)</f>
        <v/>
      </c>
      <c r="N347">
        <f>$N346+$M347</f>
        <v/>
      </c>
      <c r="O347" t="inlineStr">
        <is>
          <t>three-way</t>
        </is>
      </c>
      <c r="P347" t="inlineStr">
        <is>
          <t>outcome_booked</t>
        </is>
      </c>
    </row>
    <row r="348">
      <c r="A348" t="inlineStr">
        <is>
          <t>Split by REV_DEBT</t>
        </is>
      </c>
      <c r="B348" t="inlineStr">
        <is>
          <t>Bad dollars</t>
        </is>
      </c>
      <c r="C348" t="n">
        <v>975</v>
      </c>
      <c r="D348" t="inlineStr">
        <is>
          <t>ORIG_BAL 26,324 - 37,950</t>
        </is>
      </c>
      <c r="E348" t="inlineStr">
        <is>
          <t>Online</t>
        </is>
      </c>
      <c r="F348" t="inlineStr">
        <is>
          <t>high</t>
        </is>
      </c>
      <c r="G348" t="n">
        <v>264</v>
      </c>
      <c r="H348" t="n">
        <v>1.732566982710399</v>
      </c>
      <c r="I348" t="inlineStr">
        <is>
          <t>No: may be mostly FICO</t>
        </is>
      </c>
      <c r="J348" t="n">
        <v>52</v>
      </c>
      <c r="K348">
        <f>'_pockets'!$AI$975</f>
        <v/>
      </c>
      <c r="L348">
        <f>'_pockets'!$AJ$975</f>
        <v/>
      </c>
      <c r="M348">
        <f>IF(AND($A348='Pockets'!$D$18,$B348='Pockets'!$C$18,OR('Pockets'!$E$18="All",AND('Pockets'!$E$18="Worse and material",$K348="Yes",$L348="Yes"),AND('Pockets'!$E$18="Worse or not sure",OR($K348="Yes",$K348="Not sure")))),1,0)</f>
        <v/>
      </c>
      <c r="N348">
        <f>$N347+$M348</f>
        <v/>
      </c>
      <c r="O348" t="inlineStr">
        <is>
          <t>three-way</t>
        </is>
      </c>
      <c r="P348" t="inlineStr">
        <is>
          <t>outcome_booked</t>
        </is>
      </c>
    </row>
    <row r="349">
      <c r="A349" t="inlineStr">
        <is>
          <t>Split by REV_DEBT</t>
        </is>
      </c>
      <c r="B349" t="inlineStr">
        <is>
          <t>Bad dollars</t>
        </is>
      </c>
      <c r="C349" t="n">
        <v>1050</v>
      </c>
      <c r="D349" t="inlineStr">
        <is>
          <t>ORIG_BAL 15,449 - 26,323</t>
        </is>
      </c>
      <c r="E349" t="inlineStr">
        <is>
          <t>ASSET_CLASS 4</t>
        </is>
      </c>
      <c r="F349" t="inlineStr">
        <is>
          <t>high</t>
        </is>
      </c>
      <c r="G349" t="n">
        <v>206</v>
      </c>
      <c r="H349" t="n">
        <v>1.838311207580444</v>
      </c>
      <c r="I349" t="inlineStr">
        <is>
          <t>No: may be mostly FICO</t>
        </is>
      </c>
      <c r="J349" t="n">
        <v>53</v>
      </c>
      <c r="K349">
        <f>'_pockets'!$AI$1050</f>
        <v/>
      </c>
      <c r="L349">
        <f>'_pockets'!$AJ$1050</f>
        <v/>
      </c>
      <c r="M349">
        <f>IF(AND($A349='Pockets'!$D$18,$B349='Pockets'!$C$18,OR('Pockets'!$E$18="All",AND('Pockets'!$E$18="Worse and material",$K349="Yes",$L349="Yes"),AND('Pockets'!$E$18="Worse or not sure",OR($K349="Yes",$K349="Not sure")))),1,0)</f>
        <v/>
      </c>
      <c r="N349">
        <f>$N348+$M349</f>
        <v/>
      </c>
      <c r="O349" t="inlineStr">
        <is>
          <t>three-way</t>
        </is>
      </c>
      <c r="P349" t="inlineStr">
        <is>
          <t>outcome_booked</t>
        </is>
      </c>
    </row>
    <row r="350">
      <c r="A350" t="inlineStr">
        <is>
          <t>Split by REV_DEBT</t>
        </is>
      </c>
      <c r="B350" t="inlineStr">
        <is>
          <t>Bad dollars</t>
        </is>
      </c>
      <c r="C350" t="n">
        <v>1025</v>
      </c>
      <c r="D350" t="inlineStr">
        <is>
          <t>ORIG_BAL 15,449 - 26,323</t>
        </is>
      </c>
      <c r="E350" t="inlineStr">
        <is>
          <t>ASSET_CLASS 1</t>
        </is>
      </c>
      <c r="F350" t="inlineStr">
        <is>
          <t>high</t>
        </is>
      </c>
      <c r="G350" t="n">
        <v>202</v>
      </c>
      <c r="H350" t="n">
        <v>1.847334197985495</v>
      </c>
      <c r="I350" t="inlineStr">
        <is>
          <t>No: may be mostly FICO</t>
        </is>
      </c>
      <c r="J350" t="n">
        <v>54</v>
      </c>
      <c r="K350">
        <f>'_pockets'!$AI$1025</f>
        <v/>
      </c>
      <c r="L350">
        <f>'_pockets'!$AJ$1025</f>
        <v/>
      </c>
      <c r="M350">
        <f>IF(AND($A350='Pockets'!$D$18,$B350='Pockets'!$C$18,OR('Pockets'!$E$18="All",AND('Pockets'!$E$18="Worse and material",$K350="Yes",$L350="Yes"),AND('Pockets'!$E$18="Worse or not sure",OR($K350="Yes",$K350="Not sure")))),1,0)</f>
        <v/>
      </c>
      <c r="N350">
        <f>$N349+$M350</f>
        <v/>
      </c>
      <c r="O350" t="inlineStr">
        <is>
          <t>three-way</t>
        </is>
      </c>
      <c r="P350" t="inlineStr">
        <is>
          <t>outcome_booked</t>
        </is>
      </c>
    </row>
    <row r="351">
      <c r="A351" t="inlineStr">
        <is>
          <t>Split by REV_DEBT</t>
        </is>
      </c>
      <c r="B351" t="inlineStr">
        <is>
          <t>Bad dollars</t>
        </is>
      </c>
      <c r="C351" t="n">
        <v>955</v>
      </c>
      <c r="D351" t="inlineStr">
        <is>
          <t>ORIG_BAL 5,005 - 15,448</t>
        </is>
      </c>
      <c r="E351" t="inlineStr">
        <is>
          <t>Broker</t>
        </is>
      </c>
      <c r="F351" t="inlineStr">
        <is>
          <t>high</t>
        </is>
      </c>
      <c r="G351" t="n">
        <v>257</v>
      </c>
      <c r="H351" t="n">
        <v>1.743306219572847</v>
      </c>
      <c r="I351" t="inlineStr">
        <is>
          <t>No: may be mostly FICO</t>
        </is>
      </c>
      <c r="J351" t="n">
        <v>55</v>
      </c>
      <c r="K351">
        <f>'_pockets'!$AI$955</f>
        <v/>
      </c>
      <c r="L351">
        <f>'_pockets'!$AJ$955</f>
        <v/>
      </c>
      <c r="M351">
        <f>IF(AND($A351='Pockets'!$D$18,$B351='Pockets'!$C$18,OR('Pockets'!$E$18="All",AND('Pockets'!$E$18="Worse and material",$K351="Yes",$L351="Yes"),AND('Pockets'!$E$18="Worse or not sure",OR($K351="Yes",$K351="Not sure")))),1,0)</f>
        <v/>
      </c>
      <c r="N351">
        <f>$N350+$M351</f>
        <v/>
      </c>
      <c r="O351" t="inlineStr">
        <is>
          <t>three-way</t>
        </is>
      </c>
      <c r="P351" t="inlineStr">
        <is>
          <t>outcome_booked</t>
        </is>
      </c>
    </row>
    <row r="352">
      <c r="A352" t="inlineStr">
        <is>
          <t>Split by REV_DEBT</t>
        </is>
      </c>
      <c r="B352" t="inlineStr">
        <is>
          <t>Bad dollars</t>
        </is>
      </c>
      <c r="C352" t="n">
        <v>940</v>
      </c>
      <c r="D352" t="inlineStr">
        <is>
          <t>ORIG_BAL 37,951 - 49,151</t>
        </is>
      </c>
      <c r="E352" t="inlineStr">
        <is>
          <t>Online</t>
        </is>
      </c>
      <c r="F352" t="inlineStr">
        <is>
          <t>high</t>
        </is>
      </c>
      <c r="G352" t="n">
        <v>271</v>
      </c>
      <c r="H352" t="n">
        <v>1.722266594099677</v>
      </c>
      <c r="I352" t="inlineStr">
        <is>
          <t>No: may be mostly FICO</t>
        </is>
      </c>
      <c r="J352" t="n">
        <v>56</v>
      </c>
      <c r="K352">
        <f>'_pockets'!$AI$940</f>
        <v/>
      </c>
      <c r="L352">
        <f>'_pockets'!$AJ$940</f>
        <v/>
      </c>
      <c r="M352">
        <f>IF(AND($A352='Pockets'!$D$18,$B352='Pockets'!$C$18,OR('Pockets'!$E$18="All",AND('Pockets'!$E$18="Worse and material",$K352="Yes",$L352="Yes"),AND('Pockets'!$E$18="Worse or not sure",OR($K352="Yes",$K352="Not sure")))),1,0)</f>
        <v/>
      </c>
      <c r="N352">
        <f>$N351+$M352</f>
        <v/>
      </c>
      <c r="O352" t="inlineStr">
        <is>
          <t>three-way</t>
        </is>
      </c>
      <c r="P352" t="inlineStr">
        <is>
          <t>outcome_booked</t>
        </is>
      </c>
    </row>
    <row r="353">
      <c r="A353" t="inlineStr">
        <is>
          <t>Split by REV_DEBT</t>
        </is>
      </c>
      <c r="B353" t="inlineStr">
        <is>
          <t>Bad dollars</t>
        </is>
      </c>
      <c r="C353" t="n">
        <v>915</v>
      </c>
      <c r="D353" t="inlineStr">
        <is>
          <t>ORIG_BAL 49,152 - 59,984</t>
        </is>
      </c>
      <c r="E353" t="inlineStr">
        <is>
          <t>Online</t>
        </is>
      </c>
      <c r="F353" t="inlineStr">
        <is>
          <t>high</t>
        </is>
      </c>
      <c r="G353" t="n">
        <v>282</v>
      </c>
      <c r="H353" t="n">
        <v>1.70689860495267</v>
      </c>
      <c r="I353" t="inlineStr">
        <is>
          <t>No: may be mostly FICO</t>
        </is>
      </c>
      <c r="J353" t="n">
        <v>57</v>
      </c>
      <c r="K353">
        <f>'_pockets'!$AI$915</f>
        <v/>
      </c>
      <c r="L353">
        <f>'_pockets'!$AJ$915</f>
        <v/>
      </c>
      <c r="M353">
        <f>IF(AND($A353='Pockets'!$D$18,$B353='Pockets'!$C$18,OR('Pockets'!$E$18="All",AND('Pockets'!$E$18="Worse and material",$K353="Yes",$L353="Yes"),AND('Pockets'!$E$18="Worse or not sure",OR($K353="Yes",$K353="Not sure")))),1,0)</f>
        <v/>
      </c>
      <c r="N353">
        <f>$N352+$M353</f>
        <v/>
      </c>
      <c r="O353" t="inlineStr">
        <is>
          <t>three-way</t>
        </is>
      </c>
      <c r="P353" t="inlineStr">
        <is>
          <t>outcome_booked</t>
        </is>
      </c>
    </row>
    <row r="354">
      <c r="A354" t="inlineStr">
        <is>
          <t>Split by REV_DEBT</t>
        </is>
      </c>
      <c r="B354" t="inlineStr">
        <is>
          <t>Bad dollars</t>
        </is>
      </c>
      <c r="C354" t="n">
        <v>1140</v>
      </c>
      <c r="D354" t="inlineStr">
        <is>
          <t>ORIG_BAL 49,152 - 59,984</t>
        </is>
      </c>
      <c r="E354" t="inlineStr">
        <is>
          <t>ASSET_CLASS 2</t>
        </is>
      </c>
      <c r="F354" t="inlineStr">
        <is>
          <t>high</t>
        </is>
      </c>
      <c r="G354" t="n">
        <v>199</v>
      </c>
      <c r="H354" t="n">
        <v>1.854288927293069</v>
      </c>
      <c r="I354" t="inlineStr">
        <is>
          <t>No: may be mostly FICO</t>
        </is>
      </c>
      <c r="J354" t="n">
        <v>58</v>
      </c>
      <c r="K354">
        <f>'_pockets'!$AI$1140</f>
        <v/>
      </c>
      <c r="L354">
        <f>'_pockets'!$AJ$1140</f>
        <v/>
      </c>
      <c r="M354">
        <f>IF(AND($A354='Pockets'!$D$18,$B354='Pockets'!$C$18,OR('Pockets'!$E$18="All",AND('Pockets'!$E$18="Worse and material",$K354="Yes",$L354="Yes"),AND('Pockets'!$E$18="Worse or not sure",OR($K354="Yes",$K354="Not sure")))),1,0)</f>
        <v/>
      </c>
      <c r="N354">
        <f>$N353+$M354</f>
        <v/>
      </c>
      <c r="O354" t="inlineStr">
        <is>
          <t>three-way</t>
        </is>
      </c>
      <c r="P354" t="inlineStr">
        <is>
          <t>outcome_booked</t>
        </is>
      </c>
    </row>
    <row r="355">
      <c r="A355" t="inlineStr">
        <is>
          <t>Split by REV_DEBT</t>
        </is>
      </c>
      <c r="B355" t="inlineStr">
        <is>
          <t>Bad dollars</t>
        </is>
      </c>
      <c r="C355" t="n">
        <v>1060</v>
      </c>
      <c r="D355" t="inlineStr">
        <is>
          <t>ORIG_BAL 49,152 - 59,984</t>
        </is>
      </c>
      <c r="E355" t="inlineStr">
        <is>
          <t>ASSET_CLASS 1</t>
        </is>
      </c>
      <c r="F355" t="inlineStr">
        <is>
          <t>high</t>
        </is>
      </c>
      <c r="G355" t="n">
        <v>206</v>
      </c>
      <c r="H355" t="n">
        <v>1.838311207580444</v>
      </c>
      <c r="I355" t="inlineStr">
        <is>
          <t>No: may be mostly FICO</t>
        </is>
      </c>
      <c r="J355" t="n">
        <v>59</v>
      </c>
      <c r="K355">
        <f>'_pockets'!$AI$1060</f>
        <v/>
      </c>
      <c r="L355">
        <f>'_pockets'!$AJ$1060</f>
        <v/>
      </c>
      <c r="M355">
        <f>IF(AND($A355='Pockets'!$D$18,$B355='Pockets'!$C$18,OR('Pockets'!$E$18="All",AND('Pockets'!$E$18="Worse and material",$K355="Yes",$L355="Yes"),AND('Pockets'!$E$18="Worse or not sure",OR($K355="Yes",$K355="Not sure")))),1,0)</f>
        <v/>
      </c>
      <c r="N355">
        <f>$N354+$M355</f>
        <v/>
      </c>
      <c r="O355" t="inlineStr">
        <is>
          <t>three-way</t>
        </is>
      </c>
      <c r="P355" t="inlineStr">
        <is>
          <t>outcome_booked</t>
        </is>
      </c>
    </row>
    <row r="356">
      <c r="A356" t="inlineStr">
        <is>
          <t>Split by REV_DEBT</t>
        </is>
      </c>
      <c r="B356" t="inlineStr">
        <is>
          <t>Bad dollars</t>
        </is>
      </c>
      <c r="C356" t="n">
        <v>1065</v>
      </c>
      <c r="D356" t="inlineStr">
        <is>
          <t>ORIG_BAL 26,324 - 37,950</t>
        </is>
      </c>
      <c r="E356" t="inlineStr">
        <is>
          <t>ASSET_CLASS 1</t>
        </is>
      </c>
      <c r="F356" t="inlineStr">
        <is>
          <t>high</t>
        </is>
      </c>
      <c r="G356" t="n">
        <v>194</v>
      </c>
      <c r="H356" t="n">
        <v>1.866256320082394</v>
      </c>
      <c r="I356" t="inlineStr">
        <is>
          <t>No: may be mostly FICO</t>
        </is>
      </c>
      <c r="J356" t="n">
        <v>60</v>
      </c>
      <c r="K356">
        <f>'_pockets'!$AI$1065</f>
        <v/>
      </c>
      <c r="L356">
        <f>'_pockets'!$AJ$1065</f>
        <v/>
      </c>
      <c r="M356">
        <f>IF(AND($A356='Pockets'!$D$18,$B356='Pockets'!$C$18,OR('Pockets'!$E$18="All",AND('Pockets'!$E$18="Worse and material",$K356="Yes",$L356="Yes"),AND('Pockets'!$E$18="Worse or not sure",OR($K356="Yes",$K356="Not sure")))),1,0)</f>
        <v/>
      </c>
      <c r="N356">
        <f>$N355+$M356</f>
        <v/>
      </c>
      <c r="O356" t="inlineStr">
        <is>
          <t>three-way</t>
        </is>
      </c>
      <c r="P356" t="inlineStr">
        <is>
          <t>outcome_booked</t>
        </is>
      </c>
    </row>
    <row r="357">
      <c r="A357" t="inlineStr">
        <is>
          <t>Split by REV_DEBT</t>
        </is>
      </c>
      <c r="B357" t="inlineStr">
        <is>
          <t>Bad dollars</t>
        </is>
      </c>
      <c r="C357" t="n">
        <v>905</v>
      </c>
      <c r="D357" t="inlineStr">
        <is>
          <t>ORIG_BAL 15,449 - 26,323</t>
        </is>
      </c>
      <c r="E357" t="inlineStr">
        <is>
          <t>Online</t>
        </is>
      </c>
      <c r="F357" t="inlineStr">
        <is>
          <t>high</t>
        </is>
      </c>
      <c r="G357" t="n">
        <v>269</v>
      </c>
      <c r="H357" t="n">
        <v>1.72516651009793</v>
      </c>
      <c r="I357" t="inlineStr">
        <is>
          <t>No: may be mostly FICO</t>
        </is>
      </c>
      <c r="J357" t="n">
        <v>61</v>
      </c>
      <c r="K357">
        <f>'_pockets'!$AI$905</f>
        <v/>
      </c>
      <c r="L357">
        <f>'_pockets'!$AJ$905</f>
        <v/>
      </c>
      <c r="M357">
        <f>IF(AND($A357='Pockets'!$D$18,$B357='Pockets'!$C$18,OR('Pockets'!$E$18="All",AND('Pockets'!$E$18="Worse and material",$K357="Yes",$L357="Yes"),AND('Pockets'!$E$18="Worse or not sure",OR($K357="Yes",$K357="Not sure")))),1,0)</f>
        <v/>
      </c>
      <c r="N357">
        <f>$N356+$M357</f>
        <v/>
      </c>
      <c r="O357" t="inlineStr">
        <is>
          <t>three-way</t>
        </is>
      </c>
      <c r="P357" t="inlineStr">
        <is>
          <t>outcome_booked</t>
        </is>
      </c>
    </row>
    <row r="358">
      <c r="A358" t="inlineStr">
        <is>
          <t>Split by REV_DEBT</t>
        </is>
      </c>
      <c r="B358" t="inlineStr">
        <is>
          <t>Bad dollars</t>
        </is>
      </c>
      <c r="C358" t="n">
        <v>1145</v>
      </c>
      <c r="D358" t="inlineStr">
        <is>
          <t>ORIG_BAL 15,449 - 26,323</t>
        </is>
      </c>
      <c r="E358" t="inlineStr">
        <is>
          <t>ASSET_CLASS 3</t>
        </is>
      </c>
      <c r="F358" t="inlineStr">
        <is>
          <t>high</t>
        </is>
      </c>
      <c r="G358" t="n">
        <v>213</v>
      </c>
      <c r="H358" t="n">
        <v>1.823169083360852</v>
      </c>
      <c r="I358" t="inlineStr">
        <is>
          <t>No: may be mostly FICO</t>
        </is>
      </c>
      <c r="J358" t="n">
        <v>62</v>
      </c>
      <c r="K358">
        <f>'_pockets'!$AI$1145</f>
        <v/>
      </c>
      <c r="L358">
        <f>'_pockets'!$AJ$1145</f>
        <v/>
      </c>
      <c r="M358">
        <f>IF(AND($A358='Pockets'!$D$18,$B358='Pockets'!$C$18,OR('Pockets'!$E$18="All",AND('Pockets'!$E$18="Worse and material",$K358="Yes",$L358="Yes"),AND('Pockets'!$E$18="Worse or not sure",OR($K358="Yes",$K358="Not sure")))),1,0)</f>
        <v/>
      </c>
      <c r="N358">
        <f>$N357+$M358</f>
        <v/>
      </c>
      <c r="O358" t="inlineStr">
        <is>
          <t>three-way</t>
        </is>
      </c>
      <c r="P358" t="inlineStr">
        <is>
          <t>outcome_booked</t>
        </is>
      </c>
    </row>
    <row r="359">
      <c r="A359" t="inlineStr">
        <is>
          <t>Split by REV_DEBT</t>
        </is>
      </c>
      <c r="B359" t="inlineStr">
        <is>
          <t>Bad dollars</t>
        </is>
      </c>
      <c r="C359" t="n">
        <v>860</v>
      </c>
      <c r="D359" t="inlineStr">
        <is>
          <t>ORIG_BAL 26,324 - 37,950</t>
        </is>
      </c>
      <c r="E359" t="inlineStr">
        <is>
          <t>Branch</t>
        </is>
      </c>
      <c r="F359" t="inlineStr">
        <is>
          <t>high</t>
        </is>
      </c>
      <c r="G359" t="n">
        <v>258</v>
      </c>
      <c r="H359" t="n">
        <v>1.741744008205755</v>
      </c>
      <c r="I359" t="inlineStr">
        <is>
          <t>No: may be mostly FICO</t>
        </is>
      </c>
      <c r="J359" t="n">
        <v>63</v>
      </c>
      <c r="K359">
        <f>'_pockets'!$AI$860</f>
        <v/>
      </c>
      <c r="L359">
        <f>'_pockets'!$AJ$860</f>
        <v/>
      </c>
      <c r="M359">
        <f>IF(AND($A359='Pockets'!$D$18,$B359='Pockets'!$C$18,OR('Pockets'!$E$18="All",AND('Pockets'!$E$18="Worse and material",$K359="Yes",$L359="Yes"),AND('Pockets'!$E$18="Worse or not sure",OR($K359="Yes",$K359="Not sure")))),1,0)</f>
        <v/>
      </c>
      <c r="N359">
        <f>$N358+$M359</f>
        <v/>
      </c>
      <c r="O359" t="inlineStr">
        <is>
          <t>three-way</t>
        </is>
      </c>
      <c r="P359" t="inlineStr">
        <is>
          <t>outcome_booked</t>
        </is>
      </c>
    </row>
    <row r="360">
      <c r="A360" t="inlineStr">
        <is>
          <t>Split by REV_DEBT</t>
        </is>
      </c>
      <c r="B360" t="inlineStr">
        <is>
          <t>Bad dollars</t>
        </is>
      </c>
      <c r="C360" t="n">
        <v>1185</v>
      </c>
      <c r="D360" t="inlineStr">
        <is>
          <t>ORIG_BAL 26,324 - 37,950</t>
        </is>
      </c>
      <c r="E360" t="inlineStr">
        <is>
          <t>ASSET_CLASS 3</t>
        </is>
      </c>
      <c r="F360" t="inlineStr">
        <is>
          <t>high</t>
        </is>
      </c>
      <c r="G360" t="n">
        <v>183</v>
      </c>
      <c r="H360" t="n">
        <v>1.894387517377712</v>
      </c>
      <c r="I360" t="inlineStr">
        <is>
          <t>No: may be mostly FICO</t>
        </is>
      </c>
      <c r="J360" t="n">
        <v>64</v>
      </c>
      <c r="K360">
        <f>'_pockets'!$AI$1185</f>
        <v/>
      </c>
      <c r="L360">
        <f>'_pockets'!$AJ$1185</f>
        <v/>
      </c>
      <c r="M360">
        <f>IF(AND($A360='Pockets'!$D$18,$B360='Pockets'!$C$18,OR('Pockets'!$E$18="All",AND('Pockets'!$E$18="Worse and material",$K360="Yes",$L360="Yes"),AND('Pockets'!$E$18="Worse or not sure",OR($K360="Yes",$K360="Not sure")))),1,0)</f>
        <v/>
      </c>
      <c r="N360">
        <f>$N359+$M360</f>
        <v/>
      </c>
      <c r="O360" t="inlineStr">
        <is>
          <t>three-way</t>
        </is>
      </c>
      <c r="P360" t="inlineStr">
        <is>
          <t>outcome_booked</t>
        </is>
      </c>
    </row>
    <row r="361">
      <c r="A361" t="inlineStr">
        <is>
          <t>Split by REV_DEBT</t>
        </is>
      </c>
      <c r="B361" t="inlineStr">
        <is>
          <t>Bad dollars</t>
        </is>
      </c>
      <c r="C361" t="n">
        <v>1000</v>
      </c>
      <c r="D361" t="inlineStr">
        <is>
          <t>ORIG_BAL 26,324 - 37,950</t>
        </is>
      </c>
      <c r="E361" t="inlineStr">
        <is>
          <t>ASSET_CLASS 2</t>
        </is>
      </c>
      <c r="F361" t="inlineStr">
        <is>
          <t>high</t>
        </is>
      </c>
      <c r="G361" t="n">
        <v>215</v>
      </c>
      <c r="H361" t="n">
        <v>1.818986304222157</v>
      </c>
      <c r="I361" t="inlineStr">
        <is>
          <t>No: may be mostly FICO</t>
        </is>
      </c>
      <c r="J361" t="n">
        <v>65</v>
      </c>
      <c r="K361">
        <f>'_pockets'!$AI$1000</f>
        <v/>
      </c>
      <c r="L361">
        <f>'_pockets'!$AJ$1000</f>
        <v/>
      </c>
      <c r="M361">
        <f>IF(AND($A361='Pockets'!$D$18,$B361='Pockets'!$C$18,OR('Pockets'!$E$18="All",AND('Pockets'!$E$18="Worse and material",$K361="Yes",$L361="Yes"),AND('Pockets'!$E$18="Worse or not sure",OR($K361="Yes",$K361="Not sure")))),1,0)</f>
        <v/>
      </c>
      <c r="N361">
        <f>$N360+$M361</f>
        <v/>
      </c>
      <c r="O361" t="inlineStr">
        <is>
          <t>three-way</t>
        </is>
      </c>
      <c r="P361" t="inlineStr">
        <is>
          <t>outcome_booked</t>
        </is>
      </c>
    </row>
    <row r="362">
      <c r="A362" t="inlineStr">
        <is>
          <t>Split by REV_DEBT</t>
        </is>
      </c>
      <c r="B362" t="inlineStr">
        <is>
          <t>Bad dollars</t>
        </is>
      </c>
      <c r="C362" t="n">
        <v>1080</v>
      </c>
      <c r="D362" t="inlineStr">
        <is>
          <t>ORIG_BAL 5,005 - 15,448</t>
        </is>
      </c>
      <c r="E362" t="inlineStr">
        <is>
          <t>ASSET_CLASS 3</t>
        </is>
      </c>
      <c r="F362" t="inlineStr">
        <is>
          <t>high</t>
        </is>
      </c>
      <c r="G362" t="n">
        <v>177</v>
      </c>
      <c r="H362" t="n">
        <v>1.910888399048516</v>
      </c>
      <c r="I362" t="inlineStr">
        <is>
          <t>No: may be mostly FICO</t>
        </is>
      </c>
      <c r="J362" t="n">
        <v>66</v>
      </c>
      <c r="K362">
        <f>'_pockets'!$AI$1080</f>
        <v/>
      </c>
      <c r="L362">
        <f>'_pockets'!$AJ$1080</f>
        <v/>
      </c>
      <c r="M362">
        <f>IF(AND($A362='Pockets'!$D$18,$B362='Pockets'!$C$18,OR('Pockets'!$E$18="All",AND('Pockets'!$E$18="Worse and material",$K362="Yes",$L362="Yes"),AND('Pockets'!$E$18="Worse or not sure",OR($K362="Yes",$K362="Not sure")))),1,0)</f>
        <v/>
      </c>
      <c r="N362">
        <f>$N361+$M362</f>
        <v/>
      </c>
      <c r="O362" t="inlineStr">
        <is>
          <t>three-way</t>
        </is>
      </c>
      <c r="P362" t="inlineStr">
        <is>
          <t>outcome_booked</t>
        </is>
      </c>
    </row>
    <row r="363">
      <c r="A363" t="inlineStr">
        <is>
          <t>Split by REV_DEBT</t>
        </is>
      </c>
      <c r="B363" t="inlineStr">
        <is>
          <t>Bad dollars</t>
        </is>
      </c>
      <c r="C363" t="n">
        <v>840</v>
      </c>
      <c r="D363" t="inlineStr">
        <is>
          <t>ORIG_BAL 5,005 - 15,448</t>
        </is>
      </c>
      <c r="E363" t="inlineStr">
        <is>
          <t>Online</t>
        </is>
      </c>
      <c r="F363" t="inlineStr">
        <is>
          <t>high</t>
        </is>
      </c>
      <c r="G363" t="n">
        <v>272</v>
      </c>
      <c r="H363" t="n">
        <v>1.720829223303436</v>
      </c>
      <c r="I363" t="inlineStr">
        <is>
          <t>No: may be mostly FICO</t>
        </is>
      </c>
      <c r="J363" t="n">
        <v>67</v>
      </c>
      <c r="K363">
        <f>'_pockets'!$AI$840</f>
        <v/>
      </c>
      <c r="L363">
        <f>'_pockets'!$AJ$840</f>
        <v/>
      </c>
      <c r="M363">
        <f>IF(AND($A363='Pockets'!$D$18,$B363='Pockets'!$C$18,OR('Pockets'!$E$18="All",AND('Pockets'!$E$18="Worse and material",$K363="Yes",$L363="Yes"),AND('Pockets'!$E$18="Worse or not sure",OR($K363="Yes",$K363="Not sure")))),1,0)</f>
        <v/>
      </c>
      <c r="N363">
        <f>$N362+$M363</f>
        <v/>
      </c>
      <c r="O363" t="inlineStr">
        <is>
          <t>three-way</t>
        </is>
      </c>
      <c r="P363" t="inlineStr">
        <is>
          <t>outcome_booked</t>
        </is>
      </c>
    </row>
    <row r="364">
      <c r="A364" t="inlineStr">
        <is>
          <t>Split by REV_DEBT</t>
        </is>
      </c>
      <c r="B364" t="inlineStr">
        <is>
          <t>Bad dollars</t>
        </is>
      </c>
      <c r="C364" t="n">
        <v>1135</v>
      </c>
      <c r="D364" t="inlineStr">
        <is>
          <t>ORIG_BAL 5,005 - 15,448</t>
        </is>
      </c>
      <c r="E364" t="inlineStr">
        <is>
          <t>ASSET_CLASS 4</t>
        </is>
      </c>
      <c r="F364" t="inlineStr">
        <is>
          <t>high</t>
        </is>
      </c>
      <c r="G364" t="n">
        <v>212</v>
      </c>
      <c r="H364" t="n">
        <v>1.825283810113044</v>
      </c>
      <c r="I364" t="inlineStr">
        <is>
          <t>No: may be mostly FICO</t>
        </is>
      </c>
      <c r="J364" t="n">
        <v>68</v>
      </c>
      <c r="K364">
        <f>'_pockets'!$AI$1135</f>
        <v/>
      </c>
      <c r="L364">
        <f>'_pockets'!$AJ$1135</f>
        <v/>
      </c>
      <c r="M364">
        <f>IF(AND($A364='Pockets'!$D$18,$B364='Pockets'!$C$18,OR('Pockets'!$E$18="All",AND('Pockets'!$E$18="Worse and material",$K364="Yes",$L364="Yes"),AND('Pockets'!$E$18="Worse or not sure",OR($K364="Yes",$K364="Not sure")))),1,0)</f>
        <v/>
      </c>
      <c r="N364">
        <f>$N363+$M364</f>
        <v/>
      </c>
      <c r="O364" t="inlineStr">
        <is>
          <t>three-way</t>
        </is>
      </c>
      <c r="P364" t="inlineStr">
        <is>
          <t>outcome_booked</t>
        </is>
      </c>
    </row>
    <row r="365">
      <c r="A365" t="inlineStr">
        <is>
          <t>Split by REV_DEBT</t>
        </is>
      </c>
      <c r="B365" t="inlineStr">
        <is>
          <t>Bad dollars</t>
        </is>
      </c>
      <c r="C365" t="n">
        <v>1105</v>
      </c>
      <c r="D365" t="inlineStr">
        <is>
          <t>ORIG_BAL 37,951 - 49,151</t>
        </is>
      </c>
      <c r="E365" t="inlineStr">
        <is>
          <t>ASSET_CLASS 1</t>
        </is>
      </c>
      <c r="F365" t="inlineStr">
        <is>
          <t>high</t>
        </is>
      </c>
      <c r="G365" t="n">
        <v>192</v>
      </c>
      <c r="H365" t="n">
        <v>1.871180863369752</v>
      </c>
      <c r="I365" t="inlineStr">
        <is>
          <t>No: may be mostly FICO</t>
        </is>
      </c>
      <c r="J365" t="n">
        <v>69</v>
      </c>
      <c r="K365">
        <f>'_pockets'!$AI$1105</f>
        <v/>
      </c>
      <c r="L365">
        <f>'_pockets'!$AJ$1105</f>
        <v/>
      </c>
      <c r="M365">
        <f>IF(AND($A365='Pockets'!$D$18,$B365='Pockets'!$C$18,OR('Pockets'!$E$18="All",AND('Pockets'!$E$18="Worse and material",$K365="Yes",$L365="Yes"),AND('Pockets'!$E$18="Worse or not sure",OR($K365="Yes",$K365="Not sure")))),1,0)</f>
        <v/>
      </c>
      <c r="N365">
        <f>$N364+$M365</f>
        <v/>
      </c>
      <c r="O365" t="inlineStr">
        <is>
          <t>three-way</t>
        </is>
      </c>
      <c r="P365" t="inlineStr">
        <is>
          <t>outcome_booked</t>
        </is>
      </c>
    </row>
    <row r="366">
      <c r="A366" t="inlineStr">
        <is>
          <t>Split by REV_DEBT</t>
        </is>
      </c>
      <c r="B366" t="inlineStr">
        <is>
          <t>Bad dollars</t>
        </is>
      </c>
      <c r="C366" t="n">
        <v>1045</v>
      </c>
      <c r="D366" t="inlineStr">
        <is>
          <t>ORIG_BAL 5,005 - 15,448</t>
        </is>
      </c>
      <c r="E366" t="inlineStr">
        <is>
          <t>ASSET_CLASS 4</t>
        </is>
      </c>
      <c r="F366" t="inlineStr">
        <is>
          <t>low</t>
        </is>
      </c>
      <c r="G366" t="n">
        <v>213</v>
      </c>
      <c r="H366" t="n">
        <v>1.823169083360852</v>
      </c>
      <c r="I366" t="inlineStr">
        <is>
          <t>No: may be mostly FICO</t>
        </is>
      </c>
      <c r="J366" t="n">
        <v>70</v>
      </c>
      <c r="K366">
        <f>'_pockets'!$AI$1045</f>
        <v/>
      </c>
      <c r="L366">
        <f>'_pockets'!$AJ$1045</f>
        <v/>
      </c>
      <c r="M366">
        <f>IF(AND($A366='Pockets'!$D$18,$B366='Pockets'!$C$18,OR('Pockets'!$E$18="All",AND('Pockets'!$E$18="Worse and material",$K366="Yes",$L366="Yes"),AND('Pockets'!$E$18="Worse or not sure",OR($K366="Yes",$K366="Not sure")))),1,0)</f>
        <v/>
      </c>
      <c r="N366">
        <f>$N365+$M366</f>
        <v/>
      </c>
      <c r="O366" t="inlineStr">
        <is>
          <t>three-way</t>
        </is>
      </c>
      <c r="P366" t="inlineStr">
        <is>
          <t>outcome_booked</t>
        </is>
      </c>
    </row>
    <row r="367">
      <c r="A367" t="inlineStr">
        <is>
          <t>Split by REV_DEBT</t>
        </is>
      </c>
      <c r="B367" t="inlineStr">
        <is>
          <t>Bad dollars</t>
        </is>
      </c>
      <c r="C367" t="n">
        <v>995</v>
      </c>
      <c r="D367" t="inlineStr">
        <is>
          <t>ORIG_BAL 5,005 - 15,448</t>
        </is>
      </c>
      <c r="E367" t="inlineStr">
        <is>
          <t>ASSET_CLASS 1</t>
        </is>
      </c>
      <c r="F367" t="inlineStr">
        <is>
          <t>high</t>
        </is>
      </c>
      <c r="G367" t="n">
        <v>208</v>
      </c>
      <c r="H367" t="n">
        <v>1.833902820427352</v>
      </c>
      <c r="I367" t="inlineStr">
        <is>
          <t>No: may be mostly FICO</t>
        </is>
      </c>
      <c r="J367" t="n">
        <v>71</v>
      </c>
      <c r="K367">
        <f>'_pockets'!$AI$995</f>
        <v/>
      </c>
      <c r="L367">
        <f>'_pockets'!$AJ$995</f>
        <v/>
      </c>
      <c r="M367">
        <f>IF(AND($A367='Pockets'!$D$18,$B367='Pockets'!$C$18,OR('Pockets'!$E$18="All",AND('Pockets'!$E$18="Worse and material",$K367="Yes",$L367="Yes"),AND('Pockets'!$E$18="Worse or not sure",OR($K367="Yes",$K367="Not sure")))),1,0)</f>
        <v/>
      </c>
      <c r="N367">
        <f>$N366+$M367</f>
        <v/>
      </c>
      <c r="O367" t="inlineStr">
        <is>
          <t>three-way</t>
        </is>
      </c>
      <c r="P367" t="inlineStr">
        <is>
          <t>outcome_booked</t>
        </is>
      </c>
    </row>
    <row r="368">
      <c r="A368" t="inlineStr">
        <is>
          <t>Split by REV_DEBT</t>
        </is>
      </c>
      <c r="B368" t="inlineStr">
        <is>
          <t>Bad dollars</t>
        </is>
      </c>
      <c r="C368" t="n">
        <v>1100</v>
      </c>
      <c r="D368" t="inlineStr">
        <is>
          <t>ORIG_BAL 49,152 - 59,984</t>
        </is>
      </c>
      <c r="E368" t="inlineStr">
        <is>
          <t>ASSET_CLASS 3</t>
        </is>
      </c>
      <c r="F368" t="inlineStr">
        <is>
          <t>high</t>
        </is>
      </c>
      <c r="G368" t="n">
        <v>202</v>
      </c>
      <c r="H368" t="n">
        <v>1.847334197985495</v>
      </c>
      <c r="I368" t="inlineStr">
        <is>
          <t>No: may be mostly FICO</t>
        </is>
      </c>
      <c r="J368" t="n">
        <v>72</v>
      </c>
      <c r="K368">
        <f>'_pockets'!$AI$1100</f>
        <v/>
      </c>
      <c r="L368">
        <f>'_pockets'!$AJ$1100</f>
        <v/>
      </c>
      <c r="M368">
        <f>IF(AND($A368='Pockets'!$D$18,$B368='Pockets'!$C$18,OR('Pockets'!$E$18="All",AND('Pockets'!$E$18="Worse and material",$K368="Yes",$L368="Yes"),AND('Pockets'!$E$18="Worse or not sure",OR($K368="Yes",$K368="Not sure")))),1,0)</f>
        <v/>
      </c>
      <c r="N368">
        <f>$N367+$M368</f>
        <v/>
      </c>
      <c r="O368" t="inlineStr">
        <is>
          <t>three-way</t>
        </is>
      </c>
      <c r="P368" t="inlineStr">
        <is>
          <t>outcome_booked</t>
        </is>
      </c>
    </row>
    <row r="369">
      <c r="A369" t="inlineStr">
        <is>
          <t>Split by REV_DEBT</t>
        </is>
      </c>
      <c r="B369" t="inlineStr">
        <is>
          <t>Bad dollars</t>
        </is>
      </c>
      <c r="C369" t="n">
        <v>1055</v>
      </c>
      <c r="D369" t="inlineStr">
        <is>
          <t>ORIG_BAL 5,005 - 15,448</t>
        </is>
      </c>
      <c r="E369" t="inlineStr">
        <is>
          <t>ASSET_CLASS 2</t>
        </is>
      </c>
      <c r="F369" t="inlineStr">
        <is>
          <t>high</t>
        </is>
      </c>
      <c r="G369" t="n">
        <v>202</v>
      </c>
      <c r="H369" t="n">
        <v>1.847334197985495</v>
      </c>
      <c r="I369" t="inlineStr">
        <is>
          <t>No: may be mostly FICO</t>
        </is>
      </c>
      <c r="J369" t="n">
        <v>73</v>
      </c>
      <c r="K369">
        <f>'_pockets'!$AI$1055</f>
        <v/>
      </c>
      <c r="L369">
        <f>'_pockets'!$AJ$1055</f>
        <v/>
      </c>
      <c r="M369">
        <f>IF(AND($A369='Pockets'!$D$18,$B369='Pockets'!$C$18,OR('Pockets'!$E$18="All",AND('Pockets'!$E$18="Worse and material",$K369="Yes",$L369="Yes"),AND('Pockets'!$E$18="Worse or not sure",OR($K369="Yes",$K369="Not sure")))),1,0)</f>
        <v/>
      </c>
      <c r="N369">
        <f>$N368+$M369</f>
        <v/>
      </c>
      <c r="O369" t="inlineStr">
        <is>
          <t>three-way</t>
        </is>
      </c>
      <c r="P369" t="inlineStr">
        <is>
          <t>outcome_booked</t>
        </is>
      </c>
    </row>
    <row r="370">
      <c r="A370" t="inlineStr">
        <is>
          <t>Split by REV_DEBT</t>
        </is>
      </c>
      <c r="B370" t="inlineStr">
        <is>
          <t>Bad dollars</t>
        </is>
      </c>
      <c r="C370" t="n">
        <v>910</v>
      </c>
      <c r="D370" t="inlineStr">
        <is>
          <t>ORIG_BAL 5,005 - 15,448</t>
        </is>
      </c>
      <c r="E370" t="inlineStr">
        <is>
          <t>Branch</t>
        </is>
      </c>
      <c r="F370" t="inlineStr">
        <is>
          <t>high</t>
        </is>
      </c>
      <c r="G370" t="n">
        <v>271</v>
      </c>
      <c r="H370" t="n">
        <v>1.722266594099677</v>
      </c>
      <c r="I370" t="inlineStr">
        <is>
          <t>No: may be mostly FICO</t>
        </is>
      </c>
      <c r="J370" t="n">
        <v>74</v>
      </c>
      <c r="K370">
        <f>'_pockets'!$AI$910</f>
        <v/>
      </c>
      <c r="L370">
        <f>'_pockets'!$AJ$910</f>
        <v/>
      </c>
      <c r="M370">
        <f>IF(AND($A370='Pockets'!$D$18,$B370='Pockets'!$C$18,OR('Pockets'!$E$18="All",AND('Pockets'!$E$18="Worse and material",$K370="Yes",$L370="Yes"),AND('Pockets'!$E$18="Worse or not sure",OR($K370="Yes",$K370="Not sure")))),1,0)</f>
        <v/>
      </c>
      <c r="N370">
        <f>$N369+$M370</f>
        <v/>
      </c>
      <c r="O370" t="inlineStr">
        <is>
          <t>three-way</t>
        </is>
      </c>
      <c r="P370" t="inlineStr">
        <is>
          <t>outcome_booked</t>
        </is>
      </c>
    </row>
    <row r="371">
      <c r="A371" t="inlineStr">
        <is>
          <t>Split by REV_DEBT</t>
        </is>
      </c>
      <c r="B371" t="inlineStr">
        <is>
          <t>Bad dollars</t>
        </is>
      </c>
      <c r="C371" t="n">
        <v>945</v>
      </c>
      <c r="D371" t="inlineStr">
        <is>
          <t>ORIG_BAL 49,152 - 59,984</t>
        </is>
      </c>
      <c r="E371" t="inlineStr">
        <is>
          <t>Branch</t>
        </is>
      </c>
      <c r="F371" t="inlineStr">
        <is>
          <t>high</t>
        </is>
      </c>
      <c r="G371" t="n">
        <v>257</v>
      </c>
      <c r="H371" t="n">
        <v>1.743306219572847</v>
      </c>
      <c r="I371" t="inlineStr">
        <is>
          <t>No: may be mostly FICO</t>
        </is>
      </c>
      <c r="J371" t="n">
        <v>75</v>
      </c>
      <c r="K371">
        <f>'_pockets'!$AI$945</f>
        <v/>
      </c>
      <c r="L371">
        <f>'_pockets'!$AJ$945</f>
        <v/>
      </c>
      <c r="M371">
        <f>IF(AND($A371='Pockets'!$D$18,$B371='Pockets'!$C$18,OR('Pockets'!$E$18="All",AND('Pockets'!$E$18="Worse and material",$K371="Yes",$L371="Yes"),AND('Pockets'!$E$18="Worse or not sure",OR($K371="Yes",$K371="Not sure")))),1,0)</f>
        <v/>
      </c>
      <c r="N371">
        <f>$N370+$M371</f>
        <v/>
      </c>
      <c r="O371" t="inlineStr">
        <is>
          <t>three-way</t>
        </is>
      </c>
      <c r="P371" t="inlineStr">
        <is>
          <t>outcome_booked</t>
        </is>
      </c>
    </row>
    <row r="372">
      <c r="A372" t="inlineStr">
        <is>
          <t>Split by REV_DEBT</t>
        </is>
      </c>
      <c r="B372" t="inlineStr">
        <is>
          <t>Bad dollars</t>
        </is>
      </c>
      <c r="C372" t="n">
        <v>1125</v>
      </c>
      <c r="D372" t="inlineStr">
        <is>
          <t>ORIG_BAL 37,951 - 49,151</t>
        </is>
      </c>
      <c r="E372" t="inlineStr">
        <is>
          <t>ASSET_CLASS 2</t>
        </is>
      </c>
      <c r="F372" t="inlineStr">
        <is>
          <t>high</t>
        </is>
      </c>
      <c r="G372" t="n">
        <v>210</v>
      </c>
      <c r="H372" t="n">
        <v>1.829560898677709</v>
      </c>
      <c r="I372" t="inlineStr">
        <is>
          <t>No: may be mostly FICO</t>
        </is>
      </c>
      <c r="J372" t="n">
        <v>76</v>
      </c>
      <c r="K372">
        <f>'_pockets'!$AI$1125</f>
        <v/>
      </c>
      <c r="L372">
        <f>'_pockets'!$AJ$1125</f>
        <v/>
      </c>
      <c r="M372">
        <f>IF(AND($A372='Pockets'!$D$18,$B372='Pockets'!$C$18,OR('Pockets'!$E$18="All",AND('Pockets'!$E$18="Worse and material",$K372="Yes",$L372="Yes"),AND('Pockets'!$E$18="Worse or not sure",OR($K372="Yes",$K372="Not sure")))),1,0)</f>
        <v/>
      </c>
      <c r="N372">
        <f>$N371+$M372</f>
        <v/>
      </c>
      <c r="O372" t="inlineStr">
        <is>
          <t>three-way</t>
        </is>
      </c>
      <c r="P372" t="inlineStr">
        <is>
          <t>outcome_booked</t>
        </is>
      </c>
    </row>
    <row r="373">
      <c r="A373" t="inlineStr">
        <is>
          <t>Split by REV_DEBT</t>
        </is>
      </c>
      <c r="B373" t="inlineStr">
        <is>
          <t>Bad dollars</t>
        </is>
      </c>
      <c r="C373" t="n">
        <v>1160</v>
      </c>
      <c r="D373" t="inlineStr">
        <is>
          <t>ORIG_BAL 15,449 - 26,323</t>
        </is>
      </c>
      <c r="E373" t="inlineStr">
        <is>
          <t>ASSET_CLASS 2</t>
        </is>
      </c>
      <c r="F373" t="inlineStr">
        <is>
          <t>high</t>
        </is>
      </c>
      <c r="G373" t="n">
        <v>178</v>
      </c>
      <c r="H373" t="n">
        <v>1.908077151011683</v>
      </c>
      <c r="I373" t="inlineStr">
        <is>
          <t>No: may be mostly FICO</t>
        </is>
      </c>
      <c r="J373" t="n">
        <v>77</v>
      </c>
      <c r="K373">
        <f>'_pockets'!$AI$1160</f>
        <v/>
      </c>
      <c r="L373">
        <f>'_pockets'!$AJ$1160</f>
        <v/>
      </c>
      <c r="M373">
        <f>IF(AND($A373='Pockets'!$D$18,$B373='Pockets'!$C$18,OR('Pockets'!$E$18="All",AND('Pockets'!$E$18="Worse and material",$K373="Yes",$L373="Yes"),AND('Pockets'!$E$18="Worse or not sure",OR($K373="Yes",$K373="Not sure")))),1,0)</f>
        <v/>
      </c>
      <c r="N373">
        <f>$N372+$M373</f>
        <v/>
      </c>
      <c r="O373" t="inlineStr">
        <is>
          <t>three-way</t>
        </is>
      </c>
      <c r="P373" t="inlineStr">
        <is>
          <t>outcome_booked</t>
        </is>
      </c>
    </row>
    <row r="374">
      <c r="A374" t="inlineStr">
        <is>
          <t>Split by REV_DEBT</t>
        </is>
      </c>
      <c r="B374" t="inlineStr">
        <is>
          <t>Bad dollars</t>
        </is>
      </c>
      <c r="C374" t="n">
        <v>1170</v>
      </c>
      <c r="D374" t="inlineStr">
        <is>
          <t>ORIG_BAL 15,449 - 26,323</t>
        </is>
      </c>
      <c r="E374" t="inlineStr">
        <is>
          <t>ASSET_CLASS 3</t>
        </is>
      </c>
      <c r="F374" t="inlineStr">
        <is>
          <t>low</t>
        </is>
      </c>
      <c r="G374" t="n">
        <v>214</v>
      </c>
      <c r="H374" t="n">
        <v>1.821069977695777</v>
      </c>
      <c r="I374" t="inlineStr">
        <is>
          <t>No: may be mostly FICO</t>
        </is>
      </c>
      <c r="J374" t="n">
        <v>78</v>
      </c>
      <c r="K374">
        <f>'_pockets'!$AI$1170</f>
        <v/>
      </c>
      <c r="L374">
        <f>'_pockets'!$AJ$1170</f>
        <v/>
      </c>
      <c r="M374">
        <f>IF(AND($A374='Pockets'!$D$18,$B374='Pockets'!$C$18,OR('Pockets'!$E$18="All",AND('Pockets'!$E$18="Worse and material",$K374="Yes",$L374="Yes"),AND('Pockets'!$E$18="Worse or not sure",OR($K374="Yes",$K374="Not sure")))),1,0)</f>
        <v/>
      </c>
      <c r="N374">
        <f>$N373+$M374</f>
        <v/>
      </c>
      <c r="O374" t="inlineStr">
        <is>
          <t>three-way</t>
        </is>
      </c>
      <c r="P374" t="inlineStr">
        <is>
          <t>outcome_booked</t>
        </is>
      </c>
    </row>
    <row r="375">
      <c r="A375" t="inlineStr">
        <is>
          <t>Split by REV_DEBT</t>
        </is>
      </c>
      <c r="B375" t="inlineStr">
        <is>
          <t>Bad dollars</t>
        </is>
      </c>
      <c r="C375" t="n">
        <v>960</v>
      </c>
      <c r="D375" t="inlineStr">
        <is>
          <t>ORIG_BAL 15,449 - 26,323</t>
        </is>
      </c>
      <c r="E375" t="inlineStr">
        <is>
          <t>Branch</t>
        </is>
      </c>
      <c r="F375" t="inlineStr">
        <is>
          <t>high</t>
        </is>
      </c>
      <c r="G375" t="n">
        <v>262</v>
      </c>
      <c r="H375" t="n">
        <v>1.735589228311301</v>
      </c>
      <c r="I375" t="inlineStr">
        <is>
          <t>No: may be mostly FICO</t>
        </is>
      </c>
      <c r="J375" t="n">
        <v>79</v>
      </c>
      <c r="K375">
        <f>'_pockets'!$AI$960</f>
        <v/>
      </c>
      <c r="L375">
        <f>'_pockets'!$AJ$960</f>
        <v/>
      </c>
      <c r="M375">
        <f>IF(AND($A375='Pockets'!$D$18,$B375='Pockets'!$C$18,OR('Pockets'!$E$18="All",AND('Pockets'!$E$18="Worse and material",$K375="Yes",$L375="Yes"),AND('Pockets'!$E$18="Worse or not sure",OR($K375="Yes",$K375="Not sure")))),1,0)</f>
        <v/>
      </c>
      <c r="N375">
        <f>$N374+$M375</f>
        <v/>
      </c>
      <c r="O375" t="inlineStr">
        <is>
          <t>three-way</t>
        </is>
      </c>
      <c r="P375" t="inlineStr">
        <is>
          <t>outcome_booked</t>
        </is>
      </c>
    </row>
    <row r="376">
      <c r="A376" t="inlineStr">
        <is>
          <t>Split by REV_DEBT</t>
        </is>
      </c>
      <c r="B376" t="inlineStr">
        <is>
          <t>Charge-offs</t>
        </is>
      </c>
      <c r="C376" t="n">
        <v>491</v>
      </c>
      <c r="D376" t="inlineStr">
        <is>
          <t>FICO 496 - 653</t>
        </is>
      </c>
      <c r="E376" t="inlineStr">
        <is>
          <t>Broker</t>
        </is>
      </c>
      <c r="F376" t="inlineStr">
        <is>
          <t>high</t>
        </is>
      </c>
      <c r="G376" t="n">
        <v>261</v>
      </c>
      <c r="H376" t="n">
        <v>1.764653942743428</v>
      </c>
      <c r="I376" t="inlineStr">
        <is>
          <t>Yes</t>
        </is>
      </c>
      <c r="J376" t="n">
        <v>1</v>
      </c>
      <c r="K376">
        <f>'_pockets'!$AI$491</f>
        <v/>
      </c>
      <c r="L376">
        <f>'_pockets'!$AJ$491</f>
        <v/>
      </c>
      <c r="M376">
        <f>IF(AND($A376='Pockets'!$D$18,$B376='Pockets'!$C$18,OR('Pockets'!$E$18="All",AND('Pockets'!$E$18="Worse and material",$K376="Yes",$L376="Yes"),AND('Pockets'!$E$18="Worse or not sure",OR($K376="Yes",$K376="Not sure")))),1,0)</f>
        <v/>
      </c>
      <c r="N376">
        <f>$N375+$M376</f>
        <v/>
      </c>
      <c r="O376" t="inlineStr">
        <is>
          <t>three-way</t>
        </is>
      </c>
      <c r="P376" t="inlineStr">
        <is>
          <t>gco_rate</t>
        </is>
      </c>
    </row>
    <row r="377">
      <c r="A377" t="inlineStr">
        <is>
          <t>Split by REV_DEBT</t>
        </is>
      </c>
      <c r="B377" t="inlineStr">
        <is>
          <t>Charge-offs</t>
        </is>
      </c>
      <c r="C377" t="n">
        <v>686</v>
      </c>
      <c r="D377" t="inlineStr">
        <is>
          <t>FICO 496 - 653</t>
        </is>
      </c>
      <c r="E377" t="inlineStr">
        <is>
          <t>ASSET_CLASS 4</t>
        </is>
      </c>
      <c r="F377" t="inlineStr">
        <is>
          <t>high</t>
        </is>
      </c>
      <c r="G377" t="n">
        <v>196</v>
      </c>
      <c r="H377" t="n">
        <v>1.893914133256593</v>
      </c>
      <c r="I377" t="inlineStr">
        <is>
          <t>Yes</t>
        </is>
      </c>
      <c r="J377" t="n">
        <v>2</v>
      </c>
      <c r="K377">
        <f>'_pockets'!$AI$686</f>
        <v/>
      </c>
      <c r="L377">
        <f>'_pockets'!$AJ$686</f>
        <v/>
      </c>
      <c r="M377">
        <f>IF(AND($A377='Pockets'!$D$18,$B377='Pockets'!$C$18,OR('Pockets'!$E$18="All",AND('Pockets'!$E$18="Worse and material",$K377="Yes",$L377="Yes"),AND('Pockets'!$E$18="Worse or not sure",OR($K377="Yes",$K377="Not sure")))),1,0)</f>
        <v/>
      </c>
      <c r="N377">
        <f>$N376+$M377</f>
        <v/>
      </c>
      <c r="O377" t="inlineStr">
        <is>
          <t>three-way</t>
        </is>
      </c>
      <c r="P377" t="inlineStr">
        <is>
          <t>gco_rate</t>
        </is>
      </c>
    </row>
    <row r="378">
      <c r="A378" t="inlineStr">
        <is>
          <t>Split by REV_DEBT</t>
        </is>
      </c>
      <c r="B378" t="inlineStr">
        <is>
          <t>Charge-offs</t>
        </is>
      </c>
      <c r="C378" t="n">
        <v>481</v>
      </c>
      <c r="D378" t="inlineStr">
        <is>
          <t>FICO 686 - 711</t>
        </is>
      </c>
      <c r="E378" t="inlineStr">
        <is>
          <t>Online</t>
        </is>
      </c>
      <c r="F378" t="inlineStr">
        <is>
          <t>high</t>
        </is>
      </c>
      <c r="G378" t="n">
        <v>273</v>
      </c>
      <c r="H378" t="n">
        <v>1.746238791535965</v>
      </c>
      <c r="I378" t="inlineStr">
        <is>
          <t>Yes</t>
        </is>
      </c>
      <c r="J378" t="n">
        <v>3</v>
      </c>
      <c r="K378">
        <f>'_pockets'!$AI$481</f>
        <v/>
      </c>
      <c r="L378">
        <f>'_pockets'!$AJ$481</f>
        <v/>
      </c>
      <c r="M378">
        <f>IF(AND($A378='Pockets'!$D$18,$B378='Pockets'!$C$18,OR('Pockets'!$E$18="All",AND('Pockets'!$E$18="Worse and material",$K378="Yes",$L378="Yes"),AND('Pockets'!$E$18="Worse or not sure",OR($K378="Yes",$K378="Not sure")))),1,0)</f>
        <v/>
      </c>
      <c r="N378">
        <f>$N377+$M378</f>
        <v/>
      </c>
      <c r="O378" t="inlineStr">
        <is>
          <t>three-way</t>
        </is>
      </c>
      <c r="P378" t="inlineStr">
        <is>
          <t>gco_rate</t>
        </is>
      </c>
    </row>
    <row r="379">
      <c r="A379" t="inlineStr">
        <is>
          <t>Split by REV_DEBT</t>
        </is>
      </c>
      <c r="B379" t="inlineStr">
        <is>
          <t>Charge-offs</t>
        </is>
      </c>
      <c r="C379" t="n">
        <v>716</v>
      </c>
      <c r="D379" t="inlineStr">
        <is>
          <t>FICO 654 - 685</t>
        </is>
      </c>
      <c r="E379" t="inlineStr">
        <is>
          <t>ASSET_CLASS 4</t>
        </is>
      </c>
      <c r="F379" t="inlineStr">
        <is>
          <t>high</t>
        </is>
      </c>
      <c r="G379" t="n">
        <v>205</v>
      </c>
      <c r="H379" t="n">
        <v>1.872205292319323</v>
      </c>
      <c r="I379" t="inlineStr">
        <is>
          <t>Yes</t>
        </is>
      </c>
      <c r="J379" t="n">
        <v>4</v>
      </c>
      <c r="K379">
        <f>'_pockets'!$AI$716</f>
        <v/>
      </c>
      <c r="L379">
        <f>'_pockets'!$AJ$716</f>
        <v/>
      </c>
      <c r="M379">
        <f>IF(AND($A379='Pockets'!$D$18,$B379='Pockets'!$C$18,OR('Pockets'!$E$18="All",AND('Pockets'!$E$18="Worse and material",$K379="Yes",$L379="Yes"),AND('Pockets'!$E$18="Worse or not sure",OR($K379="Yes",$K379="Not sure")))),1,0)</f>
        <v/>
      </c>
      <c r="N379">
        <f>$N378+$M379</f>
        <v/>
      </c>
      <c r="O379" t="inlineStr">
        <is>
          <t>three-way</t>
        </is>
      </c>
      <c r="P379" t="inlineStr">
        <is>
          <t>gco_rate</t>
        </is>
      </c>
    </row>
    <row r="380">
      <c r="A380" t="inlineStr">
        <is>
          <t>Split by REV_DEBT</t>
        </is>
      </c>
      <c r="B380" t="inlineStr">
        <is>
          <t>Charge-offs</t>
        </is>
      </c>
      <c r="C380" t="n">
        <v>466</v>
      </c>
      <c r="D380" t="inlineStr">
        <is>
          <t>FICO 712 - 745</t>
        </is>
      </c>
      <c r="E380" t="inlineStr">
        <is>
          <t>Online</t>
        </is>
      </c>
      <c r="F380" t="inlineStr">
        <is>
          <t>high</t>
        </is>
      </c>
      <c r="G380" t="n">
        <v>282</v>
      </c>
      <c r="H380" t="n">
        <v>1.733243256317988</v>
      </c>
      <c r="I380" t="inlineStr">
        <is>
          <t>Yes</t>
        </is>
      </c>
      <c r="J380" t="n">
        <v>5</v>
      </c>
      <c r="K380">
        <f>'_pockets'!$AI$466</f>
        <v/>
      </c>
      <c r="L380">
        <f>'_pockets'!$AJ$466</f>
        <v/>
      </c>
      <c r="M380">
        <f>IF(AND($A380='Pockets'!$D$18,$B380='Pockets'!$C$18,OR('Pockets'!$E$18="All",AND('Pockets'!$E$18="Worse and material",$K380="Yes",$L380="Yes"),AND('Pockets'!$E$18="Worse or not sure",OR($K380="Yes",$K380="Not sure")))),1,0)</f>
        <v/>
      </c>
      <c r="N380">
        <f>$N379+$M380</f>
        <v/>
      </c>
      <c r="O380" t="inlineStr">
        <is>
          <t>three-way</t>
        </is>
      </c>
      <c r="P380" t="inlineStr">
        <is>
          <t>gco_rate</t>
        </is>
      </c>
    </row>
    <row r="381">
      <c r="A381" t="inlineStr">
        <is>
          <t>Split by REV_DEBT</t>
        </is>
      </c>
      <c r="B381" t="inlineStr">
        <is>
          <t>Charge-offs</t>
        </is>
      </c>
      <c r="C381" t="n">
        <v>621</v>
      </c>
      <c r="D381" t="inlineStr">
        <is>
          <t>FICO 712 - 745</t>
        </is>
      </c>
      <c r="E381" t="inlineStr">
        <is>
          <t>ASSET_CLASS 4</t>
        </is>
      </c>
      <c r="F381" t="inlineStr">
        <is>
          <t>high</t>
        </is>
      </c>
      <c r="G381" t="n">
        <v>213</v>
      </c>
      <c r="H381" t="n">
        <v>1.854137295979501</v>
      </c>
      <c r="I381" t="inlineStr">
        <is>
          <t>Yes</t>
        </is>
      </c>
      <c r="J381" t="n">
        <v>6</v>
      </c>
      <c r="K381">
        <f>'_pockets'!$AI$621</f>
        <v/>
      </c>
      <c r="L381">
        <f>'_pockets'!$AJ$621</f>
        <v/>
      </c>
      <c r="M381">
        <f>IF(AND($A381='Pockets'!$D$18,$B381='Pockets'!$C$18,OR('Pockets'!$E$18="All",AND('Pockets'!$E$18="Worse and material",$K381="Yes",$L381="Yes"),AND('Pockets'!$E$18="Worse or not sure",OR($K381="Yes",$K381="Not sure")))),1,0)</f>
        <v/>
      </c>
      <c r="N381">
        <f>$N380+$M381</f>
        <v/>
      </c>
      <c r="O381" t="inlineStr">
        <is>
          <t>three-way</t>
        </is>
      </c>
      <c r="P381" t="inlineStr">
        <is>
          <t>gco_rate</t>
        </is>
      </c>
    </row>
    <row r="382">
      <c r="A382" t="inlineStr">
        <is>
          <t>Split by REV_DEBT</t>
        </is>
      </c>
      <c r="B382" t="inlineStr">
        <is>
          <t>Charge-offs</t>
        </is>
      </c>
      <c r="C382" t="n">
        <v>811</v>
      </c>
      <c r="D382" t="inlineStr">
        <is>
          <t>FICO 686 - 711</t>
        </is>
      </c>
      <c r="E382" t="inlineStr">
        <is>
          <t>ASSET_CLASS 4</t>
        </is>
      </c>
      <c r="F382" t="inlineStr">
        <is>
          <t>high</t>
        </is>
      </c>
      <c r="G382" t="n">
        <v>203</v>
      </c>
      <c r="H382" t="n">
        <v>1.87689759141844</v>
      </c>
      <c r="I382" t="inlineStr">
        <is>
          <t>Yes</t>
        </is>
      </c>
      <c r="J382" t="n">
        <v>7</v>
      </c>
      <c r="K382">
        <f>'_pockets'!$AI$811</f>
        <v/>
      </c>
      <c r="L382">
        <f>'_pockets'!$AJ$811</f>
        <v/>
      </c>
      <c r="M382">
        <f>IF(AND($A382='Pockets'!$D$18,$B382='Pockets'!$C$18,OR('Pockets'!$E$18="All",AND('Pockets'!$E$18="Worse and material",$K382="Yes",$L382="Yes"),AND('Pockets'!$E$18="Worse or not sure",OR($K382="Yes",$K382="Not sure")))),1,0)</f>
        <v/>
      </c>
      <c r="N382">
        <f>$N381+$M382</f>
        <v/>
      </c>
      <c r="O382" t="inlineStr">
        <is>
          <t>three-way</t>
        </is>
      </c>
      <c r="P382" t="inlineStr">
        <is>
          <t>gco_rate</t>
        </is>
      </c>
    </row>
    <row r="383">
      <c r="A383" t="inlineStr">
        <is>
          <t>Split by REV_DEBT</t>
        </is>
      </c>
      <c r="B383" t="inlineStr">
        <is>
          <t>Charge-offs</t>
        </is>
      </c>
      <c r="C383" t="n">
        <v>671</v>
      </c>
      <c r="D383" t="inlineStr">
        <is>
          <t>FICO 686 - 711</t>
        </is>
      </c>
      <c r="E383" t="inlineStr">
        <is>
          <t>ASSET_CLASS 1</t>
        </is>
      </c>
      <c r="F383" t="inlineStr">
        <is>
          <t>high</t>
        </is>
      </c>
      <c r="G383" t="n">
        <v>186</v>
      </c>
      <c r="H383" t="n">
        <v>1.919965748584618</v>
      </c>
      <c r="I383" t="inlineStr">
        <is>
          <t>Yes</t>
        </is>
      </c>
      <c r="J383" t="n">
        <v>8</v>
      </c>
      <c r="K383">
        <f>'_pockets'!$AI$671</f>
        <v/>
      </c>
      <c r="L383">
        <f>'_pockets'!$AJ$671</f>
        <v/>
      </c>
      <c r="M383">
        <f>IF(AND($A383='Pockets'!$D$18,$B383='Pockets'!$C$18,OR('Pockets'!$E$18="All",AND('Pockets'!$E$18="Worse and material",$K383="Yes",$L383="Yes"),AND('Pockets'!$E$18="Worse or not sure",OR($K383="Yes",$K383="Not sure")))),1,0)</f>
        <v/>
      </c>
      <c r="N383">
        <f>$N382+$M383</f>
        <v/>
      </c>
      <c r="O383" t="inlineStr">
        <is>
          <t>three-way</t>
        </is>
      </c>
      <c r="P383" t="inlineStr">
        <is>
          <t>gco_rate</t>
        </is>
      </c>
    </row>
    <row r="384">
      <c r="A384" t="inlineStr">
        <is>
          <t>Split by REV_DEBT</t>
        </is>
      </c>
      <c r="B384" t="inlineStr">
        <is>
          <t>Charge-offs</t>
        </is>
      </c>
      <c r="C384" t="n">
        <v>531</v>
      </c>
      <c r="D384" t="inlineStr">
        <is>
          <t>FICO 654 - 685</t>
        </is>
      </c>
      <c r="E384" t="inlineStr">
        <is>
          <t>Broker</t>
        </is>
      </c>
      <c r="F384" t="inlineStr">
        <is>
          <t>high</t>
        </is>
      </c>
      <c r="G384" t="n">
        <v>265</v>
      </c>
      <c r="H384" t="n">
        <v>1.758369793334915</v>
      </c>
      <c r="I384" t="inlineStr">
        <is>
          <t>Yes</t>
        </is>
      </c>
      <c r="J384" t="n">
        <v>9</v>
      </c>
      <c r="K384">
        <f>'_pockets'!$AI$531</f>
        <v/>
      </c>
      <c r="L384">
        <f>'_pockets'!$AJ$531</f>
        <v/>
      </c>
      <c r="M384">
        <f>IF(AND($A384='Pockets'!$D$18,$B384='Pockets'!$C$18,OR('Pockets'!$E$18="All",AND('Pockets'!$E$18="Worse and material",$K384="Yes",$L384="Yes"),AND('Pockets'!$E$18="Worse or not sure",OR($K384="Yes",$K384="Not sure")))),1,0)</f>
        <v/>
      </c>
      <c r="N384">
        <f>$N383+$M384</f>
        <v/>
      </c>
      <c r="O384" t="inlineStr">
        <is>
          <t>three-way</t>
        </is>
      </c>
      <c r="P384" t="inlineStr">
        <is>
          <t>gco_rate</t>
        </is>
      </c>
    </row>
    <row r="385">
      <c r="A385" t="inlineStr">
        <is>
          <t>Split by REV_DEBT</t>
        </is>
      </c>
      <c r="B385" t="inlineStr">
        <is>
          <t>Charge-offs</t>
        </is>
      </c>
      <c r="C385" t="n">
        <v>506</v>
      </c>
      <c r="D385" t="inlineStr">
        <is>
          <t>FICO 654 - 685</t>
        </is>
      </c>
      <c r="E385" t="inlineStr">
        <is>
          <t>Online</t>
        </is>
      </c>
      <c r="F385" t="inlineStr">
        <is>
          <t>high</t>
        </is>
      </c>
      <c r="G385" t="n">
        <v>252</v>
      </c>
      <c r="H385" t="n">
        <v>1.779364402594206</v>
      </c>
      <c r="I385" t="inlineStr">
        <is>
          <t>Yes</t>
        </is>
      </c>
      <c r="J385" t="n">
        <v>10</v>
      </c>
      <c r="K385">
        <f>'_pockets'!$AI$506</f>
        <v/>
      </c>
      <c r="L385">
        <f>'_pockets'!$AJ$506</f>
        <v/>
      </c>
      <c r="M385">
        <f>IF(AND($A385='Pockets'!$D$18,$B385='Pockets'!$C$18,OR('Pockets'!$E$18="All",AND('Pockets'!$E$18="Worse and material",$K385="Yes",$L385="Yes"),AND('Pockets'!$E$18="Worse or not sure",OR($K385="Yes",$K385="Not sure")))),1,0)</f>
        <v/>
      </c>
      <c r="N385">
        <f>$N384+$M385</f>
        <v/>
      </c>
      <c r="O385" t="inlineStr">
        <is>
          <t>three-way</t>
        </is>
      </c>
      <c r="P385" t="inlineStr">
        <is>
          <t>gco_rate</t>
        </is>
      </c>
    </row>
    <row r="386">
      <c r="A386" t="inlineStr">
        <is>
          <t>Split by REV_DEBT</t>
        </is>
      </c>
      <c r="B386" t="inlineStr">
        <is>
          <t>Charge-offs</t>
        </is>
      </c>
      <c r="C386" t="n">
        <v>776</v>
      </c>
      <c r="D386" t="inlineStr">
        <is>
          <t>FICO 686 - 711</t>
        </is>
      </c>
      <c r="E386" t="inlineStr">
        <is>
          <t>ASSET_CLASS 3</t>
        </is>
      </c>
      <c r="F386" t="inlineStr">
        <is>
          <t>high</t>
        </is>
      </c>
      <c r="G386" t="n">
        <v>194</v>
      </c>
      <c r="H386" t="n">
        <v>1.89895388068572</v>
      </c>
      <c r="I386" t="inlineStr">
        <is>
          <t>Yes</t>
        </is>
      </c>
      <c r="J386" t="n">
        <v>11</v>
      </c>
      <c r="K386">
        <f>'_pockets'!$AI$776</f>
        <v/>
      </c>
      <c r="L386">
        <f>'_pockets'!$AJ$776</f>
        <v/>
      </c>
      <c r="M386">
        <f>IF(AND($A386='Pockets'!$D$18,$B386='Pockets'!$C$18,OR('Pockets'!$E$18="All",AND('Pockets'!$E$18="Worse and material",$K386="Yes",$L386="Yes"),AND('Pockets'!$E$18="Worse or not sure",OR($K386="Yes",$K386="Not sure")))),1,0)</f>
        <v/>
      </c>
      <c r="N386">
        <f>$N385+$M386</f>
        <v/>
      </c>
      <c r="O386" t="inlineStr">
        <is>
          <t>three-way</t>
        </is>
      </c>
      <c r="P386" t="inlineStr">
        <is>
          <t>gco_rate</t>
        </is>
      </c>
    </row>
    <row r="387">
      <c r="A387" t="inlineStr">
        <is>
          <t>Split by REV_DEBT</t>
        </is>
      </c>
      <c r="B387" t="inlineStr">
        <is>
          <t>Charge-offs</t>
        </is>
      </c>
      <c r="C387" t="n">
        <v>691</v>
      </c>
      <c r="D387" t="inlineStr">
        <is>
          <t>FICO 496 - 653</t>
        </is>
      </c>
      <c r="E387" t="inlineStr">
        <is>
          <t>ASSET_CLASS 3</t>
        </is>
      </c>
      <c r="F387" t="inlineStr">
        <is>
          <t>high</t>
        </is>
      </c>
      <c r="G387" t="n">
        <v>175</v>
      </c>
      <c r="H387" t="n">
        <v>1.951315138031583</v>
      </c>
      <c r="I387" t="inlineStr">
        <is>
          <t>Yes</t>
        </is>
      </c>
      <c r="J387" t="n">
        <v>12</v>
      </c>
      <c r="K387">
        <f>'_pockets'!$AI$691</f>
        <v/>
      </c>
      <c r="L387">
        <f>'_pockets'!$AJ$691</f>
        <v/>
      </c>
      <c r="M387">
        <f>IF(AND($A387='Pockets'!$D$18,$B387='Pockets'!$C$18,OR('Pockets'!$E$18="All",AND('Pockets'!$E$18="Worse and material",$K387="Yes",$L387="Yes"),AND('Pockets'!$E$18="Worse or not sure",OR($K387="Yes",$K387="Not sure")))),1,0)</f>
        <v/>
      </c>
      <c r="N387">
        <f>$N386+$M387</f>
        <v/>
      </c>
      <c r="O387" t="inlineStr">
        <is>
          <t>three-way</t>
        </is>
      </c>
      <c r="P387" t="inlineStr">
        <is>
          <t>gco_rate</t>
        </is>
      </c>
    </row>
    <row r="388">
      <c r="A388" t="inlineStr">
        <is>
          <t>Split by REV_DEBT</t>
        </is>
      </c>
      <c r="B388" t="inlineStr">
        <is>
          <t>Charge-offs</t>
        </is>
      </c>
      <c r="C388" t="n">
        <v>626</v>
      </c>
      <c r="D388" t="inlineStr">
        <is>
          <t>FICO 746 - 921</t>
        </is>
      </c>
      <c r="E388" t="inlineStr">
        <is>
          <t>ASSET_CLASS 2</t>
        </is>
      </c>
      <c r="F388" t="inlineStr">
        <is>
          <t>high</t>
        </is>
      </c>
      <c r="G388" t="n">
        <v>199</v>
      </c>
      <c r="H388" t="n">
        <v>1.886505330327829</v>
      </c>
      <c r="I388" t="inlineStr">
        <is>
          <t>Yes</t>
        </is>
      </c>
      <c r="J388" t="n">
        <v>13</v>
      </c>
      <c r="K388">
        <f>'_pockets'!$AI$626</f>
        <v/>
      </c>
      <c r="L388">
        <f>'_pockets'!$AJ$626</f>
        <v/>
      </c>
      <c r="M388">
        <f>IF(AND($A388='Pockets'!$D$18,$B388='Pockets'!$C$18,OR('Pockets'!$E$18="All",AND('Pockets'!$E$18="Worse and material",$K388="Yes",$L388="Yes"),AND('Pockets'!$E$18="Worse or not sure",OR($K388="Yes",$K388="Not sure")))),1,0)</f>
        <v/>
      </c>
      <c r="N388">
        <f>$N387+$M388</f>
        <v/>
      </c>
      <c r="O388" t="inlineStr">
        <is>
          <t>three-way</t>
        </is>
      </c>
      <c r="P388" t="inlineStr">
        <is>
          <t>gco_rate</t>
        </is>
      </c>
    </row>
    <row r="389">
      <c r="A389" t="inlineStr">
        <is>
          <t>Split by REV_DEBT</t>
        </is>
      </c>
      <c r="B389" t="inlineStr">
        <is>
          <t>Charge-offs</t>
        </is>
      </c>
      <c r="C389" t="n">
        <v>791</v>
      </c>
      <c r="D389" t="inlineStr">
        <is>
          <t>FICO 496 - 653</t>
        </is>
      </c>
      <c r="E389" t="inlineStr">
        <is>
          <t>ASSET_CLASS 1</t>
        </is>
      </c>
      <c r="F389" t="inlineStr">
        <is>
          <t>high</t>
        </is>
      </c>
      <c r="G389" t="n">
        <v>210</v>
      </c>
      <c r="H389" t="n">
        <v>1.860785124193326</v>
      </c>
      <c r="I389" t="inlineStr">
        <is>
          <t>Yes</t>
        </is>
      </c>
      <c r="J389" t="n">
        <v>14</v>
      </c>
      <c r="K389">
        <f>'_pockets'!$AI$791</f>
        <v/>
      </c>
      <c r="L389">
        <f>'_pockets'!$AJ$791</f>
        <v/>
      </c>
      <c r="M389">
        <f>IF(AND($A389='Pockets'!$D$18,$B389='Pockets'!$C$18,OR('Pockets'!$E$18="All",AND('Pockets'!$E$18="Worse and material",$K389="Yes",$L389="Yes"),AND('Pockets'!$E$18="Worse or not sure",OR($K389="Yes",$K389="Not sure")))),1,0)</f>
        <v/>
      </c>
      <c r="N389">
        <f>$N388+$M389</f>
        <v/>
      </c>
      <c r="O389" t="inlineStr">
        <is>
          <t>three-way</t>
        </is>
      </c>
      <c r="P389" t="inlineStr">
        <is>
          <t>gco_rate</t>
        </is>
      </c>
    </row>
    <row r="390">
      <c r="A390" t="inlineStr">
        <is>
          <t>Split by REV_DEBT</t>
        </is>
      </c>
      <c r="B390" t="inlineStr">
        <is>
          <t>Charge-offs</t>
        </is>
      </c>
      <c r="C390" t="n">
        <v>471</v>
      </c>
      <c r="D390" t="inlineStr">
        <is>
          <t>FICO 654 - 685</t>
        </is>
      </c>
      <c r="E390" t="inlineStr">
        <is>
          <t>Branch</t>
        </is>
      </c>
      <c r="F390" t="inlineStr">
        <is>
          <t>high</t>
        </is>
      </c>
      <c r="G390" t="n">
        <v>251</v>
      </c>
      <c r="H390" t="n">
        <v>1.78105005814018</v>
      </c>
      <c r="I390" t="inlineStr">
        <is>
          <t>Yes</t>
        </is>
      </c>
      <c r="J390" t="n">
        <v>15</v>
      </c>
      <c r="K390">
        <f>'_pockets'!$AI$471</f>
        <v/>
      </c>
      <c r="L390">
        <f>'_pockets'!$AJ$471</f>
        <v/>
      </c>
      <c r="M390">
        <f>IF(AND($A390='Pockets'!$D$18,$B390='Pockets'!$C$18,OR('Pockets'!$E$18="All",AND('Pockets'!$E$18="Worse and material",$K390="Yes",$L390="Yes"),AND('Pockets'!$E$18="Worse or not sure",OR($K390="Yes",$K390="Not sure")))),1,0)</f>
        <v/>
      </c>
      <c r="N390">
        <f>$N389+$M390</f>
        <v/>
      </c>
      <c r="O390" t="inlineStr">
        <is>
          <t>three-way</t>
        </is>
      </c>
      <c r="P390" t="inlineStr">
        <is>
          <t>gco_rate</t>
        </is>
      </c>
    </row>
    <row r="391">
      <c r="A391" t="inlineStr">
        <is>
          <t>Split by REV_DEBT</t>
        </is>
      </c>
      <c r="B391" t="inlineStr">
        <is>
          <t>Charge-offs</t>
        </is>
      </c>
      <c r="C391" t="n">
        <v>706</v>
      </c>
      <c r="D391" t="inlineStr">
        <is>
          <t>FICO 654 - 685</t>
        </is>
      </c>
      <c r="E391" t="inlineStr">
        <is>
          <t>ASSET_CLASS 3</t>
        </is>
      </c>
      <c r="F391" t="inlineStr">
        <is>
          <t>high</t>
        </is>
      </c>
      <c r="G391" t="n">
        <v>188</v>
      </c>
      <c r="H391" t="n">
        <v>1.914580135282279</v>
      </c>
      <c r="I391" t="inlineStr">
        <is>
          <t>Yes</t>
        </is>
      </c>
      <c r="J391" t="n">
        <v>16</v>
      </c>
      <c r="K391">
        <f>'_pockets'!$AI$706</f>
        <v/>
      </c>
      <c r="L391">
        <f>'_pockets'!$AJ$706</f>
        <v/>
      </c>
      <c r="M391">
        <f>IF(AND($A391='Pockets'!$D$18,$B391='Pockets'!$C$18,OR('Pockets'!$E$18="All",AND('Pockets'!$E$18="Worse and material",$K391="Yes",$L391="Yes"),AND('Pockets'!$E$18="Worse or not sure",OR($K391="Yes",$K391="Not sure")))),1,0)</f>
        <v/>
      </c>
      <c r="N391">
        <f>$N390+$M391</f>
        <v/>
      </c>
      <c r="O391" t="inlineStr">
        <is>
          <t>three-way</t>
        </is>
      </c>
      <c r="P391" t="inlineStr">
        <is>
          <t>gco_rate</t>
        </is>
      </c>
    </row>
    <row r="392">
      <c r="A392" t="inlineStr">
        <is>
          <t>Split by REV_DEBT</t>
        </is>
      </c>
      <c r="B392" t="inlineStr">
        <is>
          <t>Charge-offs</t>
        </is>
      </c>
      <c r="C392" t="n">
        <v>441</v>
      </c>
      <c r="D392" t="inlineStr">
        <is>
          <t>FICO 496 - 653</t>
        </is>
      </c>
      <c r="E392" t="inlineStr">
        <is>
          <t>Broker</t>
        </is>
      </c>
      <c r="F392" t="inlineStr">
        <is>
          <t>low</t>
        </is>
      </c>
      <c r="G392" t="n">
        <v>262</v>
      </c>
      <c r="H392" t="n">
        <v>1.763068744857638</v>
      </c>
      <c r="I392" t="inlineStr">
        <is>
          <t>Yes</t>
        </is>
      </c>
      <c r="J392" t="n">
        <v>17</v>
      </c>
      <c r="K392">
        <f>'_pockets'!$AI$441</f>
        <v/>
      </c>
      <c r="L392">
        <f>'_pockets'!$AJ$441</f>
        <v/>
      </c>
      <c r="M392">
        <f>IF(AND($A392='Pockets'!$D$18,$B392='Pockets'!$C$18,OR('Pockets'!$E$18="All",AND('Pockets'!$E$18="Worse and material",$K392="Yes",$L392="Yes"),AND('Pockets'!$E$18="Worse or not sure",OR($K392="Yes",$K392="Not sure")))),1,0)</f>
        <v/>
      </c>
      <c r="N392">
        <f>$N391+$M392</f>
        <v/>
      </c>
      <c r="O392" t="inlineStr">
        <is>
          <t>three-way</t>
        </is>
      </c>
      <c r="P392" t="inlineStr">
        <is>
          <t>gco_rate</t>
        </is>
      </c>
    </row>
    <row r="393">
      <c r="A393" t="inlineStr">
        <is>
          <t>Split by REV_DEBT</t>
        </is>
      </c>
      <c r="B393" t="inlineStr">
        <is>
          <t>Charge-offs</t>
        </is>
      </c>
      <c r="C393" t="n">
        <v>541</v>
      </c>
      <c r="D393" t="inlineStr">
        <is>
          <t>FICO 746 - 921</t>
        </is>
      </c>
      <c r="E393" t="inlineStr">
        <is>
          <t>Broker</t>
        </is>
      </c>
      <c r="F393" t="inlineStr">
        <is>
          <t>high</t>
        </is>
      </c>
      <c r="G393" t="n">
        <v>268</v>
      </c>
      <c r="H393" t="n">
        <v>1.753753883202778</v>
      </c>
      <c r="I393" t="inlineStr">
        <is>
          <t>Yes</t>
        </is>
      </c>
      <c r="J393" t="n">
        <v>18</v>
      </c>
      <c r="K393">
        <f>'_pockets'!$AI$541</f>
        <v/>
      </c>
      <c r="L393">
        <f>'_pockets'!$AJ$541</f>
        <v/>
      </c>
      <c r="M393">
        <f>IF(AND($A393='Pockets'!$D$18,$B393='Pockets'!$C$18,OR('Pockets'!$E$18="All",AND('Pockets'!$E$18="Worse and material",$K393="Yes",$L393="Yes"),AND('Pockets'!$E$18="Worse or not sure",OR($K393="Yes",$K393="Not sure")))),1,0)</f>
        <v/>
      </c>
      <c r="N393">
        <f>$N392+$M393</f>
        <v/>
      </c>
      <c r="O393" t="inlineStr">
        <is>
          <t>three-way</t>
        </is>
      </c>
      <c r="P393" t="inlineStr">
        <is>
          <t>gco_rate</t>
        </is>
      </c>
    </row>
    <row r="394">
      <c r="A394" t="inlineStr">
        <is>
          <t>Split by REV_DEBT</t>
        </is>
      </c>
      <c r="B394" t="inlineStr">
        <is>
          <t>Charge-offs</t>
        </is>
      </c>
      <c r="C394" t="n">
        <v>551</v>
      </c>
      <c r="D394" t="inlineStr">
        <is>
          <t>FICO 686 - 711</t>
        </is>
      </c>
      <c r="E394" t="inlineStr">
        <is>
          <t>Broker</t>
        </is>
      </c>
      <c r="F394" t="inlineStr">
        <is>
          <t>high</t>
        </is>
      </c>
      <c r="G394" t="n">
        <v>250</v>
      </c>
      <c r="H394" t="n">
        <v>1.782746334244623</v>
      </c>
      <c r="I394" t="inlineStr">
        <is>
          <t>Yes</t>
        </is>
      </c>
      <c r="J394" t="n">
        <v>19</v>
      </c>
      <c r="K394">
        <f>'_pockets'!$AI$551</f>
        <v/>
      </c>
      <c r="L394">
        <f>'_pockets'!$AJ$551</f>
        <v/>
      </c>
      <c r="M394">
        <f>IF(AND($A394='Pockets'!$D$18,$B394='Pockets'!$C$18,OR('Pockets'!$E$18="All",AND('Pockets'!$E$18="Worse and material",$K394="Yes",$L394="Yes"),AND('Pockets'!$E$18="Worse or not sure",OR($K394="Yes",$K394="Not sure")))),1,0)</f>
        <v/>
      </c>
      <c r="N394">
        <f>$N393+$M394</f>
        <v/>
      </c>
      <c r="O394" t="inlineStr">
        <is>
          <t>three-way</t>
        </is>
      </c>
      <c r="P394" t="inlineStr">
        <is>
          <t>gco_rate</t>
        </is>
      </c>
    </row>
    <row r="395">
      <c r="A395" t="inlineStr">
        <is>
          <t>Split by REV_DEBT</t>
        </is>
      </c>
      <c r="B395" t="inlineStr">
        <is>
          <t>Charge-offs</t>
        </is>
      </c>
      <c r="C395" t="n">
        <v>591</v>
      </c>
      <c r="D395" t="inlineStr">
        <is>
          <t>FICO (marked missing)</t>
        </is>
      </c>
      <c r="E395" t="inlineStr">
        <is>
          <t>Broker</t>
        </is>
      </c>
      <c r="F395" t="inlineStr">
        <is>
          <t>high</t>
        </is>
      </c>
      <c r="G395" t="n">
        <v>27</v>
      </c>
      <c r="H395" t="n">
        <v>3.777270047908649</v>
      </c>
      <c r="I395" t="inlineStr">
        <is>
          <t>Yes</t>
        </is>
      </c>
      <c r="J395" t="n">
        <v>20</v>
      </c>
      <c r="K395">
        <f>'_pockets'!$AI$591</f>
        <v/>
      </c>
      <c r="L395">
        <f>'_pockets'!$AJ$591</f>
        <v/>
      </c>
      <c r="M395">
        <f>IF(AND($A395='Pockets'!$D$18,$B395='Pockets'!$C$18,OR('Pockets'!$E$18="All",AND('Pockets'!$E$18="Worse and material",$K395="Yes",$L395="Yes"),AND('Pockets'!$E$18="Worse or not sure",OR($K395="Yes",$K395="Not sure")))),1,0)</f>
        <v/>
      </c>
      <c r="N395">
        <f>$N394+$M395</f>
        <v/>
      </c>
      <c r="O395" t="inlineStr">
        <is>
          <t>three-way</t>
        </is>
      </c>
      <c r="P395" t="inlineStr">
        <is>
          <t>gco_rate</t>
        </is>
      </c>
    </row>
    <row r="396">
      <c r="A396" t="inlineStr">
        <is>
          <t>Split by REV_DEBT</t>
        </is>
      </c>
      <c r="B396" t="inlineStr">
        <is>
          <t>Charge-offs</t>
        </is>
      </c>
      <c r="C396" t="n">
        <v>666</v>
      </c>
      <c r="D396" t="inlineStr">
        <is>
          <t>FICO 654 - 685</t>
        </is>
      </c>
      <c r="E396" t="inlineStr">
        <is>
          <t>ASSET_CLASS 2</t>
        </is>
      </c>
      <c r="F396" t="inlineStr">
        <is>
          <t>high</t>
        </is>
      </c>
      <c r="G396" t="n">
        <v>177</v>
      </c>
      <c r="H396" t="n">
        <v>1.945385969294194</v>
      </c>
      <c r="I396" t="inlineStr">
        <is>
          <t>Yes</t>
        </is>
      </c>
      <c r="J396" t="n">
        <v>21</v>
      </c>
      <c r="K396">
        <f>'_pockets'!$AI$666</f>
        <v/>
      </c>
      <c r="L396">
        <f>'_pockets'!$AJ$666</f>
        <v/>
      </c>
      <c r="M396">
        <f>IF(AND($A396='Pockets'!$D$18,$B396='Pockets'!$C$18,OR('Pockets'!$E$18="All",AND('Pockets'!$E$18="Worse and material",$K396="Yes",$L396="Yes"),AND('Pockets'!$E$18="Worse or not sure",OR($K396="Yes",$K396="Not sure")))),1,0)</f>
        <v/>
      </c>
      <c r="N396">
        <f>$N395+$M396</f>
        <v/>
      </c>
      <c r="O396" t="inlineStr">
        <is>
          <t>three-way</t>
        </is>
      </c>
      <c r="P396" t="inlineStr">
        <is>
          <t>gco_rate</t>
        </is>
      </c>
    </row>
    <row r="397">
      <c r="A397" t="inlineStr">
        <is>
          <t>Split by REV_DEBT</t>
        </is>
      </c>
      <c r="B397" t="inlineStr">
        <is>
          <t>Charge-offs</t>
        </is>
      </c>
      <c r="C397" t="n">
        <v>546</v>
      </c>
      <c r="D397" t="inlineStr">
        <is>
          <t>FICO 746 - 921</t>
        </is>
      </c>
      <c r="E397" t="inlineStr">
        <is>
          <t>Branch</t>
        </is>
      </c>
      <c r="F397" t="inlineStr">
        <is>
          <t>high</t>
        </is>
      </c>
      <c r="G397" t="n">
        <v>259</v>
      </c>
      <c r="H397" t="n">
        <v>1.767853225842448</v>
      </c>
      <c r="I397" t="inlineStr">
        <is>
          <t>Yes</t>
        </is>
      </c>
      <c r="J397" t="n">
        <v>22</v>
      </c>
      <c r="K397">
        <f>'_pockets'!$AI$546</f>
        <v/>
      </c>
      <c r="L397">
        <f>'_pockets'!$AJ$546</f>
        <v/>
      </c>
      <c r="M397">
        <f>IF(AND($A397='Pockets'!$D$18,$B397='Pockets'!$C$18,OR('Pockets'!$E$18="All",AND('Pockets'!$E$18="Worse and material",$K397="Yes",$L397="Yes"),AND('Pockets'!$E$18="Worse or not sure",OR($K397="Yes",$K397="Not sure")))),1,0)</f>
        <v/>
      </c>
      <c r="N397">
        <f>$N396+$M397</f>
        <v/>
      </c>
      <c r="O397" t="inlineStr">
        <is>
          <t>three-way</t>
        </is>
      </c>
      <c r="P397" t="inlineStr">
        <is>
          <t>gco_rate</t>
        </is>
      </c>
    </row>
    <row r="398">
      <c r="A398" t="inlineStr">
        <is>
          <t>Split by REV_DEBT</t>
        </is>
      </c>
      <c r="B398" t="inlineStr">
        <is>
          <t>Charge-offs</t>
        </is>
      </c>
      <c r="C398" t="n">
        <v>451</v>
      </c>
      <c r="D398" t="inlineStr">
        <is>
          <t>FICO 712 - 745</t>
        </is>
      </c>
      <c r="E398" t="inlineStr">
        <is>
          <t>Online</t>
        </is>
      </c>
      <c r="F398" t="inlineStr">
        <is>
          <t>low</t>
        </is>
      </c>
      <c r="G398" t="n">
        <v>282</v>
      </c>
      <c r="H398" t="n">
        <v>1.733243256317988</v>
      </c>
      <c r="I398" t="inlineStr">
        <is>
          <t>Yes</t>
        </is>
      </c>
      <c r="J398" t="n">
        <v>23</v>
      </c>
      <c r="K398">
        <f>'_pockets'!$AI$451</f>
        <v/>
      </c>
      <c r="L398">
        <f>'_pockets'!$AJ$451</f>
        <v/>
      </c>
      <c r="M398">
        <f>IF(AND($A398='Pockets'!$D$18,$B398='Pockets'!$C$18,OR('Pockets'!$E$18="All",AND('Pockets'!$E$18="Worse and material",$K398="Yes",$L398="Yes"),AND('Pockets'!$E$18="Worse or not sure",OR($K398="Yes",$K398="Not sure")))),1,0)</f>
        <v/>
      </c>
      <c r="N398">
        <f>$N397+$M398</f>
        <v/>
      </c>
      <c r="O398" t="inlineStr">
        <is>
          <t>three-way</t>
        </is>
      </c>
      <c r="P398" t="inlineStr">
        <is>
          <t>gco_rate</t>
        </is>
      </c>
    </row>
    <row r="399">
      <c r="A399" t="inlineStr">
        <is>
          <t>Split by REV_DEBT</t>
        </is>
      </c>
      <c r="B399" t="inlineStr">
        <is>
          <t>Charge-offs</t>
        </is>
      </c>
      <c r="C399" t="n">
        <v>836</v>
      </c>
      <c r="D399" t="inlineStr">
        <is>
          <t>FICO (marked missing)</t>
        </is>
      </c>
      <c r="E399" t="inlineStr">
        <is>
          <t>ASSET_CLASS 2</t>
        </is>
      </c>
      <c r="F399" t="inlineStr">
        <is>
          <t>high</t>
        </is>
      </c>
      <c r="G399" t="n">
        <v>18</v>
      </c>
      <c r="H399" t="n">
        <v>4.552903450111931</v>
      </c>
      <c r="I399" t="inlineStr">
        <is>
          <t>Yes</t>
        </is>
      </c>
      <c r="J399" t="n">
        <v>24</v>
      </c>
      <c r="K399">
        <f>'_pockets'!$AI$836</f>
        <v/>
      </c>
      <c r="L399">
        <f>'_pockets'!$AJ$836</f>
        <v/>
      </c>
      <c r="M399">
        <f>IF(AND($A399='Pockets'!$D$18,$B399='Pockets'!$C$18,OR('Pockets'!$E$18="All",AND('Pockets'!$E$18="Worse and material",$K399="Yes",$L399="Yes"),AND('Pockets'!$E$18="Worse or not sure",OR($K399="Yes",$K399="Not sure")))),1,0)</f>
        <v/>
      </c>
      <c r="N399">
        <f>$N398+$M399</f>
        <v/>
      </c>
      <c r="O399" t="inlineStr">
        <is>
          <t>three-way</t>
        </is>
      </c>
      <c r="P399" t="inlineStr">
        <is>
          <t>gco_rate</t>
        </is>
      </c>
    </row>
    <row r="400">
      <c r="A400" t="inlineStr">
        <is>
          <t>Split by REV_DEBT</t>
        </is>
      </c>
      <c r="B400" t="inlineStr">
        <is>
          <t>Charge-offs</t>
        </is>
      </c>
      <c r="C400" t="n">
        <v>681</v>
      </c>
      <c r="D400" t="inlineStr">
        <is>
          <t>FICO 654 - 685</t>
        </is>
      </c>
      <c r="E400" t="inlineStr">
        <is>
          <t>ASSET_CLASS 1</t>
        </is>
      </c>
      <c r="F400" t="inlineStr">
        <is>
          <t>high</t>
        </is>
      </c>
      <c r="G400" t="n">
        <v>198</v>
      </c>
      <c r="H400" t="n">
        <v>1.888955174915606</v>
      </c>
      <c r="I400" t="inlineStr">
        <is>
          <t>Yes</t>
        </is>
      </c>
      <c r="J400" t="n">
        <v>25</v>
      </c>
      <c r="K400">
        <f>'_pockets'!$AI$681</f>
        <v/>
      </c>
      <c r="L400">
        <f>'_pockets'!$AJ$681</f>
        <v/>
      </c>
      <c r="M400">
        <f>IF(AND($A400='Pockets'!$D$18,$B400='Pockets'!$C$18,OR('Pockets'!$E$18="All",AND('Pockets'!$E$18="Worse and material",$K400="Yes",$L400="Yes"),AND('Pockets'!$E$18="Worse or not sure",OR($K400="Yes",$K400="Not sure")))),1,0)</f>
        <v/>
      </c>
      <c r="N400">
        <f>$N399+$M400</f>
        <v/>
      </c>
      <c r="O400" t="inlineStr">
        <is>
          <t>three-way</t>
        </is>
      </c>
      <c r="P400" t="inlineStr">
        <is>
          <t>gco_rate</t>
        </is>
      </c>
    </row>
    <row r="401">
      <c r="A401" t="inlineStr">
        <is>
          <t>Split by REV_DEBT</t>
        </is>
      </c>
      <c r="B401" t="inlineStr">
        <is>
          <t>Charge-offs</t>
        </is>
      </c>
      <c r="C401" t="n">
        <v>426</v>
      </c>
      <c r="D401" t="inlineStr">
        <is>
          <t>FICO 712 - 745</t>
        </is>
      </c>
      <c r="E401" t="inlineStr">
        <is>
          <t>Branch</t>
        </is>
      </c>
      <c r="F401" t="inlineStr">
        <is>
          <t>high</t>
        </is>
      </c>
      <c r="G401" t="n">
        <v>268</v>
      </c>
      <c r="H401" t="n">
        <v>1.753753883202778</v>
      </c>
      <c r="I401" t="inlineStr">
        <is>
          <t>Yes</t>
        </is>
      </c>
      <c r="J401" t="n">
        <v>26</v>
      </c>
      <c r="K401">
        <f>'_pockets'!$AI$426</f>
        <v/>
      </c>
      <c r="L401">
        <f>'_pockets'!$AJ$426</f>
        <v/>
      </c>
      <c r="M401">
        <f>IF(AND($A401='Pockets'!$D$18,$B401='Pockets'!$C$18,OR('Pockets'!$E$18="All",AND('Pockets'!$E$18="Worse and material",$K401="Yes",$L401="Yes"),AND('Pockets'!$E$18="Worse or not sure",OR($K401="Yes",$K401="Not sure")))),1,0)</f>
        <v/>
      </c>
      <c r="N401">
        <f>$N400+$M401</f>
        <v/>
      </c>
      <c r="O401" t="inlineStr">
        <is>
          <t>three-way</t>
        </is>
      </c>
      <c r="P401" t="inlineStr">
        <is>
          <t>gco_rate</t>
        </is>
      </c>
    </row>
    <row r="402">
      <c r="A402" t="inlineStr">
        <is>
          <t>Split by REV_DEBT</t>
        </is>
      </c>
      <c r="B402" t="inlineStr">
        <is>
          <t>Charge-offs</t>
        </is>
      </c>
      <c r="C402" t="n">
        <v>756</v>
      </c>
      <c r="D402" t="inlineStr">
        <is>
          <t>FICO 746 - 921</t>
        </is>
      </c>
      <c r="E402" t="inlineStr">
        <is>
          <t>ASSET_CLASS 4</t>
        </is>
      </c>
      <c r="F402" t="inlineStr">
        <is>
          <t>high</t>
        </is>
      </c>
      <c r="G402" t="n">
        <v>186</v>
      </c>
      <c r="H402" t="n">
        <v>1.919965748584618</v>
      </c>
      <c r="I402" t="inlineStr">
        <is>
          <t>Yes</t>
        </is>
      </c>
      <c r="J402" t="n">
        <v>27</v>
      </c>
      <c r="K402">
        <f>'_pockets'!$AI$756</f>
        <v/>
      </c>
      <c r="L402">
        <f>'_pockets'!$AJ$756</f>
        <v/>
      </c>
      <c r="M402">
        <f>IF(AND($A402='Pockets'!$D$18,$B402='Pockets'!$C$18,OR('Pockets'!$E$18="All",AND('Pockets'!$E$18="Worse and material",$K402="Yes",$L402="Yes"),AND('Pockets'!$E$18="Worse or not sure",OR($K402="Yes",$K402="Not sure")))),1,0)</f>
        <v/>
      </c>
      <c r="N402">
        <f>$N401+$M402</f>
        <v/>
      </c>
      <c r="O402" t="inlineStr">
        <is>
          <t>three-way</t>
        </is>
      </c>
      <c r="P402" t="inlineStr">
        <is>
          <t>gco_rate</t>
        </is>
      </c>
    </row>
    <row r="403">
      <c r="A403" t="inlineStr">
        <is>
          <t>Split by REV_DEBT</t>
        </is>
      </c>
      <c r="B403" t="inlineStr">
        <is>
          <t>Charge-offs</t>
        </is>
      </c>
      <c r="C403" t="n">
        <v>561</v>
      </c>
      <c r="D403" t="inlineStr">
        <is>
          <t>FICO 686 - 711</t>
        </is>
      </c>
      <c r="E403" t="inlineStr">
        <is>
          <t>Branch</t>
        </is>
      </c>
      <c r="F403" t="inlineStr">
        <is>
          <t>high</t>
        </is>
      </c>
      <c r="G403" t="n">
        <v>257</v>
      </c>
      <c r="H403" t="n">
        <v>1.771091672184101</v>
      </c>
      <c r="I403" t="inlineStr">
        <is>
          <t>Yes</t>
        </is>
      </c>
      <c r="J403" t="n">
        <v>28</v>
      </c>
      <c r="K403">
        <f>'_pockets'!$AI$561</f>
        <v/>
      </c>
      <c r="L403">
        <f>'_pockets'!$AJ$561</f>
        <v/>
      </c>
      <c r="M403">
        <f>IF(AND($A403='Pockets'!$D$18,$B403='Pockets'!$C$18,OR('Pockets'!$E$18="All",AND('Pockets'!$E$18="Worse and material",$K403="Yes",$L403="Yes"),AND('Pockets'!$E$18="Worse or not sure",OR($K403="Yes",$K403="Not sure")))),1,0)</f>
        <v/>
      </c>
      <c r="N403">
        <f>$N402+$M403</f>
        <v/>
      </c>
      <c r="O403" t="inlineStr">
        <is>
          <t>three-way</t>
        </is>
      </c>
      <c r="P403" t="inlineStr">
        <is>
          <t>gco_rate</t>
        </is>
      </c>
    </row>
    <row r="404">
      <c r="A404" t="inlineStr">
        <is>
          <t>Split by REV_DEBT</t>
        </is>
      </c>
      <c r="B404" t="inlineStr">
        <is>
          <t>Charge-offs</t>
        </is>
      </c>
      <c r="C404" t="n">
        <v>741</v>
      </c>
      <c r="D404" t="inlineStr">
        <is>
          <t>FICO 712 - 745</t>
        </is>
      </c>
      <c r="E404" t="inlineStr">
        <is>
          <t>ASSET_CLASS 1</t>
        </is>
      </c>
      <c r="F404" t="inlineStr">
        <is>
          <t>high</t>
        </is>
      </c>
      <c r="G404" t="n">
        <v>180</v>
      </c>
      <c r="H404" t="n">
        <v>1.936688816548304</v>
      </c>
      <c r="I404" t="inlineStr">
        <is>
          <t>Yes</t>
        </is>
      </c>
      <c r="J404" t="n">
        <v>29</v>
      </c>
      <c r="K404">
        <f>'_pockets'!$AI$741</f>
        <v/>
      </c>
      <c r="L404">
        <f>'_pockets'!$AJ$741</f>
        <v/>
      </c>
      <c r="M404">
        <f>IF(AND($A404='Pockets'!$D$18,$B404='Pockets'!$C$18,OR('Pockets'!$E$18="All",AND('Pockets'!$E$18="Worse and material",$K404="Yes",$L404="Yes"),AND('Pockets'!$E$18="Worse or not sure",OR($K404="Yes",$K404="Not sure")))),1,0)</f>
        <v/>
      </c>
      <c r="N404">
        <f>$N403+$M404</f>
        <v/>
      </c>
      <c r="O404" t="inlineStr">
        <is>
          <t>three-way</t>
        </is>
      </c>
      <c r="P404" t="inlineStr">
        <is>
          <t>gco_rate</t>
        </is>
      </c>
    </row>
    <row r="405">
      <c r="A405" t="inlineStr">
        <is>
          <t>Split by REV_DEBT</t>
        </is>
      </c>
      <c r="B405" t="inlineStr">
        <is>
          <t>Charge-offs</t>
        </is>
      </c>
      <c r="C405" t="n">
        <v>641</v>
      </c>
      <c r="D405" t="inlineStr">
        <is>
          <t>FICO 712 - 745</t>
        </is>
      </c>
      <c r="E405" t="inlineStr">
        <is>
          <t>ASSET_CLASS 4</t>
        </is>
      </c>
      <c r="F405" t="inlineStr">
        <is>
          <t>low</t>
        </is>
      </c>
      <c r="G405" t="n">
        <v>214</v>
      </c>
      <c r="H405" t="n">
        <v>1.851954154960251</v>
      </c>
      <c r="I405" t="inlineStr">
        <is>
          <t>Yes</t>
        </is>
      </c>
      <c r="J405" t="n">
        <v>30</v>
      </c>
      <c r="K405">
        <f>'_pockets'!$AI$641</f>
        <v/>
      </c>
      <c r="L405">
        <f>'_pockets'!$AJ$641</f>
        <v/>
      </c>
      <c r="M405">
        <f>IF(AND($A405='Pockets'!$D$18,$B405='Pockets'!$C$18,OR('Pockets'!$E$18="All",AND('Pockets'!$E$18="Worse and material",$K405="Yes",$L405="Yes"),AND('Pockets'!$E$18="Worse or not sure",OR($K405="Yes",$K405="Not sure")))),1,0)</f>
        <v/>
      </c>
      <c r="N405">
        <f>$N404+$M405</f>
        <v/>
      </c>
      <c r="O405" t="inlineStr">
        <is>
          <t>three-way</t>
        </is>
      </c>
      <c r="P405" t="inlineStr">
        <is>
          <t>gco_rate</t>
        </is>
      </c>
    </row>
    <row r="406">
      <c r="A406" t="inlineStr">
        <is>
          <t>Split by REV_DEBT</t>
        </is>
      </c>
      <c r="B406" t="inlineStr">
        <is>
          <t>Charge-offs</t>
        </is>
      </c>
      <c r="C406" t="n">
        <v>746</v>
      </c>
      <c r="D406" t="inlineStr">
        <is>
          <t>FICO (marked missing)</t>
        </is>
      </c>
      <c r="E406" t="inlineStr">
        <is>
          <t>ASSET_CLASS 3</t>
        </is>
      </c>
      <c r="F406" t="inlineStr">
        <is>
          <t>low</t>
        </is>
      </c>
      <c r="G406" t="n">
        <v>22</v>
      </c>
      <c r="H406" t="n">
        <v>4.142900988376738</v>
      </c>
      <c r="I406" t="inlineStr">
        <is>
          <t>Yes</t>
        </is>
      </c>
      <c r="J406" t="n">
        <v>31</v>
      </c>
      <c r="K406">
        <f>'_pockets'!$AI$746</f>
        <v/>
      </c>
      <c r="L406">
        <f>'_pockets'!$AJ$746</f>
        <v/>
      </c>
      <c r="M406">
        <f>IF(AND($A406='Pockets'!$D$18,$B406='Pockets'!$C$18,OR('Pockets'!$E$18="All",AND('Pockets'!$E$18="Worse and material",$K406="Yes",$L406="Yes"),AND('Pockets'!$E$18="Worse or not sure",OR($K406="Yes",$K406="Not sure")))),1,0)</f>
        <v/>
      </c>
      <c r="N406">
        <f>$N405+$M406</f>
        <v/>
      </c>
      <c r="O406" t="inlineStr">
        <is>
          <t>three-way</t>
        </is>
      </c>
      <c r="P406" t="inlineStr">
        <is>
          <t>gco_rate</t>
        </is>
      </c>
    </row>
    <row r="407">
      <c r="A407" t="inlineStr">
        <is>
          <t>Split by REV_DEBT</t>
        </is>
      </c>
      <c r="B407" t="inlineStr">
        <is>
          <t>Charge-offs</t>
        </is>
      </c>
      <c r="C407" t="n">
        <v>646</v>
      </c>
      <c r="D407" t="inlineStr">
        <is>
          <t>FICO 746 - 921</t>
        </is>
      </c>
      <c r="E407" t="inlineStr">
        <is>
          <t>ASSET_CLASS 1</t>
        </is>
      </c>
      <c r="F407" t="inlineStr">
        <is>
          <t>low</t>
        </is>
      </c>
      <c r="G407" t="n">
        <v>207</v>
      </c>
      <c r="H407" t="n">
        <v>1.867584875235872</v>
      </c>
      <c r="I407" t="inlineStr">
        <is>
          <t>Yes</t>
        </is>
      </c>
      <c r="J407" t="n">
        <v>32</v>
      </c>
      <c r="K407">
        <f>'_pockets'!$AI$646</f>
        <v/>
      </c>
      <c r="L407">
        <f>'_pockets'!$AJ$646</f>
        <v/>
      </c>
      <c r="M407">
        <f>IF(AND($A407='Pockets'!$D$18,$B407='Pockets'!$C$18,OR('Pockets'!$E$18="All",AND('Pockets'!$E$18="Worse and material",$K407="Yes",$L407="Yes"),AND('Pockets'!$E$18="Worse or not sure",OR($K407="Yes",$K407="Not sure")))),1,0)</f>
        <v/>
      </c>
      <c r="N407">
        <f>$N406+$M407</f>
        <v/>
      </c>
      <c r="O407" t="inlineStr">
        <is>
          <t>three-way</t>
        </is>
      </c>
      <c r="P407" t="inlineStr">
        <is>
          <t>gco_rate</t>
        </is>
      </c>
    </row>
    <row r="408">
      <c r="A408" t="inlineStr">
        <is>
          <t>Split by REV_DEBT</t>
        </is>
      </c>
      <c r="B408" t="inlineStr">
        <is>
          <t>Charge-offs</t>
        </is>
      </c>
      <c r="C408" t="n">
        <v>536</v>
      </c>
      <c r="D408" t="inlineStr">
        <is>
          <t>FICO (marked missing)</t>
        </is>
      </c>
      <c r="E408" t="inlineStr">
        <is>
          <t>Online</t>
        </is>
      </c>
      <c r="F408" t="inlineStr">
        <is>
          <t>low</t>
        </is>
      </c>
      <c r="G408" t="n">
        <v>28</v>
      </c>
      <c r="H408" t="n">
        <v>3.717344432619912</v>
      </c>
      <c r="I408" t="inlineStr">
        <is>
          <t>Yes</t>
        </is>
      </c>
      <c r="J408" t="n">
        <v>33</v>
      </c>
      <c r="K408">
        <f>'_pockets'!$AI$536</f>
        <v/>
      </c>
      <c r="L408">
        <f>'_pockets'!$AJ$536</f>
        <v/>
      </c>
      <c r="M408">
        <f>IF(AND($A408='Pockets'!$D$18,$B408='Pockets'!$C$18,OR('Pockets'!$E$18="All",AND('Pockets'!$E$18="Worse and material",$K408="Yes",$L408="Yes"),AND('Pockets'!$E$18="Worse or not sure",OR($K408="Yes",$K408="Not sure")))),1,0)</f>
        <v/>
      </c>
      <c r="N408">
        <f>$N407+$M408</f>
        <v/>
      </c>
      <c r="O408" t="inlineStr">
        <is>
          <t>three-way</t>
        </is>
      </c>
      <c r="P408" t="inlineStr">
        <is>
          <t>gco_rate</t>
        </is>
      </c>
    </row>
    <row r="409">
      <c r="A409" t="inlineStr">
        <is>
          <t>Split by REV_DEBT</t>
        </is>
      </c>
      <c r="B409" t="inlineStr">
        <is>
          <t>Charge-offs</t>
        </is>
      </c>
      <c r="C409" t="n">
        <v>826</v>
      </c>
      <c r="D409" t="inlineStr">
        <is>
          <t>FICO (marked missing)</t>
        </is>
      </c>
      <c r="E409" t="inlineStr">
        <is>
          <t>ASSET_CLASS 2</t>
        </is>
      </c>
      <c r="F409" t="inlineStr">
        <is>
          <t>low</t>
        </is>
      </c>
      <c r="G409" t="n">
        <v>18</v>
      </c>
      <c r="H409" t="n">
        <v>4.552903450111931</v>
      </c>
      <c r="I409" t="inlineStr">
        <is>
          <t>Yes</t>
        </is>
      </c>
      <c r="J409" t="n">
        <v>34</v>
      </c>
      <c r="K409">
        <f>'_pockets'!$AI$826</f>
        <v/>
      </c>
      <c r="L409">
        <f>'_pockets'!$AJ$826</f>
        <v/>
      </c>
      <c r="M409">
        <f>IF(AND($A409='Pockets'!$D$18,$B409='Pockets'!$C$18,OR('Pockets'!$E$18="All",AND('Pockets'!$E$18="Worse and material",$K409="Yes",$L409="Yes"),AND('Pockets'!$E$18="Worse or not sure",OR($K409="Yes",$K409="Not sure")))),1,0)</f>
        <v/>
      </c>
      <c r="N409">
        <f>$N408+$M409</f>
        <v/>
      </c>
      <c r="O409" t="inlineStr">
        <is>
          <t>three-way</t>
        </is>
      </c>
      <c r="P409" t="inlineStr">
        <is>
          <t>gco_rate</t>
        </is>
      </c>
    </row>
    <row r="410">
      <c r="A410" t="inlineStr">
        <is>
          <t>Split by REV_DEBT</t>
        </is>
      </c>
      <c r="B410" t="inlineStr">
        <is>
          <t>Charge-offs</t>
        </is>
      </c>
      <c r="C410" t="n">
        <v>436</v>
      </c>
      <c r="D410" t="inlineStr">
        <is>
          <t>FICO 746 - 921</t>
        </is>
      </c>
      <c r="E410" t="inlineStr">
        <is>
          <t>Branch</t>
        </is>
      </c>
      <c r="F410" t="inlineStr">
        <is>
          <t>low</t>
        </is>
      </c>
      <c r="G410" t="n">
        <v>259</v>
      </c>
      <c r="H410" t="n">
        <v>1.767853225842448</v>
      </c>
      <c r="I410" t="inlineStr">
        <is>
          <t>Yes</t>
        </is>
      </c>
      <c r="J410" t="n">
        <v>35</v>
      </c>
      <c r="K410">
        <f>'_pockets'!$AI$436</f>
        <v/>
      </c>
      <c r="L410">
        <f>'_pockets'!$AJ$436</f>
        <v/>
      </c>
      <c r="M410">
        <f>IF(AND($A410='Pockets'!$D$18,$B410='Pockets'!$C$18,OR('Pockets'!$E$18="All",AND('Pockets'!$E$18="Worse and material",$K410="Yes",$L410="Yes"),AND('Pockets'!$E$18="Worse or not sure",OR($K410="Yes",$K410="Not sure")))),1,0)</f>
        <v/>
      </c>
      <c r="N410">
        <f>$N409+$M410</f>
        <v/>
      </c>
      <c r="O410" t="inlineStr">
        <is>
          <t>three-way</t>
        </is>
      </c>
      <c r="P410" t="inlineStr">
        <is>
          <t>gco_rate</t>
        </is>
      </c>
    </row>
    <row r="411">
      <c r="A411" t="inlineStr">
        <is>
          <t>Split by REV_DEBT</t>
        </is>
      </c>
      <c r="B411" t="inlineStr">
        <is>
          <t>Charge-offs</t>
        </is>
      </c>
      <c r="C411" t="n">
        <v>816</v>
      </c>
      <c r="D411" t="inlineStr">
        <is>
          <t>FICO (marked missing)</t>
        </is>
      </c>
      <c r="E411" t="inlineStr">
        <is>
          <t>ASSET_CLASS 4</t>
        </is>
      </c>
      <c r="F411" t="inlineStr">
        <is>
          <t>high</t>
        </is>
      </c>
      <c r="G411" t="n">
        <v>19</v>
      </c>
      <c r="H411" t="n">
        <v>4.436950983876013</v>
      </c>
      <c r="I411" t="inlineStr">
        <is>
          <t>Yes</t>
        </is>
      </c>
      <c r="J411" t="n">
        <v>36</v>
      </c>
      <c r="K411">
        <f>'_pockets'!$AI$816</f>
        <v/>
      </c>
      <c r="L411">
        <f>'_pockets'!$AJ$816</f>
        <v/>
      </c>
      <c r="M411">
        <f>IF(AND($A411='Pockets'!$D$18,$B411='Pockets'!$C$18,OR('Pockets'!$E$18="All",AND('Pockets'!$E$18="Worse and material",$K411="Yes",$L411="Yes"),AND('Pockets'!$E$18="Worse or not sure",OR($K411="Yes",$K411="Not sure")))),1,0)</f>
        <v/>
      </c>
      <c r="N411">
        <f>$N410+$M411</f>
        <v/>
      </c>
      <c r="O411" t="inlineStr">
        <is>
          <t>three-way</t>
        </is>
      </c>
      <c r="P411" t="inlineStr">
        <is>
          <t>gco_rate</t>
        </is>
      </c>
    </row>
    <row r="412">
      <c r="A412" t="inlineStr">
        <is>
          <t>Split by REV_DEBT</t>
        </is>
      </c>
      <c r="B412" t="inlineStr">
        <is>
          <t>Charge-offs</t>
        </is>
      </c>
      <c r="C412" t="n">
        <v>496</v>
      </c>
      <c r="D412" t="inlineStr">
        <is>
          <t>FICO 496 - 653</t>
        </is>
      </c>
      <c r="E412" t="inlineStr">
        <is>
          <t>Branch</t>
        </is>
      </c>
      <c r="F412" t="inlineStr">
        <is>
          <t>high</t>
        </is>
      </c>
      <c r="G412" t="n">
        <v>251</v>
      </c>
      <c r="H412" t="n">
        <v>1.78105005814018</v>
      </c>
      <c r="I412" t="inlineStr">
        <is>
          <t>Yes</t>
        </is>
      </c>
      <c r="J412" t="n">
        <v>37</v>
      </c>
      <c r="K412">
        <f>'_pockets'!$AI$496</f>
        <v/>
      </c>
      <c r="L412">
        <f>'_pockets'!$AJ$496</f>
        <v/>
      </c>
      <c r="M412">
        <f>IF(AND($A412='Pockets'!$D$18,$B412='Pockets'!$C$18,OR('Pockets'!$E$18="All",AND('Pockets'!$E$18="Worse and material",$K412="Yes",$L412="Yes"),AND('Pockets'!$E$18="Worse or not sure",OR($K412="Yes",$K412="Not sure")))),1,0)</f>
        <v/>
      </c>
      <c r="N412">
        <f>$N411+$M412</f>
        <v/>
      </c>
      <c r="O412" t="inlineStr">
        <is>
          <t>three-way</t>
        </is>
      </c>
      <c r="P412" t="inlineStr">
        <is>
          <t>gco_rate</t>
        </is>
      </c>
    </row>
    <row r="413">
      <c r="A413" t="inlineStr">
        <is>
          <t>Split by REV_DEBT</t>
        </is>
      </c>
      <c r="B413" t="inlineStr">
        <is>
          <t>Charge-offs</t>
        </is>
      </c>
      <c r="C413" t="n">
        <v>556</v>
      </c>
      <c r="D413" t="inlineStr">
        <is>
          <t>FICO 496 - 653</t>
        </is>
      </c>
      <c r="E413" t="inlineStr">
        <is>
          <t>Online</t>
        </is>
      </c>
      <c r="F413" t="inlineStr">
        <is>
          <t>high</t>
        </is>
      </c>
      <c r="G413" t="n">
        <v>265</v>
      </c>
      <c r="H413" t="n">
        <v>1.758369793334915</v>
      </c>
      <c r="I413" t="inlineStr">
        <is>
          <t>Yes</t>
        </is>
      </c>
      <c r="J413" t="n">
        <v>38</v>
      </c>
      <c r="K413">
        <f>'_pockets'!$AI$556</f>
        <v/>
      </c>
      <c r="L413">
        <f>'_pockets'!$AJ$556</f>
        <v/>
      </c>
      <c r="M413">
        <f>IF(AND($A413='Pockets'!$D$18,$B413='Pockets'!$C$18,OR('Pockets'!$E$18="All",AND('Pockets'!$E$18="Worse and material",$K413="Yes",$L413="Yes"),AND('Pockets'!$E$18="Worse or not sure",OR($K413="Yes",$K413="Not sure")))),1,0)</f>
        <v/>
      </c>
      <c r="N413">
        <f>$N412+$M413</f>
        <v/>
      </c>
      <c r="O413" t="inlineStr">
        <is>
          <t>three-way</t>
        </is>
      </c>
      <c r="P413" t="inlineStr">
        <is>
          <t>gco_rate</t>
        </is>
      </c>
    </row>
    <row r="414">
      <c r="A414" t="inlineStr">
        <is>
          <t>Split by REV_DEBT</t>
        </is>
      </c>
      <c r="B414" t="inlineStr">
        <is>
          <t>Charge-offs</t>
        </is>
      </c>
      <c r="C414" t="n">
        <v>781</v>
      </c>
      <c r="D414" t="inlineStr">
        <is>
          <t>FICO 496 - 653</t>
        </is>
      </c>
      <c r="E414" t="inlineStr">
        <is>
          <t>ASSET_CLASS 2</t>
        </is>
      </c>
      <c r="F414" t="inlineStr">
        <is>
          <t>high</t>
        </is>
      </c>
      <c r="G414" t="n">
        <v>197</v>
      </c>
      <c r="H414" t="n">
        <v>1.891424688929007</v>
      </c>
      <c r="I414" t="inlineStr">
        <is>
          <t>Yes</t>
        </is>
      </c>
      <c r="J414" t="n">
        <v>39</v>
      </c>
      <c r="K414">
        <f>'_pockets'!$AI$781</f>
        <v/>
      </c>
      <c r="L414">
        <f>'_pockets'!$AJ$781</f>
        <v/>
      </c>
      <c r="M414">
        <f>IF(AND($A414='Pockets'!$D$18,$B414='Pockets'!$C$18,OR('Pockets'!$E$18="All",AND('Pockets'!$E$18="Worse and material",$K414="Yes",$L414="Yes"),AND('Pockets'!$E$18="Worse or not sure",OR($K414="Yes",$K414="Not sure")))),1,0)</f>
        <v/>
      </c>
      <c r="N414">
        <f>$N413+$M414</f>
        <v/>
      </c>
      <c r="O414" t="inlineStr">
        <is>
          <t>three-way</t>
        </is>
      </c>
      <c r="P414" t="inlineStr">
        <is>
          <t>gco_rate</t>
        </is>
      </c>
    </row>
    <row r="415">
      <c r="A415" t="inlineStr">
        <is>
          <t>Split by REV_DEBT</t>
        </is>
      </c>
      <c r="B415" t="inlineStr">
        <is>
          <t>Charge-offs</t>
        </is>
      </c>
      <c r="C415" t="n">
        <v>651</v>
      </c>
      <c r="D415" t="inlineStr">
        <is>
          <t>FICO 496 - 653</t>
        </is>
      </c>
      <c r="E415" t="inlineStr">
        <is>
          <t>ASSET_CLASS 4</t>
        </is>
      </c>
      <c r="F415" t="inlineStr">
        <is>
          <t>low</t>
        </is>
      </c>
      <c r="G415" t="n">
        <v>196</v>
      </c>
      <c r="H415" t="n">
        <v>1.893914133256593</v>
      </c>
      <c r="I415" t="inlineStr">
        <is>
          <t>Yes</t>
        </is>
      </c>
      <c r="J415" t="n">
        <v>40</v>
      </c>
      <c r="K415">
        <f>'_pockets'!$AI$651</f>
        <v/>
      </c>
      <c r="L415">
        <f>'_pockets'!$AJ$651</f>
        <v/>
      </c>
      <c r="M415">
        <f>IF(AND($A415='Pockets'!$D$18,$B415='Pockets'!$C$18,OR('Pockets'!$E$18="All",AND('Pockets'!$E$18="Worse and material",$K415="Yes",$L415="Yes"),AND('Pockets'!$E$18="Worse or not sure",OR($K415="Yes",$K415="Not sure")))),1,0)</f>
        <v/>
      </c>
      <c r="N415">
        <f>$N414+$M415</f>
        <v/>
      </c>
      <c r="O415" t="inlineStr">
        <is>
          <t>three-way</t>
        </is>
      </c>
      <c r="P415" t="inlineStr">
        <is>
          <t>gco_rate</t>
        </is>
      </c>
    </row>
    <row r="416">
      <c r="A416" t="inlineStr">
        <is>
          <t>Split by REV_DEBT</t>
        </is>
      </c>
      <c r="B416" t="inlineStr">
        <is>
          <t>Charge-offs</t>
        </is>
      </c>
      <c r="C416" t="n">
        <v>711</v>
      </c>
      <c r="D416" t="inlineStr">
        <is>
          <t>FICO 496 - 653</t>
        </is>
      </c>
      <c r="E416" t="inlineStr">
        <is>
          <t>ASSET_CLASS 3</t>
        </is>
      </c>
      <c r="F416" t="inlineStr">
        <is>
          <t>low</t>
        </is>
      </c>
      <c r="G416" t="n">
        <v>175</v>
      </c>
      <c r="H416" t="n">
        <v>1.951315138031583</v>
      </c>
      <c r="I416" t="inlineStr">
        <is>
          <t>Yes</t>
        </is>
      </c>
      <c r="J416" t="n">
        <v>41</v>
      </c>
      <c r="K416">
        <f>'_pockets'!$AI$711</f>
        <v/>
      </c>
      <c r="L416">
        <f>'_pockets'!$AJ$711</f>
        <v/>
      </c>
      <c r="M416">
        <f>IF(AND($A416='Pockets'!$D$18,$B416='Pockets'!$C$18,OR('Pockets'!$E$18="All",AND('Pockets'!$E$18="Worse and material",$K416="Yes",$L416="Yes"),AND('Pockets'!$E$18="Worse or not sure",OR($K416="Yes",$K416="Not sure")))),1,0)</f>
        <v/>
      </c>
      <c r="N416">
        <f>$N415+$M416</f>
        <v/>
      </c>
      <c r="O416" t="inlineStr">
        <is>
          <t>three-way</t>
        </is>
      </c>
      <c r="P416" t="inlineStr">
        <is>
          <t>gco_rate</t>
        </is>
      </c>
    </row>
    <row r="417">
      <c r="A417" t="inlineStr">
        <is>
          <t>Split by REV_DEBT</t>
        </is>
      </c>
      <c r="B417" t="inlineStr">
        <is>
          <t>Charge-offs</t>
        </is>
      </c>
      <c r="C417" t="n">
        <v>631</v>
      </c>
      <c r="D417" t="inlineStr">
        <is>
          <t>FICO 496 - 653</t>
        </is>
      </c>
      <c r="E417" t="inlineStr">
        <is>
          <t>ASSET_CLASS 1</t>
        </is>
      </c>
      <c r="F417" t="inlineStr">
        <is>
          <t>low</t>
        </is>
      </c>
      <c r="G417" t="n">
        <v>210</v>
      </c>
      <c r="H417" t="n">
        <v>1.860785124193326</v>
      </c>
      <c r="I417" t="inlineStr">
        <is>
          <t>Yes</t>
        </is>
      </c>
      <c r="J417" t="n">
        <v>42</v>
      </c>
      <c r="K417">
        <f>'_pockets'!$AI$631</f>
        <v/>
      </c>
      <c r="L417">
        <f>'_pockets'!$AJ$631</f>
        <v/>
      </c>
      <c r="M417">
        <f>IF(AND($A417='Pockets'!$D$18,$B417='Pockets'!$C$18,OR('Pockets'!$E$18="All",AND('Pockets'!$E$18="Worse and material",$K417="Yes",$L417="Yes"),AND('Pockets'!$E$18="Worse or not sure",OR($K417="Yes",$K417="Not sure")))),1,0)</f>
        <v/>
      </c>
      <c r="N417">
        <f>$N416+$M417</f>
        <v/>
      </c>
      <c r="O417" t="inlineStr">
        <is>
          <t>three-way</t>
        </is>
      </c>
      <c r="P417" t="inlineStr">
        <is>
          <t>gco_rate</t>
        </is>
      </c>
    </row>
    <row r="418">
      <c r="A418" t="inlineStr">
        <is>
          <t>Split by REV_DEBT</t>
        </is>
      </c>
      <c r="B418" t="inlineStr">
        <is>
          <t>Charge-offs</t>
        </is>
      </c>
      <c r="C418" t="n">
        <v>806</v>
      </c>
      <c r="D418" t="inlineStr">
        <is>
          <t>FICO 654 - 685</t>
        </is>
      </c>
      <c r="E418" t="inlineStr">
        <is>
          <t>ASSET_CLASS 4</t>
        </is>
      </c>
      <c r="F418" t="inlineStr">
        <is>
          <t>low</t>
        </is>
      </c>
      <c r="G418" t="n">
        <v>205</v>
      </c>
      <c r="H418" t="n">
        <v>1.872205292319323</v>
      </c>
      <c r="I418" t="inlineStr">
        <is>
          <t>Yes</t>
        </is>
      </c>
      <c r="J418" t="n">
        <v>43</v>
      </c>
      <c r="K418">
        <f>'_pockets'!$AI$806</f>
        <v/>
      </c>
      <c r="L418">
        <f>'_pockets'!$AJ$806</f>
        <v/>
      </c>
      <c r="M418">
        <f>IF(AND($A418='Pockets'!$D$18,$B418='Pockets'!$C$18,OR('Pockets'!$E$18="All",AND('Pockets'!$E$18="Worse and material",$K418="Yes",$L418="Yes"),AND('Pockets'!$E$18="Worse or not sure",OR($K418="Yes",$K418="Not sure")))),1,0)</f>
        <v/>
      </c>
      <c r="N418">
        <f>$N417+$M418</f>
        <v/>
      </c>
      <c r="O418" t="inlineStr">
        <is>
          <t>three-way</t>
        </is>
      </c>
      <c r="P418" t="inlineStr">
        <is>
          <t>gco_rate</t>
        </is>
      </c>
    </row>
    <row r="419">
      <c r="A419" t="inlineStr">
        <is>
          <t>Split by REV_DEBT</t>
        </is>
      </c>
      <c r="B419" t="inlineStr">
        <is>
          <t>Charge-offs</t>
        </is>
      </c>
      <c r="C419" t="n">
        <v>501</v>
      </c>
      <c r="D419" t="inlineStr">
        <is>
          <t>FICO 654 - 685</t>
        </is>
      </c>
      <c r="E419" t="inlineStr">
        <is>
          <t>Branch</t>
        </is>
      </c>
      <c r="F419" t="inlineStr">
        <is>
          <t>low</t>
        </is>
      </c>
      <c r="G419" t="n">
        <v>252</v>
      </c>
      <c r="H419" t="n">
        <v>1.779364402594206</v>
      </c>
      <c r="I419" t="inlineStr">
        <is>
          <t>Yes</t>
        </is>
      </c>
      <c r="J419" t="n">
        <v>44</v>
      </c>
      <c r="K419">
        <f>'_pockets'!$AI$501</f>
        <v/>
      </c>
      <c r="L419">
        <f>'_pockets'!$AJ$501</f>
        <v/>
      </c>
      <c r="M419">
        <f>IF(AND($A419='Pockets'!$D$18,$B419='Pockets'!$C$18,OR('Pockets'!$E$18="All",AND('Pockets'!$E$18="Worse and material",$K419="Yes",$L419="Yes"),AND('Pockets'!$E$18="Worse or not sure",OR($K419="Yes",$K419="Not sure")))),1,0)</f>
        <v/>
      </c>
      <c r="N419">
        <f>$N418+$M419</f>
        <v/>
      </c>
      <c r="O419" t="inlineStr">
        <is>
          <t>three-way</t>
        </is>
      </c>
      <c r="P419" t="inlineStr">
        <is>
          <t>gco_rate</t>
        </is>
      </c>
    </row>
    <row r="420">
      <c r="A420" t="inlineStr">
        <is>
          <t>Split by REV_DEBT</t>
        </is>
      </c>
      <c r="B420" t="inlineStr">
        <is>
          <t>Charge-offs</t>
        </is>
      </c>
      <c r="C420" t="n">
        <v>991</v>
      </c>
      <c r="D420" t="inlineStr">
        <is>
          <t>ORIG_BAL 49,152 - 59,984</t>
        </is>
      </c>
      <c r="E420" t="inlineStr">
        <is>
          <t>Broker</t>
        </is>
      </c>
      <c r="F420" t="inlineStr">
        <is>
          <t>high</t>
        </is>
      </c>
      <c r="G420" t="n">
        <v>260</v>
      </c>
      <c r="H420" t="n">
        <v>1.766248737734456</v>
      </c>
      <c r="I420" t="inlineStr">
        <is>
          <t>No: may be mostly FICO</t>
        </is>
      </c>
      <c r="J420" t="n">
        <v>45</v>
      </c>
      <c r="K420">
        <f>'_pockets'!$AI$991</f>
        <v/>
      </c>
      <c r="L420">
        <f>'_pockets'!$AJ$991</f>
        <v/>
      </c>
      <c r="M420">
        <f>IF(AND($A420='Pockets'!$D$18,$B420='Pockets'!$C$18,OR('Pockets'!$E$18="All",AND('Pockets'!$E$18="Worse and material",$K420="Yes",$L420="Yes"),AND('Pockets'!$E$18="Worse or not sure",OR($K420="Yes",$K420="Not sure")))),1,0)</f>
        <v/>
      </c>
      <c r="N420">
        <f>$N419+$M420</f>
        <v/>
      </c>
      <c r="O420" t="inlineStr">
        <is>
          <t>three-way</t>
        </is>
      </c>
      <c r="P420" t="inlineStr">
        <is>
          <t>gco_rate</t>
        </is>
      </c>
    </row>
    <row r="421">
      <c r="A421" t="inlineStr">
        <is>
          <t>Split by REV_DEBT</t>
        </is>
      </c>
      <c r="B421" t="inlineStr">
        <is>
          <t>Charge-offs</t>
        </is>
      </c>
      <c r="C421" t="n">
        <v>1076</v>
      </c>
      <c r="D421" t="inlineStr">
        <is>
          <t>ORIG_BAL 37,951 - 49,151</t>
        </is>
      </c>
      <c r="E421" t="inlineStr">
        <is>
          <t>ASSET_CLASS 4</t>
        </is>
      </c>
      <c r="F421" t="inlineStr">
        <is>
          <t>high</t>
        </is>
      </c>
      <c r="G421" t="n">
        <v>207</v>
      </c>
      <c r="H421" t="n">
        <v>1.867584875235872</v>
      </c>
      <c r="I421" t="inlineStr">
        <is>
          <t>No: may be mostly FICO</t>
        </is>
      </c>
      <c r="J421" t="n">
        <v>46</v>
      </c>
      <c r="K421">
        <f>'_pockets'!$AI$1076</f>
        <v/>
      </c>
      <c r="L421">
        <f>'_pockets'!$AJ$1076</f>
        <v/>
      </c>
      <c r="M421">
        <f>IF(AND($A421='Pockets'!$D$18,$B421='Pockets'!$C$18,OR('Pockets'!$E$18="All",AND('Pockets'!$E$18="Worse and material",$K421="Yes",$L421="Yes"),AND('Pockets'!$E$18="Worse or not sure",OR($K421="Yes",$K421="Not sure")))),1,0)</f>
        <v/>
      </c>
      <c r="N421">
        <f>$N420+$M421</f>
        <v/>
      </c>
      <c r="O421" t="inlineStr">
        <is>
          <t>three-way</t>
        </is>
      </c>
      <c r="P421" t="inlineStr">
        <is>
          <t>gco_rate</t>
        </is>
      </c>
    </row>
    <row r="422">
      <c r="A422" t="inlineStr">
        <is>
          <t>Split by REV_DEBT</t>
        </is>
      </c>
      <c r="B422" t="inlineStr">
        <is>
          <t>Charge-offs</t>
        </is>
      </c>
      <c r="C422" t="n">
        <v>1166</v>
      </c>
      <c r="D422" t="inlineStr">
        <is>
          <t>ORIG_BAL 49,152 - 59,984</t>
        </is>
      </c>
      <c r="E422" t="inlineStr">
        <is>
          <t>ASSET_CLASS 4</t>
        </is>
      </c>
      <c r="F422" t="inlineStr">
        <is>
          <t>high</t>
        </is>
      </c>
      <c r="G422" t="n">
        <v>192</v>
      </c>
      <c r="H422" t="n">
        <v>1.904076603055285</v>
      </c>
      <c r="I422" t="inlineStr">
        <is>
          <t>No: may be mostly FICO</t>
        </is>
      </c>
      <c r="J422" t="n">
        <v>47</v>
      </c>
      <c r="K422">
        <f>'_pockets'!$AI$1166</f>
        <v/>
      </c>
      <c r="L422">
        <f>'_pockets'!$AJ$1166</f>
        <v/>
      </c>
      <c r="M422">
        <f>IF(AND($A422='Pockets'!$D$18,$B422='Pockets'!$C$18,OR('Pockets'!$E$18="All",AND('Pockets'!$E$18="Worse and material",$K422="Yes",$L422="Yes"),AND('Pockets'!$E$18="Worse or not sure",OR($K422="Yes",$K422="Not sure")))),1,0)</f>
        <v/>
      </c>
      <c r="N422">
        <f>$N421+$M422</f>
        <v/>
      </c>
      <c r="O422" t="inlineStr">
        <is>
          <t>three-way</t>
        </is>
      </c>
      <c r="P422" t="inlineStr">
        <is>
          <t>gco_rate</t>
        </is>
      </c>
    </row>
    <row r="423">
      <c r="A423" t="inlineStr">
        <is>
          <t>Split by REV_DEBT</t>
        </is>
      </c>
      <c r="B423" t="inlineStr">
        <is>
          <t>Charge-offs</t>
        </is>
      </c>
      <c r="C423" t="n">
        <v>931</v>
      </c>
      <c r="D423" t="inlineStr">
        <is>
          <t>ORIG_BAL 37,951 - 49,151</t>
        </is>
      </c>
      <c r="E423" t="inlineStr">
        <is>
          <t>Broker</t>
        </is>
      </c>
      <c r="F423" t="inlineStr">
        <is>
          <t>high</t>
        </is>
      </c>
      <c r="G423" t="n">
        <v>265</v>
      </c>
      <c r="H423" t="n">
        <v>1.758369793334915</v>
      </c>
      <c r="I423" t="inlineStr">
        <is>
          <t>No: may be mostly FICO</t>
        </is>
      </c>
      <c r="J423" t="n">
        <v>48</v>
      </c>
      <c r="K423">
        <f>'_pockets'!$AI$931</f>
        <v/>
      </c>
      <c r="L423">
        <f>'_pockets'!$AJ$931</f>
        <v/>
      </c>
      <c r="M423">
        <f>IF(AND($A423='Pockets'!$D$18,$B423='Pockets'!$C$18,OR('Pockets'!$E$18="All",AND('Pockets'!$E$18="Worse and material",$K423="Yes",$L423="Yes"),AND('Pockets'!$E$18="Worse or not sure",OR($K423="Yes",$K423="Not sure")))),1,0)</f>
        <v/>
      </c>
      <c r="N423">
        <f>$N422+$M423</f>
        <v/>
      </c>
      <c r="O423" t="inlineStr">
        <is>
          <t>three-way</t>
        </is>
      </c>
      <c r="P423" t="inlineStr">
        <is>
          <t>gco_rate</t>
        </is>
      </c>
    </row>
    <row r="424">
      <c r="A424" t="inlineStr">
        <is>
          <t>Split by REV_DEBT</t>
        </is>
      </c>
      <c r="B424" t="inlineStr">
        <is>
          <t>Charge-offs</t>
        </is>
      </c>
      <c r="C424" t="n">
        <v>1191</v>
      </c>
      <c r="D424" t="inlineStr">
        <is>
          <t>ORIG_BAL 26,324 - 37,950</t>
        </is>
      </c>
      <c r="E424" t="inlineStr">
        <is>
          <t>ASSET_CLASS 4</t>
        </is>
      </c>
      <c r="F424" t="inlineStr">
        <is>
          <t>high</t>
        </is>
      </c>
      <c r="G424" t="n">
        <v>206</v>
      </c>
      <c r="H424" t="n">
        <v>1.869886212030841</v>
      </c>
      <c r="I424" t="inlineStr">
        <is>
          <t>No: may be mostly FICO</t>
        </is>
      </c>
      <c r="J424" t="n">
        <v>49</v>
      </c>
      <c r="K424">
        <f>'_pockets'!$AI$1191</f>
        <v/>
      </c>
      <c r="L424">
        <f>'_pockets'!$AJ$1191</f>
        <v/>
      </c>
      <c r="M424">
        <f>IF(AND($A424='Pockets'!$D$18,$B424='Pockets'!$C$18,OR('Pockets'!$E$18="All",AND('Pockets'!$E$18="Worse and material",$K424="Yes",$L424="Yes"),AND('Pockets'!$E$18="Worse or not sure",OR($K424="Yes",$K424="Not sure")))),1,0)</f>
        <v/>
      </c>
      <c r="N424">
        <f>$N423+$M424</f>
        <v/>
      </c>
      <c r="O424" t="inlineStr">
        <is>
          <t>three-way</t>
        </is>
      </c>
      <c r="P424" t="inlineStr">
        <is>
          <t>gco_rate</t>
        </is>
      </c>
    </row>
    <row r="425">
      <c r="A425" t="inlineStr">
        <is>
          <t>Split by REV_DEBT</t>
        </is>
      </c>
      <c r="B425" t="inlineStr">
        <is>
          <t>Charge-offs</t>
        </is>
      </c>
      <c r="C425" t="n">
        <v>846</v>
      </c>
      <c r="D425" t="inlineStr">
        <is>
          <t>ORIG_BAL 26,324 - 37,950</t>
        </is>
      </c>
      <c r="E425" t="inlineStr">
        <is>
          <t>Broker</t>
        </is>
      </c>
      <c r="F425" t="inlineStr">
        <is>
          <t>high</t>
        </is>
      </c>
      <c r="G425" t="n">
        <v>276</v>
      </c>
      <c r="H425" t="n">
        <v>1.741832902150656</v>
      </c>
      <c r="I425" t="inlineStr">
        <is>
          <t>No: may be mostly FICO</t>
        </is>
      </c>
      <c r="J425" t="n">
        <v>50</v>
      </c>
      <c r="K425">
        <f>'_pockets'!$AI$846</f>
        <v/>
      </c>
      <c r="L425">
        <f>'_pockets'!$AJ$846</f>
        <v/>
      </c>
      <c r="M425">
        <f>IF(AND($A425='Pockets'!$D$18,$B425='Pockets'!$C$18,OR('Pockets'!$E$18="All",AND('Pockets'!$E$18="Worse and material",$K425="Yes",$L425="Yes"),AND('Pockets'!$E$18="Worse or not sure",OR($K425="Yes",$K425="Not sure")))),1,0)</f>
        <v/>
      </c>
      <c r="N425">
        <f>$N424+$M425</f>
        <v/>
      </c>
      <c r="O425" t="inlineStr">
        <is>
          <t>three-way</t>
        </is>
      </c>
      <c r="P425" t="inlineStr">
        <is>
          <t>gco_rate</t>
        </is>
      </c>
    </row>
    <row r="426">
      <c r="A426" t="inlineStr">
        <is>
          <t>Split by REV_DEBT</t>
        </is>
      </c>
      <c r="B426" t="inlineStr">
        <is>
          <t>Charge-offs</t>
        </is>
      </c>
      <c r="C426" t="n">
        <v>871</v>
      </c>
      <c r="D426" t="inlineStr">
        <is>
          <t>ORIG_BAL 15,449 - 26,323</t>
        </is>
      </c>
      <c r="E426" t="inlineStr">
        <is>
          <t>Broker</t>
        </is>
      </c>
      <c r="F426" t="inlineStr">
        <is>
          <t>high</t>
        </is>
      </c>
      <c r="G426" t="n">
        <v>268</v>
      </c>
      <c r="H426" t="n">
        <v>1.753753883202778</v>
      </c>
      <c r="I426" t="inlineStr">
        <is>
          <t>No: may be mostly FICO</t>
        </is>
      </c>
      <c r="J426" t="n">
        <v>51</v>
      </c>
      <c r="K426">
        <f>'_pockets'!$AI$871</f>
        <v/>
      </c>
      <c r="L426">
        <f>'_pockets'!$AJ$871</f>
        <v/>
      </c>
      <c r="M426">
        <f>IF(AND($A426='Pockets'!$D$18,$B426='Pockets'!$C$18,OR('Pockets'!$E$18="All",AND('Pockets'!$E$18="Worse and material",$K426="Yes",$L426="Yes"),AND('Pockets'!$E$18="Worse or not sure",OR($K426="Yes",$K426="Not sure")))),1,0)</f>
        <v/>
      </c>
      <c r="N426">
        <f>$N425+$M426</f>
        <v/>
      </c>
      <c r="O426" t="inlineStr">
        <is>
          <t>three-way</t>
        </is>
      </c>
      <c r="P426" t="inlineStr">
        <is>
          <t>gco_rate</t>
        </is>
      </c>
    </row>
    <row r="427">
      <c r="A427" t="inlineStr">
        <is>
          <t>Split by REV_DEBT</t>
        </is>
      </c>
      <c r="B427" t="inlineStr">
        <is>
          <t>Charge-offs</t>
        </is>
      </c>
      <c r="C427" t="n">
        <v>1091</v>
      </c>
      <c r="D427" t="inlineStr">
        <is>
          <t>ORIG_BAL 37,951 - 49,151</t>
        </is>
      </c>
      <c r="E427" t="inlineStr">
        <is>
          <t>ASSET_CLASS 3</t>
        </is>
      </c>
      <c r="F427" t="inlineStr">
        <is>
          <t>high</t>
        </is>
      </c>
      <c r="G427" t="n">
        <v>191</v>
      </c>
      <c r="H427" t="n">
        <v>1.90666978551677</v>
      </c>
      <c r="I427" t="inlineStr">
        <is>
          <t>No: may be mostly FICO</t>
        </is>
      </c>
      <c r="J427" t="n">
        <v>52</v>
      </c>
      <c r="K427">
        <f>'_pockets'!$AI$1091</f>
        <v/>
      </c>
      <c r="L427">
        <f>'_pockets'!$AJ$1091</f>
        <v/>
      </c>
      <c r="M427">
        <f>IF(AND($A427='Pockets'!$D$18,$B427='Pockets'!$C$18,OR('Pockets'!$E$18="All",AND('Pockets'!$E$18="Worse and material",$K427="Yes",$L427="Yes"),AND('Pockets'!$E$18="Worse or not sure",OR($K427="Yes",$K427="Not sure")))),1,0)</f>
        <v/>
      </c>
      <c r="N427">
        <f>$N426+$M427</f>
        <v/>
      </c>
      <c r="O427" t="inlineStr">
        <is>
          <t>three-way</t>
        </is>
      </c>
      <c r="P427" t="inlineStr">
        <is>
          <t>gco_rate</t>
        </is>
      </c>
    </row>
    <row r="428">
      <c r="A428" t="inlineStr">
        <is>
          <t>Split by REV_DEBT</t>
        </is>
      </c>
      <c r="B428" t="inlineStr">
        <is>
          <t>Charge-offs</t>
        </is>
      </c>
      <c r="C428" t="n">
        <v>951</v>
      </c>
      <c r="D428" t="inlineStr">
        <is>
          <t>ORIG_BAL 37,951 - 49,151</t>
        </is>
      </c>
      <c r="E428" t="inlineStr">
        <is>
          <t>Branch</t>
        </is>
      </c>
      <c r="F428" t="inlineStr">
        <is>
          <t>high</t>
        </is>
      </c>
      <c r="G428" t="n">
        <v>263</v>
      </c>
      <c r="H428" t="n">
        <v>1.761493049382575</v>
      </c>
      <c r="I428" t="inlineStr">
        <is>
          <t>No: may be mostly FICO</t>
        </is>
      </c>
      <c r="J428" t="n">
        <v>53</v>
      </c>
      <c r="K428">
        <f>'_pockets'!$AI$951</f>
        <v/>
      </c>
      <c r="L428">
        <f>'_pockets'!$AJ$951</f>
        <v/>
      </c>
      <c r="M428">
        <f>IF(AND($A428='Pockets'!$D$18,$B428='Pockets'!$C$18,OR('Pockets'!$E$18="All",AND('Pockets'!$E$18="Worse and material",$K428="Yes",$L428="Yes"),AND('Pockets'!$E$18="Worse or not sure",OR($K428="Yes",$K428="Not sure")))),1,0)</f>
        <v/>
      </c>
      <c r="N428">
        <f>$N427+$M428</f>
        <v/>
      </c>
      <c r="O428" t="inlineStr">
        <is>
          <t>three-way</t>
        </is>
      </c>
      <c r="P428" t="inlineStr">
        <is>
          <t>gco_rate</t>
        </is>
      </c>
    </row>
    <row r="429">
      <c r="A429" t="inlineStr">
        <is>
          <t>Split by REV_DEBT</t>
        </is>
      </c>
      <c r="B429" t="inlineStr">
        <is>
          <t>Charge-offs</t>
        </is>
      </c>
      <c r="C429" t="n">
        <v>976</v>
      </c>
      <c r="D429" t="inlineStr">
        <is>
          <t>ORIG_BAL 26,324 - 37,950</t>
        </is>
      </c>
      <c r="E429" t="inlineStr">
        <is>
          <t>Online</t>
        </is>
      </c>
      <c r="F429" t="inlineStr">
        <is>
          <t>high</t>
        </is>
      </c>
      <c r="G429" t="n">
        <v>264</v>
      </c>
      <c r="H429" t="n">
        <v>1.759926762917907</v>
      </c>
      <c r="I429" t="inlineStr">
        <is>
          <t>No: may be mostly FICO</t>
        </is>
      </c>
      <c r="J429" t="n">
        <v>54</v>
      </c>
      <c r="K429">
        <f>'_pockets'!$AI$976</f>
        <v/>
      </c>
      <c r="L429">
        <f>'_pockets'!$AJ$976</f>
        <v/>
      </c>
      <c r="M429">
        <f>IF(AND($A429='Pockets'!$D$18,$B429='Pockets'!$C$18,OR('Pockets'!$E$18="All",AND('Pockets'!$E$18="Worse and material",$K429="Yes",$L429="Yes"),AND('Pockets'!$E$18="Worse or not sure",OR($K429="Yes",$K429="Not sure")))),1,0)</f>
        <v/>
      </c>
      <c r="N429">
        <f>$N428+$M429</f>
        <v/>
      </c>
      <c r="O429" t="inlineStr">
        <is>
          <t>three-way</t>
        </is>
      </c>
      <c r="P429" t="inlineStr">
        <is>
          <t>gco_rate</t>
        </is>
      </c>
    </row>
    <row r="430">
      <c r="A430" t="inlineStr">
        <is>
          <t>Split by REV_DEBT</t>
        </is>
      </c>
      <c r="B430" t="inlineStr">
        <is>
          <t>Charge-offs</t>
        </is>
      </c>
      <c r="C430" t="n">
        <v>1026</v>
      </c>
      <c r="D430" t="inlineStr">
        <is>
          <t>ORIG_BAL 15,449 - 26,323</t>
        </is>
      </c>
      <c r="E430" t="inlineStr">
        <is>
          <t>ASSET_CLASS 1</t>
        </is>
      </c>
      <c r="F430" t="inlineStr">
        <is>
          <t>high</t>
        </is>
      </c>
      <c r="G430" t="n">
        <v>202</v>
      </c>
      <c r="H430" t="n">
        <v>1.879271274391374</v>
      </c>
      <c r="I430" t="inlineStr">
        <is>
          <t>No: may be mostly FICO</t>
        </is>
      </c>
      <c r="J430" t="n">
        <v>55</v>
      </c>
      <c r="K430">
        <f>'_pockets'!$AI$1026</f>
        <v/>
      </c>
      <c r="L430">
        <f>'_pockets'!$AJ$1026</f>
        <v/>
      </c>
      <c r="M430">
        <f>IF(AND($A430='Pockets'!$D$18,$B430='Pockets'!$C$18,OR('Pockets'!$E$18="All",AND('Pockets'!$E$18="Worse and material",$K430="Yes",$L430="Yes"),AND('Pockets'!$E$18="Worse or not sure",OR($K430="Yes",$K430="Not sure")))),1,0)</f>
        <v/>
      </c>
      <c r="N430">
        <f>$N429+$M430</f>
        <v/>
      </c>
      <c r="O430" t="inlineStr">
        <is>
          <t>three-way</t>
        </is>
      </c>
      <c r="P430" t="inlineStr">
        <is>
          <t>gco_rate</t>
        </is>
      </c>
    </row>
    <row r="431">
      <c r="A431" t="inlineStr">
        <is>
          <t>Split by REV_DEBT</t>
        </is>
      </c>
      <c r="B431" t="inlineStr">
        <is>
          <t>Charge-offs</t>
        </is>
      </c>
      <c r="C431" t="n">
        <v>1051</v>
      </c>
      <c r="D431" t="inlineStr">
        <is>
          <t>ORIG_BAL 15,449 - 26,323</t>
        </is>
      </c>
      <c r="E431" t="inlineStr">
        <is>
          <t>ASSET_CLASS 4</t>
        </is>
      </c>
      <c r="F431" t="inlineStr">
        <is>
          <t>high</t>
        </is>
      </c>
      <c r="G431" t="n">
        <v>206</v>
      </c>
      <c r="H431" t="n">
        <v>1.869886212030841</v>
      </c>
      <c r="I431" t="inlineStr">
        <is>
          <t>No: may be mostly FICO</t>
        </is>
      </c>
      <c r="J431" t="n">
        <v>56</v>
      </c>
      <c r="K431">
        <f>'_pockets'!$AI$1051</f>
        <v/>
      </c>
      <c r="L431">
        <f>'_pockets'!$AJ$1051</f>
        <v/>
      </c>
      <c r="M431">
        <f>IF(AND($A431='Pockets'!$D$18,$B431='Pockets'!$C$18,OR('Pockets'!$E$18="All",AND('Pockets'!$E$18="Worse and material",$K431="Yes",$L431="Yes"),AND('Pockets'!$E$18="Worse or not sure",OR($K431="Yes",$K431="Not sure")))),1,0)</f>
        <v/>
      </c>
      <c r="N431">
        <f>$N430+$M431</f>
        <v/>
      </c>
      <c r="O431" t="inlineStr">
        <is>
          <t>three-way</t>
        </is>
      </c>
      <c r="P431" t="inlineStr">
        <is>
          <t>gco_rate</t>
        </is>
      </c>
    </row>
    <row r="432">
      <c r="A432" t="inlineStr">
        <is>
          <t>Split by REV_DEBT</t>
        </is>
      </c>
      <c r="B432" t="inlineStr">
        <is>
          <t>Charge-offs</t>
        </is>
      </c>
      <c r="C432" t="n">
        <v>956</v>
      </c>
      <c r="D432" t="inlineStr">
        <is>
          <t>ORIG_BAL 5,005 - 15,448</t>
        </is>
      </c>
      <c r="E432" t="inlineStr">
        <is>
          <t>Broker</t>
        </is>
      </c>
      <c r="F432" t="inlineStr">
        <is>
          <t>high</t>
        </is>
      </c>
      <c r="G432" t="n">
        <v>257</v>
      </c>
      <c r="H432" t="n">
        <v>1.771091672184101</v>
      </c>
      <c r="I432" t="inlineStr">
        <is>
          <t>No: may be mostly FICO</t>
        </is>
      </c>
      <c r="J432" t="n">
        <v>57</v>
      </c>
      <c r="K432">
        <f>'_pockets'!$AI$956</f>
        <v/>
      </c>
      <c r="L432">
        <f>'_pockets'!$AJ$956</f>
        <v/>
      </c>
      <c r="M432">
        <f>IF(AND($A432='Pockets'!$D$18,$B432='Pockets'!$C$18,OR('Pockets'!$E$18="All",AND('Pockets'!$E$18="Worse and material",$K432="Yes",$L432="Yes"),AND('Pockets'!$E$18="Worse or not sure",OR($K432="Yes",$K432="Not sure")))),1,0)</f>
        <v/>
      </c>
      <c r="N432">
        <f>$N431+$M432</f>
        <v/>
      </c>
      <c r="O432" t="inlineStr">
        <is>
          <t>three-way</t>
        </is>
      </c>
      <c r="P432" t="inlineStr">
        <is>
          <t>gco_rate</t>
        </is>
      </c>
    </row>
    <row r="433">
      <c r="A433" t="inlineStr">
        <is>
          <t>Split by REV_DEBT</t>
        </is>
      </c>
      <c r="B433" t="inlineStr">
        <is>
          <t>Charge-offs</t>
        </is>
      </c>
      <c r="C433" t="n">
        <v>941</v>
      </c>
      <c r="D433" t="inlineStr">
        <is>
          <t>ORIG_BAL 37,951 - 49,151</t>
        </is>
      </c>
      <c r="E433" t="inlineStr">
        <is>
          <t>Online</t>
        </is>
      </c>
      <c r="F433" t="inlineStr">
        <is>
          <t>high</t>
        </is>
      </c>
      <c r="G433" t="n">
        <v>271</v>
      </c>
      <c r="H433" t="n">
        <v>1.749218625901148</v>
      </c>
      <c r="I433" t="inlineStr">
        <is>
          <t>No: may be mostly FICO</t>
        </is>
      </c>
      <c r="J433" t="n">
        <v>58</v>
      </c>
      <c r="K433">
        <f>'_pockets'!$AI$941</f>
        <v/>
      </c>
      <c r="L433">
        <f>'_pockets'!$AJ$941</f>
        <v/>
      </c>
      <c r="M433">
        <f>IF(AND($A433='Pockets'!$D$18,$B433='Pockets'!$C$18,OR('Pockets'!$E$18="All",AND('Pockets'!$E$18="Worse and material",$K433="Yes",$L433="Yes"),AND('Pockets'!$E$18="Worse or not sure",OR($K433="Yes",$K433="Not sure")))),1,0)</f>
        <v/>
      </c>
      <c r="N433">
        <f>$N432+$M433</f>
        <v/>
      </c>
      <c r="O433" t="inlineStr">
        <is>
          <t>three-way</t>
        </is>
      </c>
      <c r="P433" t="inlineStr">
        <is>
          <t>gco_rate</t>
        </is>
      </c>
    </row>
    <row r="434">
      <c r="A434" t="inlineStr">
        <is>
          <t>Split by REV_DEBT</t>
        </is>
      </c>
      <c r="B434" t="inlineStr">
        <is>
          <t>Charge-offs</t>
        </is>
      </c>
      <c r="C434" t="n">
        <v>916</v>
      </c>
      <c r="D434" t="inlineStr">
        <is>
          <t>ORIG_BAL 49,152 - 59,984</t>
        </is>
      </c>
      <c r="E434" t="inlineStr">
        <is>
          <t>Online</t>
        </is>
      </c>
      <c r="F434" t="inlineStr">
        <is>
          <t>high</t>
        </is>
      </c>
      <c r="G434" t="n">
        <v>282</v>
      </c>
      <c r="H434" t="n">
        <v>1.733243256317988</v>
      </c>
      <c r="I434" t="inlineStr">
        <is>
          <t>No: may be mostly FICO</t>
        </is>
      </c>
      <c r="J434" t="n">
        <v>59</v>
      </c>
      <c r="K434">
        <f>'_pockets'!$AI$916</f>
        <v/>
      </c>
      <c r="L434">
        <f>'_pockets'!$AJ$916</f>
        <v/>
      </c>
      <c r="M434">
        <f>IF(AND($A434='Pockets'!$D$18,$B434='Pockets'!$C$18,OR('Pockets'!$E$18="All",AND('Pockets'!$E$18="Worse and material",$K434="Yes",$L434="Yes"),AND('Pockets'!$E$18="Worse or not sure",OR($K434="Yes",$K434="Not sure")))),1,0)</f>
        <v/>
      </c>
      <c r="N434">
        <f>$N433+$M434</f>
        <v/>
      </c>
      <c r="O434" t="inlineStr">
        <is>
          <t>three-way</t>
        </is>
      </c>
      <c r="P434" t="inlineStr">
        <is>
          <t>gco_rate</t>
        </is>
      </c>
    </row>
    <row r="435">
      <c r="A435" t="inlineStr">
        <is>
          <t>Split by REV_DEBT</t>
        </is>
      </c>
      <c r="B435" t="inlineStr">
        <is>
          <t>Charge-offs</t>
        </is>
      </c>
      <c r="C435" t="n">
        <v>1061</v>
      </c>
      <c r="D435" t="inlineStr">
        <is>
          <t>ORIG_BAL 49,152 - 59,984</t>
        </is>
      </c>
      <c r="E435" t="inlineStr">
        <is>
          <t>ASSET_CLASS 1</t>
        </is>
      </c>
      <c r="F435" t="inlineStr">
        <is>
          <t>high</t>
        </is>
      </c>
      <c r="G435" t="n">
        <v>206</v>
      </c>
      <c r="H435" t="n">
        <v>1.869886212030841</v>
      </c>
      <c r="I435" t="inlineStr">
        <is>
          <t>No: may be mostly FICO</t>
        </is>
      </c>
      <c r="J435" t="n">
        <v>60</v>
      </c>
      <c r="K435">
        <f>'_pockets'!$AI$1061</f>
        <v/>
      </c>
      <c r="L435">
        <f>'_pockets'!$AJ$1061</f>
        <v/>
      </c>
      <c r="M435">
        <f>IF(AND($A435='Pockets'!$D$18,$B435='Pockets'!$C$18,OR('Pockets'!$E$18="All",AND('Pockets'!$E$18="Worse and material",$K435="Yes",$L435="Yes"),AND('Pockets'!$E$18="Worse or not sure",OR($K435="Yes",$K435="Not sure")))),1,0)</f>
        <v/>
      </c>
      <c r="N435">
        <f>$N434+$M435</f>
        <v/>
      </c>
      <c r="O435" t="inlineStr">
        <is>
          <t>three-way</t>
        </is>
      </c>
      <c r="P435" t="inlineStr">
        <is>
          <t>gco_rate</t>
        </is>
      </c>
    </row>
    <row r="436">
      <c r="A436" t="inlineStr">
        <is>
          <t>Split by REV_DEBT</t>
        </is>
      </c>
      <c r="B436" t="inlineStr">
        <is>
          <t>Charge-offs</t>
        </is>
      </c>
      <c r="C436" t="n">
        <v>1141</v>
      </c>
      <c r="D436" t="inlineStr">
        <is>
          <t>ORIG_BAL 49,152 - 59,984</t>
        </is>
      </c>
      <c r="E436" t="inlineStr">
        <is>
          <t>ASSET_CLASS 2</t>
        </is>
      </c>
      <c r="F436" t="inlineStr">
        <is>
          <t>high</t>
        </is>
      </c>
      <c r="G436" t="n">
        <v>199</v>
      </c>
      <c r="H436" t="n">
        <v>1.886505330327829</v>
      </c>
      <c r="I436" t="inlineStr">
        <is>
          <t>No: may be mostly FICO</t>
        </is>
      </c>
      <c r="J436" t="n">
        <v>61</v>
      </c>
      <c r="K436">
        <f>'_pockets'!$AI$1141</f>
        <v/>
      </c>
      <c r="L436">
        <f>'_pockets'!$AJ$1141</f>
        <v/>
      </c>
      <c r="M436">
        <f>IF(AND($A436='Pockets'!$D$18,$B436='Pockets'!$C$18,OR('Pockets'!$E$18="All",AND('Pockets'!$E$18="Worse and material",$K436="Yes",$L436="Yes"),AND('Pockets'!$E$18="Worse or not sure",OR($K436="Yes",$K436="Not sure")))),1,0)</f>
        <v/>
      </c>
      <c r="N436">
        <f>$N435+$M436</f>
        <v/>
      </c>
      <c r="O436" t="inlineStr">
        <is>
          <t>three-way</t>
        </is>
      </c>
      <c r="P436" t="inlineStr">
        <is>
          <t>gco_rate</t>
        </is>
      </c>
    </row>
    <row r="437">
      <c r="A437" t="inlineStr">
        <is>
          <t>Split by REV_DEBT</t>
        </is>
      </c>
      <c r="B437" t="inlineStr">
        <is>
          <t>Charge-offs</t>
        </is>
      </c>
      <c r="C437" t="n">
        <v>1146</v>
      </c>
      <c r="D437" t="inlineStr">
        <is>
          <t>ORIG_BAL 15,449 - 26,323</t>
        </is>
      </c>
      <c r="E437" t="inlineStr">
        <is>
          <t>ASSET_CLASS 3</t>
        </is>
      </c>
      <c r="F437" t="inlineStr">
        <is>
          <t>high</t>
        </is>
      </c>
      <c r="G437" t="n">
        <v>213</v>
      </c>
      <c r="H437" t="n">
        <v>1.854137295979501</v>
      </c>
      <c r="I437" t="inlineStr">
        <is>
          <t>No: may be mostly FICO</t>
        </is>
      </c>
      <c r="J437" t="n">
        <v>62</v>
      </c>
      <c r="K437">
        <f>'_pockets'!$AI$1146</f>
        <v/>
      </c>
      <c r="L437">
        <f>'_pockets'!$AJ$1146</f>
        <v/>
      </c>
      <c r="M437">
        <f>IF(AND($A437='Pockets'!$D$18,$B437='Pockets'!$C$18,OR('Pockets'!$E$18="All",AND('Pockets'!$E$18="Worse and material",$K437="Yes",$L437="Yes"),AND('Pockets'!$E$18="Worse or not sure",OR($K437="Yes",$K437="Not sure")))),1,0)</f>
        <v/>
      </c>
      <c r="N437">
        <f>$N436+$M437</f>
        <v/>
      </c>
      <c r="O437" t="inlineStr">
        <is>
          <t>three-way</t>
        </is>
      </c>
      <c r="P437" t="inlineStr">
        <is>
          <t>gco_rate</t>
        </is>
      </c>
    </row>
    <row r="438">
      <c r="A438" t="inlineStr">
        <is>
          <t>Split by REV_DEBT</t>
        </is>
      </c>
      <c r="B438" t="inlineStr">
        <is>
          <t>Charge-offs</t>
        </is>
      </c>
      <c r="C438" t="n">
        <v>1186</v>
      </c>
      <c r="D438" t="inlineStr">
        <is>
          <t>ORIG_BAL 26,324 - 37,950</t>
        </is>
      </c>
      <c r="E438" t="inlineStr">
        <is>
          <t>ASSET_CLASS 3</t>
        </is>
      </c>
      <c r="F438" t="inlineStr">
        <is>
          <t>high</t>
        </is>
      </c>
      <c r="G438" t="n">
        <v>183</v>
      </c>
      <c r="H438" t="n">
        <v>1.928218598472405</v>
      </c>
      <c r="I438" t="inlineStr">
        <is>
          <t>No: may be mostly FICO</t>
        </is>
      </c>
      <c r="J438" t="n">
        <v>63</v>
      </c>
      <c r="K438">
        <f>'_pockets'!$AI$1186</f>
        <v/>
      </c>
      <c r="L438">
        <f>'_pockets'!$AJ$1186</f>
        <v/>
      </c>
      <c r="M438">
        <f>IF(AND($A438='Pockets'!$D$18,$B438='Pockets'!$C$18,OR('Pockets'!$E$18="All",AND('Pockets'!$E$18="Worse and material",$K438="Yes",$L438="Yes"),AND('Pockets'!$E$18="Worse or not sure",OR($K438="Yes",$K438="Not sure")))),1,0)</f>
        <v/>
      </c>
      <c r="N438">
        <f>$N437+$M438</f>
        <v/>
      </c>
      <c r="O438" t="inlineStr">
        <is>
          <t>three-way</t>
        </is>
      </c>
      <c r="P438" t="inlineStr">
        <is>
          <t>gco_rate</t>
        </is>
      </c>
    </row>
    <row r="439">
      <c r="A439" t="inlineStr">
        <is>
          <t>Split by REV_DEBT</t>
        </is>
      </c>
      <c r="B439" t="inlineStr">
        <is>
          <t>Charge-offs</t>
        </is>
      </c>
      <c r="C439" t="n">
        <v>906</v>
      </c>
      <c r="D439" t="inlineStr">
        <is>
          <t>ORIG_BAL 15,449 - 26,323</t>
        </is>
      </c>
      <c r="E439" t="inlineStr">
        <is>
          <t>Online</t>
        </is>
      </c>
      <c r="F439" t="inlineStr">
        <is>
          <t>high</t>
        </is>
      </c>
      <c r="G439" t="n">
        <v>269</v>
      </c>
      <c r="H439" t="n">
        <v>1.752233284528733</v>
      </c>
      <c r="I439" t="inlineStr">
        <is>
          <t>No: may be mostly FICO</t>
        </is>
      </c>
      <c r="J439" t="n">
        <v>64</v>
      </c>
      <c r="K439">
        <f>'_pockets'!$AI$906</f>
        <v/>
      </c>
      <c r="L439">
        <f>'_pockets'!$AJ$906</f>
        <v/>
      </c>
      <c r="M439">
        <f>IF(AND($A439='Pockets'!$D$18,$B439='Pockets'!$C$18,OR('Pockets'!$E$18="All",AND('Pockets'!$E$18="Worse and material",$K439="Yes",$L439="Yes"),AND('Pockets'!$E$18="Worse or not sure",OR($K439="Yes",$K439="Not sure")))),1,0)</f>
        <v/>
      </c>
      <c r="N439">
        <f>$N438+$M439</f>
        <v/>
      </c>
      <c r="O439" t="inlineStr">
        <is>
          <t>three-way</t>
        </is>
      </c>
      <c r="P439" t="inlineStr">
        <is>
          <t>gco_rate</t>
        </is>
      </c>
    </row>
    <row r="440">
      <c r="A440" t="inlineStr">
        <is>
          <t>Split by REV_DEBT</t>
        </is>
      </c>
      <c r="B440" t="inlineStr">
        <is>
          <t>Charge-offs</t>
        </is>
      </c>
      <c r="C440" t="n">
        <v>1066</v>
      </c>
      <c r="D440" t="inlineStr">
        <is>
          <t>ORIG_BAL 26,324 - 37,950</t>
        </is>
      </c>
      <c r="E440" t="inlineStr">
        <is>
          <t>ASSET_CLASS 1</t>
        </is>
      </c>
      <c r="F440" t="inlineStr">
        <is>
          <t>high</t>
        </is>
      </c>
      <c r="G440" t="n">
        <v>194</v>
      </c>
      <c r="H440" t="n">
        <v>1.89895388068572</v>
      </c>
      <c r="I440" t="inlineStr">
        <is>
          <t>No: may be mostly FICO</t>
        </is>
      </c>
      <c r="J440" t="n">
        <v>65</v>
      </c>
      <c r="K440">
        <f>'_pockets'!$AI$1066</f>
        <v/>
      </c>
      <c r="L440">
        <f>'_pockets'!$AJ$1066</f>
        <v/>
      </c>
      <c r="M440">
        <f>IF(AND($A440='Pockets'!$D$18,$B440='Pockets'!$C$18,OR('Pockets'!$E$18="All",AND('Pockets'!$E$18="Worse and material",$K440="Yes",$L440="Yes"),AND('Pockets'!$E$18="Worse or not sure",OR($K440="Yes",$K440="Not sure")))),1,0)</f>
        <v/>
      </c>
      <c r="N440">
        <f>$N439+$M440</f>
        <v/>
      </c>
      <c r="O440" t="inlineStr">
        <is>
          <t>three-way</t>
        </is>
      </c>
      <c r="P440" t="inlineStr">
        <is>
          <t>gco_rate</t>
        </is>
      </c>
    </row>
    <row r="441">
      <c r="A441" t="inlineStr">
        <is>
          <t>Split by REV_DEBT</t>
        </is>
      </c>
      <c r="B441" t="inlineStr">
        <is>
          <t>Charge-offs</t>
        </is>
      </c>
      <c r="C441" t="n">
        <v>861</v>
      </c>
      <c r="D441" t="inlineStr">
        <is>
          <t>ORIG_BAL 26,324 - 37,950</t>
        </is>
      </c>
      <c r="E441" t="inlineStr">
        <is>
          <t>Branch</t>
        </is>
      </c>
      <c r="F441" t="inlineStr">
        <is>
          <t>high</t>
        </is>
      </c>
      <c r="G441" t="n">
        <v>259</v>
      </c>
      <c r="H441" t="n">
        <v>1.767853225842448</v>
      </c>
      <c r="I441" t="inlineStr">
        <is>
          <t>No: may be mostly FICO</t>
        </is>
      </c>
      <c r="J441" t="n">
        <v>66</v>
      </c>
      <c r="K441">
        <f>'_pockets'!$AI$861</f>
        <v/>
      </c>
      <c r="L441">
        <f>'_pockets'!$AJ$861</f>
        <v/>
      </c>
      <c r="M441">
        <f>IF(AND($A441='Pockets'!$D$18,$B441='Pockets'!$C$18,OR('Pockets'!$E$18="All",AND('Pockets'!$E$18="Worse and material",$K441="Yes",$L441="Yes"),AND('Pockets'!$E$18="Worse or not sure",OR($K441="Yes",$K441="Not sure")))),1,0)</f>
        <v/>
      </c>
      <c r="N441">
        <f>$N440+$M441</f>
        <v/>
      </c>
      <c r="O441" t="inlineStr">
        <is>
          <t>three-way</t>
        </is>
      </c>
      <c r="P441" t="inlineStr">
        <is>
          <t>gco_rate</t>
        </is>
      </c>
    </row>
    <row r="442">
      <c r="A442" t="inlineStr">
        <is>
          <t>Split by REV_DEBT</t>
        </is>
      </c>
      <c r="B442" t="inlineStr">
        <is>
          <t>Charge-offs</t>
        </is>
      </c>
      <c r="C442" t="n">
        <v>1106</v>
      </c>
      <c r="D442" t="inlineStr">
        <is>
          <t>ORIG_BAL 37,951 - 49,151</t>
        </is>
      </c>
      <c r="E442" t="inlineStr">
        <is>
          <t>ASSET_CLASS 1</t>
        </is>
      </c>
      <c r="F442" t="inlineStr">
        <is>
          <t>high</t>
        </is>
      </c>
      <c r="G442" t="n">
        <v>192</v>
      </c>
      <c r="H442" t="n">
        <v>1.904076603055285</v>
      </c>
      <c r="I442" t="inlineStr">
        <is>
          <t>No: may be mostly FICO</t>
        </is>
      </c>
      <c r="J442" t="n">
        <v>67</v>
      </c>
      <c r="K442">
        <f>'_pockets'!$AI$1106</f>
        <v/>
      </c>
      <c r="L442">
        <f>'_pockets'!$AJ$1106</f>
        <v/>
      </c>
      <c r="M442">
        <f>IF(AND($A442='Pockets'!$D$18,$B442='Pockets'!$C$18,OR('Pockets'!$E$18="All",AND('Pockets'!$E$18="Worse and material",$K442="Yes",$L442="Yes"),AND('Pockets'!$E$18="Worse or not sure",OR($K442="Yes",$K442="Not sure")))),1,0)</f>
        <v/>
      </c>
      <c r="N442">
        <f>$N441+$M442</f>
        <v/>
      </c>
      <c r="O442" t="inlineStr">
        <is>
          <t>three-way</t>
        </is>
      </c>
      <c r="P442" t="inlineStr">
        <is>
          <t>gco_rate</t>
        </is>
      </c>
    </row>
    <row r="443">
      <c r="A443" t="inlineStr">
        <is>
          <t>Split by REV_DEBT</t>
        </is>
      </c>
      <c r="B443" t="inlineStr">
        <is>
          <t>Charge-offs</t>
        </is>
      </c>
      <c r="C443" t="n">
        <v>1081</v>
      </c>
      <c r="D443" t="inlineStr">
        <is>
          <t>ORIG_BAL 5,005 - 15,448</t>
        </is>
      </c>
      <c r="E443" t="inlineStr">
        <is>
          <t>ASSET_CLASS 3</t>
        </is>
      </c>
      <c r="F443" t="inlineStr">
        <is>
          <t>high</t>
        </is>
      </c>
      <c r="G443" t="n">
        <v>177</v>
      </c>
      <c r="H443" t="n">
        <v>1.945385969294194</v>
      </c>
      <c r="I443" t="inlineStr">
        <is>
          <t>No: may be mostly FICO</t>
        </is>
      </c>
      <c r="J443" t="n">
        <v>68</v>
      </c>
      <c r="K443">
        <f>'_pockets'!$AI$1081</f>
        <v/>
      </c>
      <c r="L443">
        <f>'_pockets'!$AJ$1081</f>
        <v/>
      </c>
      <c r="M443">
        <f>IF(AND($A443='Pockets'!$D$18,$B443='Pockets'!$C$18,OR('Pockets'!$E$18="All",AND('Pockets'!$E$18="Worse and material",$K443="Yes",$L443="Yes"),AND('Pockets'!$E$18="Worse or not sure",OR($K443="Yes",$K443="Not sure")))),1,0)</f>
        <v/>
      </c>
      <c r="N443">
        <f>$N442+$M443</f>
        <v/>
      </c>
      <c r="O443" t="inlineStr">
        <is>
          <t>three-way</t>
        </is>
      </c>
      <c r="P443" t="inlineStr">
        <is>
          <t>gco_rate</t>
        </is>
      </c>
    </row>
    <row r="444">
      <c r="A444" t="inlineStr">
        <is>
          <t>Split by REV_DEBT</t>
        </is>
      </c>
      <c r="B444" t="inlineStr">
        <is>
          <t>Charge-offs</t>
        </is>
      </c>
      <c r="C444" t="n">
        <v>1136</v>
      </c>
      <c r="D444" t="inlineStr">
        <is>
          <t>ORIG_BAL 5,005 - 15,448</t>
        </is>
      </c>
      <c r="E444" t="inlineStr">
        <is>
          <t>ASSET_CLASS 4</t>
        </is>
      </c>
      <c r="F444" t="inlineStr">
        <is>
          <t>high</t>
        </is>
      </c>
      <c r="G444" t="n">
        <v>212</v>
      </c>
      <c r="H444" t="n">
        <v>1.856336703790291</v>
      </c>
      <c r="I444" t="inlineStr">
        <is>
          <t>No: may be mostly FICO</t>
        </is>
      </c>
      <c r="J444" t="n">
        <v>69</v>
      </c>
      <c r="K444">
        <f>'_pockets'!$AI$1136</f>
        <v/>
      </c>
      <c r="L444">
        <f>'_pockets'!$AJ$1136</f>
        <v/>
      </c>
      <c r="M444">
        <f>IF(AND($A444='Pockets'!$D$18,$B444='Pockets'!$C$18,OR('Pockets'!$E$18="All",AND('Pockets'!$E$18="Worse and material",$K444="Yes",$L444="Yes"),AND('Pockets'!$E$18="Worse or not sure",OR($K444="Yes",$K444="Not sure")))),1,0)</f>
        <v/>
      </c>
      <c r="N444">
        <f>$N443+$M444</f>
        <v/>
      </c>
      <c r="O444" t="inlineStr">
        <is>
          <t>three-way</t>
        </is>
      </c>
      <c r="P444" t="inlineStr">
        <is>
          <t>gco_rate</t>
        </is>
      </c>
    </row>
    <row r="445">
      <c r="A445" t="inlineStr">
        <is>
          <t>Split by REV_DEBT</t>
        </is>
      </c>
      <c r="B445" t="inlineStr">
        <is>
          <t>Charge-offs</t>
        </is>
      </c>
      <c r="C445" t="n">
        <v>841</v>
      </c>
      <c r="D445" t="inlineStr">
        <is>
          <t>ORIG_BAL 5,005 - 15,448</t>
        </is>
      </c>
      <c r="E445" t="inlineStr">
        <is>
          <t>Online</t>
        </is>
      </c>
      <c r="F445" t="inlineStr">
        <is>
          <t>high</t>
        </is>
      </c>
      <c r="G445" t="n">
        <v>272</v>
      </c>
      <c r="H445" t="n">
        <v>1.747724397180613</v>
      </c>
      <c r="I445" t="inlineStr">
        <is>
          <t>No: may be mostly FICO</t>
        </is>
      </c>
      <c r="J445" t="n">
        <v>70</v>
      </c>
      <c r="K445">
        <f>'_pockets'!$AI$841</f>
        <v/>
      </c>
      <c r="L445">
        <f>'_pockets'!$AJ$841</f>
        <v/>
      </c>
      <c r="M445">
        <f>IF(AND($A445='Pockets'!$D$18,$B445='Pockets'!$C$18,OR('Pockets'!$E$18="All",AND('Pockets'!$E$18="Worse and material",$K445="Yes",$L445="Yes"),AND('Pockets'!$E$18="Worse or not sure",OR($K445="Yes",$K445="Not sure")))),1,0)</f>
        <v/>
      </c>
      <c r="N445">
        <f>$N444+$M445</f>
        <v/>
      </c>
      <c r="O445" t="inlineStr">
        <is>
          <t>three-way</t>
        </is>
      </c>
      <c r="P445" t="inlineStr">
        <is>
          <t>gco_rate</t>
        </is>
      </c>
    </row>
    <row r="446">
      <c r="A446" t="inlineStr">
        <is>
          <t>Split by REV_DEBT</t>
        </is>
      </c>
      <c r="B446" t="inlineStr">
        <is>
          <t>Charge-offs</t>
        </is>
      </c>
      <c r="C446" t="n">
        <v>1001</v>
      </c>
      <c r="D446" t="inlineStr">
        <is>
          <t>ORIG_BAL 26,324 - 37,950</t>
        </is>
      </c>
      <c r="E446" t="inlineStr">
        <is>
          <t>ASSET_CLASS 2</t>
        </is>
      </c>
      <c r="F446" t="inlineStr">
        <is>
          <t>high</t>
        </is>
      </c>
      <c r="G446" t="n">
        <v>216</v>
      </c>
      <c r="H446" t="n">
        <v>1.847635889097799</v>
      </c>
      <c r="I446" t="inlineStr">
        <is>
          <t>No: may be mostly FICO</t>
        </is>
      </c>
      <c r="J446" t="n">
        <v>71</v>
      </c>
      <c r="K446">
        <f>'_pockets'!$AI$1001</f>
        <v/>
      </c>
      <c r="L446">
        <f>'_pockets'!$AJ$1001</f>
        <v/>
      </c>
      <c r="M446">
        <f>IF(AND($A446='Pockets'!$D$18,$B446='Pockets'!$C$18,OR('Pockets'!$E$18="All",AND('Pockets'!$E$18="Worse and material",$K446="Yes",$L446="Yes"),AND('Pockets'!$E$18="Worse or not sure",OR($K446="Yes",$K446="Not sure")))),1,0)</f>
        <v/>
      </c>
      <c r="N446">
        <f>$N445+$M446</f>
        <v/>
      </c>
      <c r="O446" t="inlineStr">
        <is>
          <t>three-way</t>
        </is>
      </c>
      <c r="P446" t="inlineStr">
        <is>
          <t>gco_rate</t>
        </is>
      </c>
    </row>
    <row r="447">
      <c r="A447" t="inlineStr">
        <is>
          <t>Split by REV_DEBT</t>
        </is>
      </c>
      <c r="B447" t="inlineStr">
        <is>
          <t>Charge-offs</t>
        </is>
      </c>
      <c r="C447" t="n">
        <v>1056</v>
      </c>
      <c r="D447" t="inlineStr">
        <is>
          <t>ORIG_BAL 5,005 - 15,448</t>
        </is>
      </c>
      <c r="E447" t="inlineStr">
        <is>
          <t>ASSET_CLASS 2</t>
        </is>
      </c>
      <c r="F447" t="inlineStr">
        <is>
          <t>high</t>
        </is>
      </c>
      <c r="G447" t="n">
        <v>202</v>
      </c>
      <c r="H447" t="n">
        <v>1.879271274391374</v>
      </c>
      <c r="I447" t="inlineStr">
        <is>
          <t>No: may be mostly FICO</t>
        </is>
      </c>
      <c r="J447" t="n">
        <v>72</v>
      </c>
      <c r="K447">
        <f>'_pockets'!$AI$1056</f>
        <v/>
      </c>
      <c r="L447">
        <f>'_pockets'!$AJ$1056</f>
        <v/>
      </c>
      <c r="M447">
        <f>IF(AND($A447='Pockets'!$D$18,$B447='Pockets'!$C$18,OR('Pockets'!$E$18="All",AND('Pockets'!$E$18="Worse and material",$K447="Yes",$L447="Yes"),AND('Pockets'!$E$18="Worse or not sure",OR($K447="Yes",$K447="Not sure")))),1,0)</f>
        <v/>
      </c>
      <c r="N447">
        <f>$N446+$M447</f>
        <v/>
      </c>
      <c r="O447" t="inlineStr">
        <is>
          <t>three-way</t>
        </is>
      </c>
      <c r="P447" t="inlineStr">
        <is>
          <t>gco_rate</t>
        </is>
      </c>
    </row>
    <row r="448">
      <c r="A448" t="inlineStr">
        <is>
          <t>Split by REV_DEBT</t>
        </is>
      </c>
      <c r="B448" t="inlineStr">
        <is>
          <t>Charge-offs</t>
        </is>
      </c>
      <c r="C448" t="n">
        <v>996</v>
      </c>
      <c r="D448" t="inlineStr">
        <is>
          <t>ORIG_BAL 5,005 - 15,448</t>
        </is>
      </c>
      <c r="E448" t="inlineStr">
        <is>
          <t>ASSET_CLASS 1</t>
        </is>
      </c>
      <c r="F448" t="inlineStr">
        <is>
          <t>high</t>
        </is>
      </c>
      <c r="G448" t="n">
        <v>208</v>
      </c>
      <c r="H448" t="n">
        <v>1.865301059859343</v>
      </c>
      <c r="I448" t="inlineStr">
        <is>
          <t>No: may be mostly FICO</t>
        </is>
      </c>
      <c r="J448" t="n">
        <v>73</v>
      </c>
      <c r="K448">
        <f>'_pockets'!$AI$996</f>
        <v/>
      </c>
      <c r="L448">
        <f>'_pockets'!$AJ$996</f>
        <v/>
      </c>
      <c r="M448">
        <f>IF(AND($A448='Pockets'!$D$18,$B448='Pockets'!$C$18,OR('Pockets'!$E$18="All",AND('Pockets'!$E$18="Worse and material",$K448="Yes",$L448="Yes"),AND('Pockets'!$E$18="Worse or not sure",OR($K448="Yes",$K448="Not sure")))),1,0)</f>
        <v/>
      </c>
      <c r="N448">
        <f>$N447+$M448</f>
        <v/>
      </c>
      <c r="O448" t="inlineStr">
        <is>
          <t>three-way</t>
        </is>
      </c>
      <c r="P448" t="inlineStr">
        <is>
          <t>gco_rate</t>
        </is>
      </c>
    </row>
    <row r="449">
      <c r="A449" t="inlineStr">
        <is>
          <t>Split by REV_DEBT</t>
        </is>
      </c>
      <c r="B449" t="inlineStr">
        <is>
          <t>Charge-offs</t>
        </is>
      </c>
      <c r="C449" t="n">
        <v>1046</v>
      </c>
      <c r="D449" t="inlineStr">
        <is>
          <t>ORIG_BAL 5,005 - 15,448</t>
        </is>
      </c>
      <c r="E449" t="inlineStr">
        <is>
          <t>ASSET_CLASS 4</t>
        </is>
      </c>
      <c r="F449" t="inlineStr">
        <is>
          <t>low</t>
        </is>
      </c>
      <c r="G449" t="n">
        <v>213</v>
      </c>
      <c r="H449" t="n">
        <v>1.854137295979501</v>
      </c>
      <c r="I449" t="inlineStr">
        <is>
          <t>No: may be mostly FICO</t>
        </is>
      </c>
      <c r="J449" t="n">
        <v>74</v>
      </c>
      <c r="K449">
        <f>'_pockets'!$AI$1046</f>
        <v/>
      </c>
      <c r="L449">
        <f>'_pockets'!$AJ$1046</f>
        <v/>
      </c>
      <c r="M449">
        <f>IF(AND($A449='Pockets'!$D$18,$B449='Pockets'!$C$18,OR('Pockets'!$E$18="All",AND('Pockets'!$E$18="Worse and material",$K449="Yes",$L449="Yes"),AND('Pockets'!$E$18="Worse or not sure",OR($K449="Yes",$K449="Not sure")))),1,0)</f>
        <v/>
      </c>
      <c r="N449">
        <f>$N448+$M449</f>
        <v/>
      </c>
      <c r="O449" t="inlineStr">
        <is>
          <t>three-way</t>
        </is>
      </c>
      <c r="P449" t="inlineStr">
        <is>
          <t>gco_rate</t>
        </is>
      </c>
    </row>
    <row r="450">
      <c r="A450" t="inlineStr">
        <is>
          <t>Split by REV_DEBT</t>
        </is>
      </c>
      <c r="B450" t="inlineStr">
        <is>
          <t>Charge-offs</t>
        </is>
      </c>
      <c r="C450" t="n">
        <v>911</v>
      </c>
      <c r="D450" t="inlineStr">
        <is>
          <t>ORIG_BAL 5,005 - 15,448</t>
        </is>
      </c>
      <c r="E450" t="inlineStr">
        <is>
          <t>Branch</t>
        </is>
      </c>
      <c r="F450" t="inlineStr">
        <is>
          <t>high</t>
        </is>
      </c>
      <c r="G450" t="n">
        <v>271</v>
      </c>
      <c r="H450" t="n">
        <v>1.749218625901148</v>
      </c>
      <c r="I450" t="inlineStr">
        <is>
          <t>No: may be mostly FICO</t>
        </is>
      </c>
      <c r="J450" t="n">
        <v>75</v>
      </c>
      <c r="K450">
        <f>'_pockets'!$AI$911</f>
        <v/>
      </c>
      <c r="L450">
        <f>'_pockets'!$AJ$911</f>
        <v/>
      </c>
      <c r="M450">
        <f>IF(AND($A450='Pockets'!$D$18,$B450='Pockets'!$C$18,OR('Pockets'!$E$18="All",AND('Pockets'!$E$18="Worse and material",$K450="Yes",$L450="Yes"),AND('Pockets'!$E$18="Worse or not sure",OR($K450="Yes",$K450="Not sure")))),1,0)</f>
        <v/>
      </c>
      <c r="N450">
        <f>$N449+$M450</f>
        <v/>
      </c>
      <c r="O450" t="inlineStr">
        <is>
          <t>three-way</t>
        </is>
      </c>
      <c r="P450" t="inlineStr">
        <is>
          <t>gco_rate</t>
        </is>
      </c>
    </row>
    <row r="451">
      <c r="A451" t="inlineStr">
        <is>
          <t>Split by REV_DEBT</t>
        </is>
      </c>
      <c r="B451" t="inlineStr">
        <is>
          <t>Charge-offs</t>
        </is>
      </c>
      <c r="C451" t="n">
        <v>1126</v>
      </c>
      <c r="D451" t="inlineStr">
        <is>
          <t>ORIG_BAL 37,951 - 49,151</t>
        </is>
      </c>
      <c r="E451" t="inlineStr">
        <is>
          <t>ASSET_CLASS 2</t>
        </is>
      </c>
      <c r="F451" t="inlineStr">
        <is>
          <t>high</t>
        </is>
      </c>
      <c r="G451" t="n">
        <v>210</v>
      </c>
      <c r="H451" t="n">
        <v>1.860785124193326</v>
      </c>
      <c r="I451" t="inlineStr">
        <is>
          <t>No: may be mostly FICO</t>
        </is>
      </c>
      <c r="J451" t="n">
        <v>76</v>
      </c>
      <c r="K451">
        <f>'_pockets'!$AI$1126</f>
        <v/>
      </c>
      <c r="L451">
        <f>'_pockets'!$AJ$1126</f>
        <v/>
      </c>
      <c r="M451">
        <f>IF(AND($A451='Pockets'!$D$18,$B451='Pockets'!$C$18,OR('Pockets'!$E$18="All",AND('Pockets'!$E$18="Worse and material",$K451="Yes",$L451="Yes"),AND('Pockets'!$E$18="Worse or not sure",OR($K451="Yes",$K451="Not sure")))),1,0)</f>
        <v/>
      </c>
      <c r="N451">
        <f>$N450+$M451</f>
        <v/>
      </c>
      <c r="O451" t="inlineStr">
        <is>
          <t>three-way</t>
        </is>
      </c>
      <c r="P451" t="inlineStr">
        <is>
          <t>gco_rate</t>
        </is>
      </c>
    </row>
    <row r="452">
      <c r="A452" t="inlineStr">
        <is>
          <t>Split by REV_DEBT</t>
        </is>
      </c>
      <c r="B452" t="inlineStr">
        <is>
          <t>Charge-offs</t>
        </is>
      </c>
      <c r="C452" t="n">
        <v>961</v>
      </c>
      <c r="D452" t="inlineStr">
        <is>
          <t>ORIG_BAL 15,449 - 26,323</t>
        </is>
      </c>
      <c r="E452" t="inlineStr">
        <is>
          <t>Branch</t>
        </is>
      </c>
      <c r="F452" t="inlineStr">
        <is>
          <t>high</t>
        </is>
      </c>
      <c r="G452" t="n">
        <v>262</v>
      </c>
      <c r="H452" t="n">
        <v>1.763068744857638</v>
      </c>
      <c r="I452" t="inlineStr">
        <is>
          <t>No: may be mostly FICO</t>
        </is>
      </c>
      <c r="J452" t="n">
        <v>77</v>
      </c>
      <c r="K452">
        <f>'_pockets'!$AI$961</f>
        <v/>
      </c>
      <c r="L452">
        <f>'_pockets'!$AJ$961</f>
        <v/>
      </c>
      <c r="M452">
        <f>IF(AND($A452='Pockets'!$D$18,$B452='Pockets'!$C$18,OR('Pockets'!$E$18="All",AND('Pockets'!$E$18="Worse and material",$K452="Yes",$L452="Yes"),AND('Pockets'!$E$18="Worse or not sure",OR($K452="Yes",$K452="Not sure")))),1,0)</f>
        <v/>
      </c>
      <c r="N452">
        <f>$N451+$M452</f>
        <v/>
      </c>
      <c r="O452" t="inlineStr">
        <is>
          <t>three-way</t>
        </is>
      </c>
      <c r="P452" t="inlineStr">
        <is>
          <t>gco_rate</t>
        </is>
      </c>
    </row>
    <row r="453">
      <c r="A453" t="inlineStr">
        <is>
          <t>Split by REV_DEBT</t>
        </is>
      </c>
      <c r="B453" t="inlineStr">
        <is>
          <t>Charge-offs</t>
        </is>
      </c>
      <c r="C453" t="n">
        <v>1161</v>
      </c>
      <c r="D453" t="inlineStr">
        <is>
          <t>ORIG_BAL 15,449 - 26,323</t>
        </is>
      </c>
      <c r="E453" t="inlineStr">
        <is>
          <t>ASSET_CLASS 2</t>
        </is>
      </c>
      <c r="F453" t="inlineStr">
        <is>
          <t>high</t>
        </is>
      </c>
      <c r="G453" t="n">
        <v>178</v>
      </c>
      <c r="H453" t="n">
        <v>1.942461088917053</v>
      </c>
      <c r="I453" t="inlineStr">
        <is>
          <t>No: may be mostly FICO</t>
        </is>
      </c>
      <c r="J453" t="n">
        <v>78</v>
      </c>
      <c r="K453">
        <f>'_pockets'!$AI$1161</f>
        <v/>
      </c>
      <c r="L453">
        <f>'_pockets'!$AJ$1161</f>
        <v/>
      </c>
      <c r="M453">
        <f>IF(AND($A453='Pockets'!$D$18,$B453='Pockets'!$C$18,OR('Pockets'!$E$18="All",AND('Pockets'!$E$18="Worse and material",$K453="Yes",$L453="Yes"),AND('Pockets'!$E$18="Worse or not sure",OR($K453="Yes",$K453="Not sure")))),1,0)</f>
        <v/>
      </c>
      <c r="N453">
        <f>$N452+$M453</f>
        <v/>
      </c>
      <c r="O453" t="inlineStr">
        <is>
          <t>three-way</t>
        </is>
      </c>
      <c r="P453" t="inlineStr">
        <is>
          <t>gco_rate</t>
        </is>
      </c>
    </row>
    <row r="454">
      <c r="A454" t="inlineStr">
        <is>
          <t>Split by REV_DEBT</t>
        </is>
      </c>
      <c r="B454" t="inlineStr">
        <is>
          <t>Charge-offs</t>
        </is>
      </c>
      <c r="C454" t="n">
        <v>1171</v>
      </c>
      <c r="D454" t="inlineStr">
        <is>
          <t>ORIG_BAL 15,449 - 26,323</t>
        </is>
      </c>
      <c r="E454" t="inlineStr">
        <is>
          <t>ASSET_CLASS 3</t>
        </is>
      </c>
      <c r="F454" t="inlineStr">
        <is>
          <t>low</t>
        </is>
      </c>
      <c r="G454" t="n">
        <v>214</v>
      </c>
      <c r="H454" t="n">
        <v>1.851954154960251</v>
      </c>
      <c r="I454" t="inlineStr">
        <is>
          <t>No: may be mostly FICO</t>
        </is>
      </c>
      <c r="J454" t="n">
        <v>79</v>
      </c>
      <c r="K454">
        <f>'_pockets'!$AI$1171</f>
        <v/>
      </c>
      <c r="L454">
        <f>'_pockets'!$AJ$1171</f>
        <v/>
      </c>
      <c r="M454">
        <f>IF(AND($A454='Pockets'!$D$18,$B454='Pockets'!$C$18,OR('Pockets'!$E$18="All",AND('Pockets'!$E$18="Worse and material",$K454="Yes",$L454="Yes"),AND('Pockets'!$E$18="Worse or not sure",OR($K454="Yes",$K454="Not sure")))),1,0)</f>
        <v/>
      </c>
      <c r="N454">
        <f>$N453+$M454</f>
        <v/>
      </c>
      <c r="O454" t="inlineStr">
        <is>
          <t>three-way</t>
        </is>
      </c>
      <c r="P454" t="inlineStr">
        <is>
          <t>gco_rate</t>
        </is>
      </c>
    </row>
    <row r="455">
      <c r="A455" t="inlineStr">
        <is>
          <t>Split by REV_DEBT</t>
        </is>
      </c>
      <c r="B455" t="inlineStr">
        <is>
          <t>Kept after losses</t>
        </is>
      </c>
      <c r="C455" t="n">
        <v>492</v>
      </c>
      <c r="D455" t="inlineStr">
        <is>
          <t>FICO 496 - 653</t>
        </is>
      </c>
      <c r="E455" t="inlineStr">
        <is>
          <t>Broker</t>
        </is>
      </c>
      <c r="F455" t="inlineStr">
        <is>
          <t>high</t>
        </is>
      </c>
      <c r="G455" t="n">
        <v>261</v>
      </c>
      <c r="H455" t="n">
        <v>-3.584566003374233</v>
      </c>
      <c r="I455" t="inlineStr">
        <is>
          <t>Yes</t>
        </is>
      </c>
      <c r="J455" t="n">
        <v>1</v>
      </c>
      <c r="K455">
        <f>'_pockets'!$AI$492</f>
        <v/>
      </c>
      <c r="L455">
        <f>'_pockets'!$AJ$492</f>
        <v/>
      </c>
      <c r="M455">
        <f>IF(AND($A455='Pockets'!$D$18,$B455='Pockets'!$C$18,OR('Pockets'!$E$18="All",AND('Pockets'!$E$18="Worse and material",$K455="Yes",$L455="Yes"),AND('Pockets'!$E$18="Worse or not sure",OR($K455="Yes",$K455="Not sure")))),1,0)</f>
        <v/>
      </c>
      <c r="N455">
        <f>$N454+$M455</f>
        <v/>
      </c>
      <c r="O455" t="inlineStr">
        <is>
          <t>three-way</t>
        </is>
      </c>
      <c r="P455" t="inlineStr">
        <is>
          <t>ranr_rate</t>
        </is>
      </c>
    </row>
    <row r="456">
      <c r="A456" t="inlineStr">
        <is>
          <t>Split by REV_DEBT</t>
        </is>
      </c>
      <c r="B456" t="inlineStr">
        <is>
          <t>Kept after losses</t>
        </is>
      </c>
      <c r="C456" t="n">
        <v>687</v>
      </c>
      <c r="D456" t="inlineStr">
        <is>
          <t>FICO 496 - 653</t>
        </is>
      </c>
      <c r="E456" t="inlineStr">
        <is>
          <t>ASSET_CLASS 4</t>
        </is>
      </c>
      <c r="F456" t="inlineStr">
        <is>
          <t>high</t>
        </is>
      </c>
      <c r="G456" t="n">
        <v>196</v>
      </c>
      <c r="H456" t="n">
        <v>-4.119195067510546</v>
      </c>
      <c r="I456" t="inlineStr">
        <is>
          <t>Yes</t>
        </is>
      </c>
      <c r="J456" t="n">
        <v>2</v>
      </c>
      <c r="K456">
        <f>'_pockets'!$AI$687</f>
        <v/>
      </c>
      <c r="L456">
        <f>'_pockets'!$AJ$687</f>
        <v/>
      </c>
      <c r="M456">
        <f>IF(AND($A456='Pockets'!$D$18,$B456='Pockets'!$C$18,OR('Pockets'!$E$18="All",AND('Pockets'!$E$18="Worse and material",$K456="Yes",$L456="Yes"),AND('Pockets'!$E$18="Worse or not sure",OR($K456="Yes",$K456="Not sure")))),1,0)</f>
        <v/>
      </c>
      <c r="N456">
        <f>$N455+$M456</f>
        <v/>
      </c>
      <c r="O456" t="inlineStr">
        <is>
          <t>three-way</t>
        </is>
      </c>
      <c r="P456" t="inlineStr">
        <is>
          <t>ranr_rate</t>
        </is>
      </c>
    </row>
    <row r="457">
      <c r="A457" t="inlineStr">
        <is>
          <t>Split by REV_DEBT</t>
        </is>
      </c>
      <c r="B457" t="inlineStr">
        <is>
          <t>Kept after losses</t>
        </is>
      </c>
      <c r="C457" t="n">
        <v>427</v>
      </c>
      <c r="D457" t="inlineStr">
        <is>
          <t>FICO 712 - 745</t>
        </is>
      </c>
      <c r="E457" t="inlineStr">
        <is>
          <t>Branch</t>
        </is>
      </c>
      <c r="F457" t="inlineStr">
        <is>
          <t>high</t>
        </is>
      </c>
      <c r="G457" t="n">
        <v>268</v>
      </c>
      <c r="H457" t="n">
        <v>-3.539044017311852</v>
      </c>
      <c r="I457" t="inlineStr">
        <is>
          <t>Yes</t>
        </is>
      </c>
      <c r="J457" t="n">
        <v>3</v>
      </c>
      <c r="K457">
        <f>'_pockets'!$AI$427</f>
        <v/>
      </c>
      <c r="L457">
        <f>'_pockets'!$AJ$427</f>
        <v/>
      </c>
      <c r="M457">
        <f>IF(AND($A457='Pockets'!$D$18,$B457='Pockets'!$C$18,OR('Pockets'!$E$18="All",AND('Pockets'!$E$18="Worse and material",$K457="Yes",$L457="Yes"),AND('Pockets'!$E$18="Worse or not sure",OR($K457="Yes",$K457="Not sure")))),1,0)</f>
        <v/>
      </c>
      <c r="N457">
        <f>$N456+$M457</f>
        <v/>
      </c>
      <c r="O457" t="inlineStr">
        <is>
          <t>three-way</t>
        </is>
      </c>
      <c r="P457" t="inlineStr">
        <is>
          <t>ranr_rate</t>
        </is>
      </c>
    </row>
    <row r="458">
      <c r="A458" t="inlineStr">
        <is>
          <t>Split by REV_DEBT</t>
        </is>
      </c>
      <c r="B458" t="inlineStr">
        <is>
          <t>Kept after losses</t>
        </is>
      </c>
      <c r="C458" t="n">
        <v>717</v>
      </c>
      <c r="D458" t="inlineStr">
        <is>
          <t>FICO 654 - 685</t>
        </is>
      </c>
      <c r="E458" t="inlineStr">
        <is>
          <t>ASSET_CLASS 4</t>
        </is>
      </c>
      <c r="F458" t="inlineStr">
        <is>
          <t>high</t>
        </is>
      </c>
      <c r="G458" t="n">
        <v>205</v>
      </c>
      <c r="H458" t="n">
        <v>-4.030083706012126</v>
      </c>
      <c r="I458" t="inlineStr">
        <is>
          <t>Yes</t>
        </is>
      </c>
      <c r="J458" t="n">
        <v>4</v>
      </c>
      <c r="K458">
        <f>'_pockets'!$AI$717</f>
        <v/>
      </c>
      <c r="L458">
        <f>'_pockets'!$AJ$717</f>
        <v/>
      </c>
      <c r="M458">
        <f>IF(AND($A458='Pockets'!$D$18,$B458='Pockets'!$C$18,OR('Pockets'!$E$18="All",AND('Pockets'!$E$18="Worse and material",$K458="Yes",$L458="Yes"),AND('Pockets'!$E$18="Worse or not sure",OR($K458="Yes",$K458="Not sure")))),1,0)</f>
        <v/>
      </c>
      <c r="N458">
        <f>$N457+$M458</f>
        <v/>
      </c>
      <c r="O458" t="inlineStr">
        <is>
          <t>three-way</t>
        </is>
      </c>
      <c r="P458" t="inlineStr">
        <is>
          <t>ranr_rate</t>
        </is>
      </c>
    </row>
    <row r="459">
      <c r="A459" t="inlineStr">
        <is>
          <t>Split by REV_DEBT</t>
        </is>
      </c>
      <c r="B459" t="inlineStr">
        <is>
          <t>Kept after losses</t>
        </is>
      </c>
      <c r="C459" t="n">
        <v>532</v>
      </c>
      <c r="D459" t="inlineStr">
        <is>
          <t>FICO 654 - 685</t>
        </is>
      </c>
      <c r="E459" t="inlineStr">
        <is>
          <t>Broker</t>
        </is>
      </c>
      <c r="F459" t="inlineStr">
        <is>
          <t>high</t>
        </is>
      </c>
      <c r="G459" t="n">
        <v>265</v>
      </c>
      <c r="H459" t="n">
        <v>-3.558329630749638</v>
      </c>
      <c r="I459" t="inlineStr">
        <is>
          <t>Yes</t>
        </is>
      </c>
      <c r="J459" t="n">
        <v>5</v>
      </c>
      <c r="K459">
        <f>'_pockets'!$AI$532</f>
        <v/>
      </c>
      <c r="L459">
        <f>'_pockets'!$AJ$532</f>
        <v/>
      </c>
      <c r="M459">
        <f>IF(AND($A459='Pockets'!$D$18,$B459='Pockets'!$C$18,OR('Pockets'!$E$18="All",AND('Pockets'!$E$18="Worse and material",$K459="Yes",$L459="Yes"),AND('Pockets'!$E$18="Worse or not sure",OR($K459="Yes",$K459="Not sure")))),1,0)</f>
        <v/>
      </c>
      <c r="N459">
        <f>$N458+$M459</f>
        <v/>
      </c>
      <c r="O459" t="inlineStr">
        <is>
          <t>three-way</t>
        </is>
      </c>
      <c r="P459" t="inlineStr">
        <is>
          <t>ranr_rate</t>
        </is>
      </c>
    </row>
    <row r="460">
      <c r="A460" t="inlineStr">
        <is>
          <t>Split by REV_DEBT</t>
        </is>
      </c>
      <c r="B460" t="inlineStr">
        <is>
          <t>Kept after losses</t>
        </is>
      </c>
      <c r="C460" t="n">
        <v>552</v>
      </c>
      <c r="D460" t="inlineStr">
        <is>
          <t>FICO 686 - 711</t>
        </is>
      </c>
      <c r="E460" t="inlineStr">
        <is>
          <t>Broker</t>
        </is>
      </c>
      <c r="F460" t="inlineStr">
        <is>
          <t>high</t>
        </is>
      </c>
      <c r="G460" t="n">
        <v>250</v>
      </c>
      <c r="H460" t="n">
        <v>-3.659977058304912</v>
      </c>
      <c r="I460" t="inlineStr">
        <is>
          <t>Yes</t>
        </is>
      </c>
      <c r="J460" t="n">
        <v>6</v>
      </c>
      <c r="K460">
        <f>'_pockets'!$AI$552</f>
        <v/>
      </c>
      <c r="L460">
        <f>'_pockets'!$AJ$552</f>
        <v/>
      </c>
      <c r="M460">
        <f>IF(AND($A460='Pockets'!$D$18,$B460='Pockets'!$C$18,OR('Pockets'!$E$18="All",AND('Pockets'!$E$18="Worse and material",$K460="Yes",$L460="Yes"),AND('Pockets'!$E$18="Worse or not sure",OR($K460="Yes",$K460="Not sure")))),1,0)</f>
        <v/>
      </c>
      <c r="N460">
        <f>$N459+$M460</f>
        <v/>
      </c>
      <c r="O460" t="inlineStr">
        <is>
          <t>three-way</t>
        </is>
      </c>
      <c r="P460" t="inlineStr">
        <is>
          <t>ranr_rate</t>
        </is>
      </c>
    </row>
    <row r="461">
      <c r="A461" t="inlineStr">
        <is>
          <t>Split by REV_DEBT</t>
        </is>
      </c>
      <c r="B461" t="inlineStr">
        <is>
          <t>Kept after losses</t>
        </is>
      </c>
      <c r="C461" t="n">
        <v>692</v>
      </c>
      <c r="D461" t="inlineStr">
        <is>
          <t>FICO 496 - 653</t>
        </is>
      </c>
      <c r="E461" t="inlineStr">
        <is>
          <t>ASSET_CLASS 3</t>
        </is>
      </c>
      <c r="F461" t="inlineStr">
        <is>
          <t>high</t>
        </is>
      </c>
      <c r="G461" t="n">
        <v>175</v>
      </c>
      <c r="H461" t="n">
        <v>-4.35349201951247</v>
      </c>
      <c r="I461" t="inlineStr">
        <is>
          <t>Yes</t>
        </is>
      </c>
      <c r="J461" t="n">
        <v>7</v>
      </c>
      <c r="K461">
        <f>'_pockets'!$AI$692</f>
        <v/>
      </c>
      <c r="L461">
        <f>'_pockets'!$AJ$692</f>
        <v/>
      </c>
      <c r="M461">
        <f>IF(AND($A461='Pockets'!$D$18,$B461='Pockets'!$C$18,OR('Pockets'!$E$18="All",AND('Pockets'!$E$18="Worse and material",$K461="Yes",$L461="Yes"),AND('Pockets'!$E$18="Worse or not sure",OR($K461="Yes",$K461="Not sure")))),1,0)</f>
        <v/>
      </c>
      <c r="N461">
        <f>$N460+$M461</f>
        <v/>
      </c>
      <c r="O461" t="inlineStr">
        <is>
          <t>three-way</t>
        </is>
      </c>
      <c r="P461" t="inlineStr">
        <is>
          <t>ranr_rate</t>
        </is>
      </c>
    </row>
    <row r="462">
      <c r="A462" t="inlineStr">
        <is>
          <t>Split by REV_DEBT</t>
        </is>
      </c>
      <c r="B462" t="inlineStr">
        <is>
          <t>Kept after losses</t>
        </is>
      </c>
      <c r="C462" t="n">
        <v>777</v>
      </c>
      <c r="D462" t="inlineStr">
        <is>
          <t>FICO 686 - 711</t>
        </is>
      </c>
      <c r="E462" t="inlineStr">
        <is>
          <t>ASSET_CLASS 3</t>
        </is>
      </c>
      <c r="F462" t="inlineStr">
        <is>
          <t>high</t>
        </is>
      </c>
      <c r="G462" t="n">
        <v>194</v>
      </c>
      <c r="H462" t="n">
        <v>-4.139843076855238</v>
      </c>
      <c r="I462" t="inlineStr">
        <is>
          <t>Yes</t>
        </is>
      </c>
      <c r="J462" t="n">
        <v>8</v>
      </c>
      <c r="K462">
        <f>'_pockets'!$AI$777</f>
        <v/>
      </c>
      <c r="L462">
        <f>'_pockets'!$AJ$777</f>
        <v/>
      </c>
      <c r="M462">
        <f>IF(AND($A462='Pockets'!$D$18,$B462='Pockets'!$C$18,OR('Pockets'!$E$18="All",AND('Pockets'!$E$18="Worse and material",$K462="Yes",$L462="Yes"),AND('Pockets'!$E$18="Worse or not sure",OR($K462="Yes",$K462="Not sure")))),1,0)</f>
        <v/>
      </c>
      <c r="N462">
        <f>$N461+$M462</f>
        <v/>
      </c>
      <c r="O462" t="inlineStr">
        <is>
          <t>three-way</t>
        </is>
      </c>
      <c r="P462" t="inlineStr">
        <is>
          <t>ranr_rate</t>
        </is>
      </c>
    </row>
    <row r="463">
      <c r="A463" t="inlineStr">
        <is>
          <t>Split by REV_DEBT</t>
        </is>
      </c>
      <c r="B463" t="inlineStr">
        <is>
          <t>Kept after losses</t>
        </is>
      </c>
      <c r="C463" t="n">
        <v>472</v>
      </c>
      <c r="D463" t="inlineStr">
        <is>
          <t>FICO 654 - 685</t>
        </is>
      </c>
      <c r="E463" t="inlineStr">
        <is>
          <t>Branch</t>
        </is>
      </c>
      <c r="F463" t="inlineStr">
        <is>
          <t>high</t>
        </is>
      </c>
      <c r="G463" t="n">
        <v>251</v>
      </c>
      <c r="H463" t="n">
        <v>-3.652914701040563</v>
      </c>
      <c r="I463" t="inlineStr">
        <is>
          <t>Yes</t>
        </is>
      </c>
      <c r="J463" t="n">
        <v>9</v>
      </c>
      <c r="K463">
        <f>'_pockets'!$AI$472</f>
        <v/>
      </c>
      <c r="L463">
        <f>'_pockets'!$AJ$472</f>
        <v/>
      </c>
      <c r="M463">
        <f>IF(AND($A463='Pockets'!$D$18,$B463='Pockets'!$C$18,OR('Pockets'!$E$18="All",AND('Pockets'!$E$18="Worse and material",$K463="Yes",$L463="Yes"),AND('Pockets'!$E$18="Worse or not sure",OR($K463="Yes",$K463="Not sure")))),1,0)</f>
        <v/>
      </c>
      <c r="N463">
        <f>$N462+$M463</f>
        <v/>
      </c>
      <c r="O463" t="inlineStr">
        <is>
          <t>three-way</t>
        </is>
      </c>
      <c r="P463" t="inlineStr">
        <is>
          <t>ranr_rate</t>
        </is>
      </c>
    </row>
    <row r="464">
      <c r="A464" t="inlineStr">
        <is>
          <t>Split by REV_DEBT</t>
        </is>
      </c>
      <c r="B464" t="inlineStr">
        <is>
          <t>Kept after losses</t>
        </is>
      </c>
      <c r="C464" t="n">
        <v>812</v>
      </c>
      <c r="D464" t="inlineStr">
        <is>
          <t>FICO 686 - 711</t>
        </is>
      </c>
      <c r="E464" t="inlineStr">
        <is>
          <t>ASSET_CLASS 4</t>
        </is>
      </c>
      <c r="F464" t="inlineStr">
        <is>
          <t>high</t>
        </is>
      </c>
      <c r="G464" t="n">
        <v>203</v>
      </c>
      <c r="H464" t="n">
        <v>-4.049368160317101</v>
      </c>
      <c r="I464" t="inlineStr">
        <is>
          <t>Yes</t>
        </is>
      </c>
      <c r="J464" t="n">
        <v>10</v>
      </c>
      <c r="K464">
        <f>'_pockets'!$AI$812</f>
        <v/>
      </c>
      <c r="L464">
        <f>'_pockets'!$AJ$812</f>
        <v/>
      </c>
      <c r="M464">
        <f>IF(AND($A464='Pockets'!$D$18,$B464='Pockets'!$C$18,OR('Pockets'!$E$18="All",AND('Pockets'!$E$18="Worse and material",$K464="Yes",$L464="Yes"),AND('Pockets'!$E$18="Worse or not sure",OR($K464="Yes",$K464="Not sure")))),1,0)</f>
        <v/>
      </c>
      <c r="N464">
        <f>$N463+$M464</f>
        <v/>
      </c>
      <c r="O464" t="inlineStr">
        <is>
          <t>three-way</t>
        </is>
      </c>
      <c r="P464" t="inlineStr">
        <is>
          <t>ranr_rate</t>
        </is>
      </c>
    </row>
    <row r="465">
      <c r="A465" t="inlineStr">
        <is>
          <t>Split by REV_DEBT</t>
        </is>
      </c>
      <c r="B465" t="inlineStr">
        <is>
          <t>Kept after losses</t>
        </is>
      </c>
      <c r="C465" t="n">
        <v>622</v>
      </c>
      <c r="D465" t="inlineStr">
        <is>
          <t>FICO 712 - 745</t>
        </is>
      </c>
      <c r="E465" t="inlineStr">
        <is>
          <t>ASSET_CLASS 4</t>
        </is>
      </c>
      <c r="F465" t="inlineStr">
        <is>
          <t>high</t>
        </is>
      </c>
      <c r="G465" t="n">
        <v>213</v>
      </c>
      <c r="H465" t="n">
        <v>-3.955707734726773</v>
      </c>
      <c r="I465" t="inlineStr">
        <is>
          <t>Yes</t>
        </is>
      </c>
      <c r="J465" t="n">
        <v>11</v>
      </c>
      <c r="K465">
        <f>'_pockets'!$AI$622</f>
        <v/>
      </c>
      <c r="L465">
        <f>'_pockets'!$AJ$622</f>
        <v/>
      </c>
      <c r="M465">
        <f>IF(AND($A465='Pockets'!$D$18,$B465='Pockets'!$C$18,OR('Pockets'!$E$18="All",AND('Pockets'!$E$18="Worse and material",$K465="Yes",$L465="Yes"),AND('Pockets'!$E$18="Worse or not sure",OR($K465="Yes",$K465="Not sure")))),1,0)</f>
        <v/>
      </c>
      <c r="N465">
        <f>$N464+$M465</f>
        <v/>
      </c>
      <c r="O465" t="inlineStr">
        <is>
          <t>three-way</t>
        </is>
      </c>
      <c r="P465" t="inlineStr">
        <is>
          <t>ranr_rate</t>
        </is>
      </c>
    </row>
    <row r="466">
      <c r="A466" t="inlineStr">
        <is>
          <t>Split by REV_DEBT</t>
        </is>
      </c>
      <c r="B466" t="inlineStr">
        <is>
          <t>Kept after losses</t>
        </is>
      </c>
      <c r="C466" t="n">
        <v>562</v>
      </c>
      <c r="D466" t="inlineStr">
        <is>
          <t>FICO 686 - 711</t>
        </is>
      </c>
      <c r="E466" t="inlineStr">
        <is>
          <t>Branch</t>
        </is>
      </c>
      <c r="F466" t="inlineStr">
        <is>
          <t>high</t>
        </is>
      </c>
      <c r="G466" t="n">
        <v>257</v>
      </c>
      <c r="H466" t="n">
        <v>-3.611420448411321</v>
      </c>
      <c r="I466" t="inlineStr">
        <is>
          <t>Yes</t>
        </is>
      </c>
      <c r="J466" t="n">
        <v>12</v>
      </c>
      <c r="K466">
        <f>'_pockets'!$AI$562</f>
        <v/>
      </c>
      <c r="L466">
        <f>'_pockets'!$AJ$562</f>
        <v/>
      </c>
      <c r="M466">
        <f>IF(AND($A466='Pockets'!$D$18,$B466='Pockets'!$C$18,OR('Pockets'!$E$18="All",AND('Pockets'!$E$18="Worse and material",$K466="Yes",$L466="Yes"),AND('Pockets'!$E$18="Worse or not sure",OR($K466="Yes",$K466="Not sure")))),1,0)</f>
        <v/>
      </c>
      <c r="N466">
        <f>$N465+$M466</f>
        <v/>
      </c>
      <c r="O466" t="inlineStr">
        <is>
          <t>three-way</t>
        </is>
      </c>
      <c r="P466" t="inlineStr">
        <is>
          <t>ranr_rate</t>
        </is>
      </c>
    </row>
    <row r="467">
      <c r="A467" t="inlineStr">
        <is>
          <t>Split by REV_DEBT</t>
        </is>
      </c>
      <c r="B467" t="inlineStr">
        <is>
          <t>Kept after losses</t>
        </is>
      </c>
      <c r="C467" t="n">
        <v>627</v>
      </c>
      <c r="D467" t="inlineStr">
        <is>
          <t>FICO 746 - 921</t>
        </is>
      </c>
      <c r="E467" t="inlineStr">
        <is>
          <t>ASSET_CLASS 2</t>
        </is>
      </c>
      <c r="F467" t="inlineStr">
        <is>
          <t>high</t>
        </is>
      </c>
      <c r="G467" t="n">
        <v>199</v>
      </c>
      <c r="H467" t="n">
        <v>-4.088814032012918</v>
      </c>
      <c r="I467" t="inlineStr">
        <is>
          <t>Yes</t>
        </is>
      </c>
      <c r="J467" t="n">
        <v>13</v>
      </c>
      <c r="K467">
        <f>'_pockets'!$AI$627</f>
        <v/>
      </c>
      <c r="L467">
        <f>'_pockets'!$AJ$627</f>
        <v/>
      </c>
      <c r="M467">
        <f>IF(AND($A467='Pockets'!$D$18,$B467='Pockets'!$C$18,OR('Pockets'!$E$18="All",AND('Pockets'!$E$18="Worse and material",$K467="Yes",$L467="Yes"),AND('Pockets'!$E$18="Worse or not sure",OR($K467="Yes",$K467="Not sure")))),1,0)</f>
        <v/>
      </c>
      <c r="N467">
        <f>$N466+$M467</f>
        <v/>
      </c>
      <c r="O467" t="inlineStr">
        <is>
          <t>three-way</t>
        </is>
      </c>
      <c r="P467" t="inlineStr">
        <is>
          <t>ranr_rate</t>
        </is>
      </c>
    </row>
    <row r="468">
      <c r="A468" t="inlineStr">
        <is>
          <t>Split by REV_DEBT</t>
        </is>
      </c>
      <c r="B468" t="inlineStr">
        <is>
          <t>Kept after losses</t>
        </is>
      </c>
      <c r="C468" t="n">
        <v>672</v>
      </c>
      <c r="D468" t="inlineStr">
        <is>
          <t>FICO 686 - 711</t>
        </is>
      </c>
      <c r="E468" t="inlineStr">
        <is>
          <t>ASSET_CLASS 1</t>
        </is>
      </c>
      <c r="F468" t="inlineStr">
        <is>
          <t>high</t>
        </is>
      </c>
      <c r="G468" t="n">
        <v>186</v>
      </c>
      <c r="H468" t="n">
        <v>-4.225769591809444</v>
      </c>
      <c r="I468" t="inlineStr">
        <is>
          <t>Yes</t>
        </is>
      </c>
      <c r="J468" t="n">
        <v>14</v>
      </c>
      <c r="K468">
        <f>'_pockets'!$AI$672</f>
        <v/>
      </c>
      <c r="L468">
        <f>'_pockets'!$AJ$672</f>
        <v/>
      </c>
      <c r="M468">
        <f>IF(AND($A468='Pockets'!$D$18,$B468='Pockets'!$C$18,OR('Pockets'!$E$18="All",AND('Pockets'!$E$18="Worse and material",$K468="Yes",$L468="Yes"),AND('Pockets'!$E$18="Worse or not sure",OR($K468="Yes",$K468="Not sure")))),1,0)</f>
        <v/>
      </c>
      <c r="N468">
        <f>$N467+$M468</f>
        <v/>
      </c>
      <c r="O468" t="inlineStr">
        <is>
          <t>three-way</t>
        </is>
      </c>
      <c r="P468" t="inlineStr">
        <is>
          <t>ranr_rate</t>
        </is>
      </c>
    </row>
    <row r="469">
      <c r="A469" t="inlineStr">
        <is>
          <t>Split by REV_DEBT</t>
        </is>
      </c>
      <c r="B469" t="inlineStr">
        <is>
          <t>Kept after losses</t>
        </is>
      </c>
      <c r="C469" t="n">
        <v>477</v>
      </c>
      <c r="D469" t="inlineStr">
        <is>
          <t>FICO 712 - 745</t>
        </is>
      </c>
      <c r="E469" t="inlineStr">
        <is>
          <t>Broker</t>
        </is>
      </c>
      <c r="F469" t="inlineStr">
        <is>
          <t>low</t>
        </is>
      </c>
      <c r="G469" t="n">
        <v>255</v>
      </c>
      <c r="H469" t="n">
        <v>-3.625087014166709</v>
      </c>
      <c r="I469" t="inlineStr">
        <is>
          <t>Yes</t>
        </is>
      </c>
      <c r="J469" t="n">
        <v>15</v>
      </c>
      <c r="K469">
        <f>'_pockets'!$AI$477</f>
        <v/>
      </c>
      <c r="L469">
        <f>'_pockets'!$AJ$477</f>
        <v/>
      </c>
      <c r="M469">
        <f>IF(AND($A469='Pockets'!$D$18,$B469='Pockets'!$C$18,OR('Pockets'!$E$18="All",AND('Pockets'!$E$18="Worse and material",$K469="Yes",$L469="Yes"),AND('Pockets'!$E$18="Worse or not sure",OR($K469="Yes",$K469="Not sure")))),1,0)</f>
        <v/>
      </c>
      <c r="N469">
        <f>$N468+$M469</f>
        <v/>
      </c>
      <c r="O469" t="inlineStr">
        <is>
          <t>three-way</t>
        </is>
      </c>
      <c r="P469" t="inlineStr">
        <is>
          <t>ranr_rate</t>
        </is>
      </c>
    </row>
    <row r="470">
      <c r="A470" t="inlineStr">
        <is>
          <t>Split by REV_DEBT</t>
        </is>
      </c>
      <c r="B470" t="inlineStr">
        <is>
          <t>Kept after losses</t>
        </is>
      </c>
      <c r="C470" t="n">
        <v>567</v>
      </c>
      <c r="D470" t="inlineStr">
        <is>
          <t>FICO 686 - 711</t>
        </is>
      </c>
      <c r="E470" t="inlineStr">
        <is>
          <t>Branch</t>
        </is>
      </c>
      <c r="F470" t="inlineStr">
        <is>
          <t>low</t>
        </is>
      </c>
      <c r="G470" t="n">
        <v>258</v>
      </c>
      <c r="H470" t="n">
        <v>-3.604647582275089</v>
      </c>
      <c r="I470" t="inlineStr">
        <is>
          <t>Yes</t>
        </is>
      </c>
      <c r="J470" t="n">
        <v>16</v>
      </c>
      <c r="K470">
        <f>'_pockets'!$AI$567</f>
        <v/>
      </c>
      <c r="L470">
        <f>'_pockets'!$AJ$567</f>
        <v/>
      </c>
      <c r="M470">
        <f>IF(AND($A470='Pockets'!$D$18,$B470='Pockets'!$C$18,OR('Pockets'!$E$18="All",AND('Pockets'!$E$18="Worse and material",$K470="Yes",$L470="Yes"),AND('Pockets'!$E$18="Worse or not sure",OR($K470="Yes",$K470="Not sure")))),1,0)</f>
        <v/>
      </c>
      <c r="N470">
        <f>$N469+$M470</f>
        <v/>
      </c>
      <c r="O470" t="inlineStr">
        <is>
          <t>three-way</t>
        </is>
      </c>
      <c r="P470" t="inlineStr">
        <is>
          <t>ranr_rate</t>
        </is>
      </c>
    </row>
    <row r="471">
      <c r="A471" t="inlineStr">
        <is>
          <t>Split by REV_DEBT</t>
        </is>
      </c>
      <c r="B471" t="inlineStr">
        <is>
          <t>Kept after losses</t>
        </is>
      </c>
      <c r="C471" t="n">
        <v>707</v>
      </c>
      <c r="D471" t="inlineStr">
        <is>
          <t>FICO 654 - 685</t>
        </is>
      </c>
      <c r="E471" t="inlineStr">
        <is>
          <t>ASSET_CLASS 3</t>
        </is>
      </c>
      <c r="F471" t="inlineStr">
        <is>
          <t>high</t>
        </is>
      </c>
      <c r="G471" t="n">
        <v>188</v>
      </c>
      <c r="H471" t="n">
        <v>-4.203770075861335</v>
      </c>
      <c r="I471" t="inlineStr">
        <is>
          <t>Yes</t>
        </is>
      </c>
      <c r="J471" t="n">
        <v>17</v>
      </c>
      <c r="K471">
        <f>'_pockets'!$AI$707</f>
        <v/>
      </c>
      <c r="L471">
        <f>'_pockets'!$AJ$707</f>
        <v/>
      </c>
      <c r="M471">
        <f>IF(AND($A471='Pockets'!$D$18,$B471='Pockets'!$C$18,OR('Pockets'!$E$18="All",AND('Pockets'!$E$18="Worse and material",$K471="Yes",$L471="Yes"),AND('Pockets'!$E$18="Worse or not sure",OR($K471="Yes",$K471="Not sure")))),1,0)</f>
        <v/>
      </c>
      <c r="N471">
        <f>$N470+$M471</f>
        <v/>
      </c>
      <c r="O471" t="inlineStr">
        <is>
          <t>three-way</t>
        </is>
      </c>
      <c r="P471" t="inlineStr">
        <is>
          <t>ranr_rate</t>
        </is>
      </c>
    </row>
    <row r="472">
      <c r="A472" t="inlineStr">
        <is>
          <t>Split by REV_DEBT</t>
        </is>
      </c>
      <c r="B472" t="inlineStr">
        <is>
          <t>Kept after losses</t>
        </is>
      </c>
      <c r="C472" t="n">
        <v>652</v>
      </c>
      <c r="D472" t="inlineStr">
        <is>
          <t>FICO 496 - 653</t>
        </is>
      </c>
      <c r="E472" t="inlineStr">
        <is>
          <t>ASSET_CLASS 4</t>
        </is>
      </c>
      <c r="F472" t="inlineStr">
        <is>
          <t>low</t>
        </is>
      </c>
      <c r="G472" t="n">
        <v>196</v>
      </c>
      <c r="H472" t="n">
        <v>-4.119195067510546</v>
      </c>
      <c r="I472" t="inlineStr">
        <is>
          <t>Yes</t>
        </is>
      </c>
      <c r="J472" t="n">
        <v>18</v>
      </c>
      <c r="K472">
        <f>'_pockets'!$AI$652</f>
        <v/>
      </c>
      <c r="L472">
        <f>'_pockets'!$AJ$652</f>
        <v/>
      </c>
      <c r="M472">
        <f>IF(AND($A472='Pockets'!$D$18,$B472='Pockets'!$C$18,OR('Pockets'!$E$18="All",AND('Pockets'!$E$18="Worse and material",$K472="Yes",$L472="Yes"),AND('Pockets'!$E$18="Worse or not sure",OR($K472="Yes",$K472="Not sure")))),1,0)</f>
        <v/>
      </c>
      <c r="N472">
        <f>$N471+$M472</f>
        <v/>
      </c>
      <c r="O472" t="inlineStr">
        <is>
          <t>three-way</t>
        </is>
      </c>
      <c r="P472" t="inlineStr">
        <is>
          <t>ranr_rate</t>
        </is>
      </c>
    </row>
    <row r="473">
      <c r="A473" t="inlineStr">
        <is>
          <t>Split by REV_DEBT</t>
        </is>
      </c>
      <c r="B473" t="inlineStr">
        <is>
          <t>Kept after losses</t>
        </is>
      </c>
      <c r="C473" t="n">
        <v>747</v>
      </c>
      <c r="D473" t="inlineStr">
        <is>
          <t>FICO (marked missing)</t>
        </is>
      </c>
      <c r="E473" t="inlineStr">
        <is>
          <t>ASSET_CLASS 3</t>
        </is>
      </c>
      <c r="F473" t="inlineStr">
        <is>
          <t>low</t>
        </is>
      </c>
      <c r="G473" t="n">
        <v>22</v>
      </c>
      <c r="H473" t="n">
        <v>-12.16018162082152</v>
      </c>
      <c r="I473" t="inlineStr">
        <is>
          <t>Yes</t>
        </is>
      </c>
      <c r="J473" t="n">
        <v>19</v>
      </c>
      <c r="K473">
        <f>'_pockets'!$AI$747</f>
        <v/>
      </c>
      <c r="L473">
        <f>'_pockets'!$AJ$747</f>
        <v/>
      </c>
      <c r="M473">
        <f>IF(AND($A473='Pockets'!$D$18,$B473='Pockets'!$C$18,OR('Pockets'!$E$18="All",AND('Pockets'!$E$18="Worse and material",$K473="Yes",$L473="Yes"),AND('Pockets'!$E$18="Worse or not sure",OR($K473="Yes",$K473="Not sure")))),1,0)</f>
        <v/>
      </c>
      <c r="N473">
        <f>$N472+$M473</f>
        <v/>
      </c>
      <c r="O473" t="inlineStr">
        <is>
          <t>three-way</t>
        </is>
      </c>
      <c r="P473" t="inlineStr">
        <is>
          <t>ranr_rate</t>
        </is>
      </c>
    </row>
    <row r="474">
      <c r="A474" t="inlineStr">
        <is>
          <t>Split by REV_DEBT</t>
        </is>
      </c>
      <c r="B474" t="inlineStr">
        <is>
          <t>Kept after losses</t>
        </is>
      </c>
      <c r="C474" t="n">
        <v>682</v>
      </c>
      <c r="D474" t="inlineStr">
        <is>
          <t>FICO 654 - 685</t>
        </is>
      </c>
      <c r="E474" t="inlineStr">
        <is>
          <t>ASSET_CLASS 1</t>
        </is>
      </c>
      <c r="F474" t="inlineStr">
        <is>
          <t>high</t>
        </is>
      </c>
      <c r="G474" t="n">
        <v>198</v>
      </c>
      <c r="H474" t="n">
        <v>-4.098863576566607</v>
      </c>
      <c r="I474" t="inlineStr">
        <is>
          <t>Yes</t>
        </is>
      </c>
      <c r="J474" t="n">
        <v>20</v>
      </c>
      <c r="K474">
        <f>'_pockets'!$AI$682</f>
        <v/>
      </c>
      <c r="L474">
        <f>'_pockets'!$AJ$682</f>
        <v/>
      </c>
      <c r="M474">
        <f>IF(AND($A474='Pockets'!$D$18,$B474='Pockets'!$C$18,OR('Pockets'!$E$18="All",AND('Pockets'!$E$18="Worse and material",$K474="Yes",$L474="Yes"),AND('Pockets'!$E$18="Worse or not sure",OR($K474="Yes",$K474="Not sure")))),1,0)</f>
        <v/>
      </c>
      <c r="N474">
        <f>$N473+$M474</f>
        <v/>
      </c>
      <c r="O474" t="inlineStr">
        <is>
          <t>three-way</t>
        </is>
      </c>
      <c r="P474" t="inlineStr">
        <is>
          <t>ranr_rate</t>
        </is>
      </c>
    </row>
    <row r="475">
      <c r="A475" t="inlineStr">
        <is>
          <t>Split by REV_DEBT</t>
        </is>
      </c>
      <c r="B475" t="inlineStr">
        <is>
          <t>Kept after losses</t>
        </is>
      </c>
      <c r="C475" t="n">
        <v>502</v>
      </c>
      <c r="D475" t="inlineStr">
        <is>
          <t>FICO 654 - 685</t>
        </is>
      </c>
      <c r="E475" t="inlineStr">
        <is>
          <t>Branch</t>
        </is>
      </c>
      <c r="F475" t="inlineStr">
        <is>
          <t>low</t>
        </is>
      </c>
      <c r="G475" t="n">
        <v>252</v>
      </c>
      <c r="H475" t="n">
        <v>-3.645894937123153</v>
      </c>
      <c r="I475" t="inlineStr">
        <is>
          <t>Yes</t>
        </is>
      </c>
      <c r="J475" t="n">
        <v>21</v>
      </c>
      <c r="K475">
        <f>'_pockets'!$AI$502</f>
        <v/>
      </c>
      <c r="L475">
        <f>'_pockets'!$AJ$502</f>
        <v/>
      </c>
      <c r="M475">
        <f>IF(AND($A475='Pockets'!$D$18,$B475='Pockets'!$C$18,OR('Pockets'!$E$18="All",AND('Pockets'!$E$18="Worse and material",$K475="Yes",$L475="Yes"),AND('Pockets'!$E$18="Worse or not sure",OR($K475="Yes",$K475="Not sure")))),1,0)</f>
        <v/>
      </c>
      <c r="N475">
        <f>$N474+$M475</f>
        <v/>
      </c>
      <c r="O475" t="inlineStr">
        <is>
          <t>three-way</t>
        </is>
      </c>
      <c r="P475" t="inlineStr">
        <is>
          <t>ranr_rate</t>
        </is>
      </c>
    </row>
    <row r="476">
      <c r="A476" t="inlineStr">
        <is>
          <t>Split by REV_DEBT</t>
        </is>
      </c>
      <c r="B476" t="inlineStr">
        <is>
          <t>Kept after losses</t>
        </is>
      </c>
      <c r="C476" t="n">
        <v>442</v>
      </c>
      <c r="D476" t="inlineStr">
        <is>
          <t>FICO 496 - 653</t>
        </is>
      </c>
      <c r="E476" t="inlineStr">
        <is>
          <t>Broker</t>
        </is>
      </c>
      <c r="F476" t="inlineStr">
        <is>
          <t>low</t>
        </is>
      </c>
      <c r="G476" t="n">
        <v>262</v>
      </c>
      <c r="H476" t="n">
        <v>-3.57794988953858</v>
      </c>
      <c r="I476" t="inlineStr">
        <is>
          <t>Yes</t>
        </is>
      </c>
      <c r="J476" t="n">
        <v>22</v>
      </c>
      <c r="K476">
        <f>'_pockets'!$AI$442</f>
        <v/>
      </c>
      <c r="L476">
        <f>'_pockets'!$AJ$442</f>
        <v/>
      </c>
      <c r="M476">
        <f>IF(AND($A476='Pockets'!$D$18,$B476='Pockets'!$C$18,OR('Pockets'!$E$18="All",AND('Pockets'!$E$18="Worse and material",$K476="Yes",$L476="Yes"),AND('Pockets'!$E$18="Worse or not sure",OR($K476="Yes",$K476="Not sure")))),1,0)</f>
        <v/>
      </c>
      <c r="N476">
        <f>$N475+$M476</f>
        <v/>
      </c>
      <c r="O476" t="inlineStr">
        <is>
          <t>three-way</t>
        </is>
      </c>
      <c r="P476" t="inlineStr">
        <is>
          <t>ranr_rate</t>
        </is>
      </c>
    </row>
    <row r="477">
      <c r="A477" t="inlineStr">
        <is>
          <t>Split by REV_DEBT</t>
        </is>
      </c>
      <c r="B477" t="inlineStr">
        <is>
          <t>Kept after losses</t>
        </is>
      </c>
      <c r="C477" t="n">
        <v>807</v>
      </c>
      <c r="D477" t="inlineStr">
        <is>
          <t>FICO 654 - 685</t>
        </is>
      </c>
      <c r="E477" t="inlineStr">
        <is>
          <t>ASSET_CLASS 4</t>
        </is>
      </c>
      <c r="F477" t="inlineStr">
        <is>
          <t>low</t>
        </is>
      </c>
      <c r="G477" t="n">
        <v>205</v>
      </c>
      <c r="H477" t="n">
        <v>-4.030083706012126</v>
      </c>
      <c r="I477" t="inlineStr">
        <is>
          <t>Yes</t>
        </is>
      </c>
      <c r="J477" t="n">
        <v>23</v>
      </c>
      <c r="K477">
        <f>'_pockets'!$AI$807</f>
        <v/>
      </c>
      <c r="L477">
        <f>'_pockets'!$AJ$807</f>
        <v/>
      </c>
      <c r="M477">
        <f>IF(AND($A477='Pockets'!$D$18,$B477='Pockets'!$C$18,OR('Pockets'!$E$18="All",AND('Pockets'!$E$18="Worse and material",$K477="Yes",$L477="Yes"),AND('Pockets'!$E$18="Worse or not sure",OR($K477="Yes",$K477="Not sure")))),1,0)</f>
        <v/>
      </c>
      <c r="N477">
        <f>$N476+$M477</f>
        <v/>
      </c>
      <c r="O477" t="inlineStr">
        <is>
          <t>three-way</t>
        </is>
      </c>
      <c r="P477" t="inlineStr">
        <is>
          <t>ranr_rate</t>
        </is>
      </c>
    </row>
    <row r="478">
      <c r="A478" t="inlineStr">
        <is>
          <t>Split by REV_DEBT</t>
        </is>
      </c>
      <c r="B478" t="inlineStr">
        <is>
          <t>Kept after losses</t>
        </is>
      </c>
      <c r="C478" t="n">
        <v>592</v>
      </c>
      <c r="D478" t="inlineStr">
        <is>
          <t>FICO (marked missing)</t>
        </is>
      </c>
      <c r="E478" t="inlineStr">
        <is>
          <t>Broker</t>
        </is>
      </c>
      <c r="F478" t="inlineStr">
        <is>
          <t>high</t>
        </is>
      </c>
      <c r="G478" t="n">
        <v>27</v>
      </c>
      <c r="H478" t="n">
        <v>-10.9800842085137</v>
      </c>
      <c r="I478" t="inlineStr">
        <is>
          <t>Yes</t>
        </is>
      </c>
      <c r="J478" t="n">
        <v>24</v>
      </c>
      <c r="K478">
        <f>'_pockets'!$AI$592</f>
        <v/>
      </c>
      <c r="L478">
        <f>'_pockets'!$AJ$592</f>
        <v/>
      </c>
      <c r="M478">
        <f>IF(AND($A478='Pockets'!$D$18,$B478='Pockets'!$C$18,OR('Pockets'!$E$18="All",AND('Pockets'!$E$18="Worse and material",$K478="Yes",$L478="Yes"),AND('Pockets'!$E$18="Worse or not sure",OR($K478="Yes",$K478="Not sure")))),1,0)</f>
        <v/>
      </c>
      <c r="N478">
        <f>$N477+$M478</f>
        <v/>
      </c>
      <c r="O478" t="inlineStr">
        <is>
          <t>three-way</t>
        </is>
      </c>
      <c r="P478" t="inlineStr">
        <is>
          <t>ranr_rate</t>
        </is>
      </c>
    </row>
    <row r="479">
      <c r="A479" t="inlineStr">
        <is>
          <t>Split by REV_DEBT</t>
        </is>
      </c>
      <c r="B479" t="inlineStr">
        <is>
          <t>Kept after losses</t>
        </is>
      </c>
      <c r="C479" t="n">
        <v>782</v>
      </c>
      <c r="D479" t="inlineStr">
        <is>
          <t>FICO 496 - 653</t>
        </is>
      </c>
      <c r="E479" t="inlineStr">
        <is>
          <t>ASSET_CLASS 2</t>
        </is>
      </c>
      <c r="F479" t="inlineStr">
        <is>
          <t>high</t>
        </is>
      </c>
      <c r="G479" t="n">
        <v>197</v>
      </c>
      <c r="H479" t="n">
        <v>-4.108990260368546</v>
      </c>
      <c r="I479" t="inlineStr">
        <is>
          <t>Yes</t>
        </is>
      </c>
      <c r="J479" t="n">
        <v>25</v>
      </c>
      <c r="K479">
        <f>'_pockets'!$AI$782</f>
        <v/>
      </c>
      <c r="L479">
        <f>'_pockets'!$AJ$782</f>
        <v/>
      </c>
      <c r="M479">
        <f>IF(AND($A479='Pockets'!$D$18,$B479='Pockets'!$C$18,OR('Pockets'!$E$18="All",AND('Pockets'!$E$18="Worse and material",$K479="Yes",$L479="Yes"),AND('Pockets'!$E$18="Worse or not sure",OR($K479="Yes",$K479="Not sure")))),1,0)</f>
        <v/>
      </c>
      <c r="N479">
        <f>$N478+$M479</f>
        <v/>
      </c>
      <c r="O479" t="inlineStr">
        <is>
          <t>three-way</t>
        </is>
      </c>
      <c r="P479" t="inlineStr">
        <is>
          <t>ranr_rate</t>
        </is>
      </c>
    </row>
    <row r="480">
      <c r="A480" t="inlineStr">
        <is>
          <t>Split by REV_DEBT</t>
        </is>
      </c>
      <c r="B480" t="inlineStr">
        <is>
          <t>Kept after losses</t>
        </is>
      </c>
      <c r="C480" t="n">
        <v>507</v>
      </c>
      <c r="D480" t="inlineStr">
        <is>
          <t>FICO 654 - 685</t>
        </is>
      </c>
      <c r="E480" t="inlineStr">
        <is>
          <t>Online</t>
        </is>
      </c>
      <c r="F480" t="inlineStr">
        <is>
          <t>high</t>
        </is>
      </c>
      <c r="G480" t="n">
        <v>252</v>
      </c>
      <c r="H480" t="n">
        <v>-3.645894937123153</v>
      </c>
      <c r="I480" t="inlineStr">
        <is>
          <t>Yes</t>
        </is>
      </c>
      <c r="J480" t="n">
        <v>26</v>
      </c>
      <c r="K480">
        <f>'_pockets'!$AI$507</f>
        <v/>
      </c>
      <c r="L480">
        <f>'_pockets'!$AJ$507</f>
        <v/>
      </c>
      <c r="M480">
        <f>IF(AND($A480='Pockets'!$D$18,$B480='Pockets'!$C$18,OR('Pockets'!$E$18="All",AND('Pockets'!$E$18="Worse and material",$K480="Yes",$L480="Yes"),AND('Pockets'!$E$18="Worse or not sure",OR($K480="Yes",$K480="Not sure")))),1,0)</f>
        <v/>
      </c>
      <c r="N480">
        <f>$N479+$M480</f>
        <v/>
      </c>
      <c r="O480" t="inlineStr">
        <is>
          <t>three-way</t>
        </is>
      </c>
      <c r="P480" t="inlineStr">
        <is>
          <t>ranr_rate</t>
        </is>
      </c>
    </row>
    <row r="481">
      <c r="A481" t="inlineStr">
        <is>
          <t>Split by REV_DEBT</t>
        </is>
      </c>
      <c r="B481" t="inlineStr">
        <is>
          <t>Kept after losses</t>
        </is>
      </c>
      <c r="C481" t="n">
        <v>547</v>
      </c>
      <c r="D481" t="inlineStr">
        <is>
          <t>FICO 746 - 921</t>
        </is>
      </c>
      <c r="E481" t="inlineStr">
        <is>
          <t>Branch</t>
        </is>
      </c>
      <c r="F481" t="inlineStr">
        <is>
          <t>high</t>
        </is>
      </c>
      <c r="G481" t="n">
        <v>259</v>
      </c>
      <c r="H481" t="n">
        <v>-3.597914474088387</v>
      </c>
      <c r="I481" t="inlineStr">
        <is>
          <t>Yes</t>
        </is>
      </c>
      <c r="J481" t="n">
        <v>27</v>
      </c>
      <c r="K481">
        <f>'_pockets'!$AI$547</f>
        <v/>
      </c>
      <c r="L481">
        <f>'_pockets'!$AJ$547</f>
        <v/>
      </c>
      <c r="M481">
        <f>IF(AND($A481='Pockets'!$D$18,$B481='Pockets'!$C$18,OR('Pockets'!$E$18="All",AND('Pockets'!$E$18="Worse and material",$K481="Yes",$L481="Yes"),AND('Pockets'!$E$18="Worse or not sure",OR($K481="Yes",$K481="Not sure")))),1,0)</f>
        <v/>
      </c>
      <c r="N481">
        <f>$N480+$M481</f>
        <v/>
      </c>
      <c r="O481" t="inlineStr">
        <is>
          <t>three-way</t>
        </is>
      </c>
      <c r="P481" t="inlineStr">
        <is>
          <t>ranr_rate</t>
        </is>
      </c>
    </row>
    <row r="482">
      <c r="A482" t="inlineStr">
        <is>
          <t>Split by REV_DEBT</t>
        </is>
      </c>
      <c r="B482" t="inlineStr">
        <is>
          <t>Kept after losses</t>
        </is>
      </c>
      <c r="C482" t="n">
        <v>447</v>
      </c>
      <c r="D482" t="inlineStr">
        <is>
          <t>FICO 686 - 711</t>
        </is>
      </c>
      <c r="E482" t="inlineStr">
        <is>
          <t>Broker</t>
        </is>
      </c>
      <c r="F482" t="inlineStr">
        <is>
          <t>low</t>
        </is>
      </c>
      <c r="G482" t="n">
        <v>251</v>
      </c>
      <c r="H482" t="n">
        <v>-3.652914701040563</v>
      </c>
      <c r="I482" t="inlineStr">
        <is>
          <t>Yes</t>
        </is>
      </c>
      <c r="J482" t="n">
        <v>28</v>
      </c>
      <c r="K482">
        <f>'_pockets'!$AI$447</f>
        <v/>
      </c>
      <c r="L482">
        <f>'_pockets'!$AJ$447</f>
        <v/>
      </c>
      <c r="M482">
        <f>IF(AND($A482='Pockets'!$D$18,$B482='Pockets'!$C$18,OR('Pockets'!$E$18="All",AND('Pockets'!$E$18="Worse and material",$K482="Yes",$L482="Yes"),AND('Pockets'!$E$18="Worse or not sure",OR($K482="Yes",$K482="Not sure")))),1,0)</f>
        <v/>
      </c>
      <c r="N482">
        <f>$N481+$M482</f>
        <v/>
      </c>
      <c r="O482" t="inlineStr">
        <is>
          <t>three-way</t>
        </is>
      </c>
      <c r="P482" t="inlineStr">
        <is>
          <t>ranr_rate</t>
        </is>
      </c>
    </row>
    <row r="483">
      <c r="A483" t="inlineStr">
        <is>
          <t>Split by REV_DEBT</t>
        </is>
      </c>
      <c r="B483" t="inlineStr">
        <is>
          <t>Kept after losses</t>
        </is>
      </c>
      <c r="C483" t="n">
        <v>837</v>
      </c>
      <c r="D483" t="inlineStr">
        <is>
          <t>FICO (marked missing)</t>
        </is>
      </c>
      <c r="E483" t="inlineStr">
        <is>
          <t>ASSET_CLASS 2</t>
        </is>
      </c>
      <c r="F483" t="inlineStr">
        <is>
          <t>high</t>
        </is>
      </c>
      <c r="G483" t="n">
        <v>18</v>
      </c>
      <c r="H483" t="n">
        <v>-13.44021728627589</v>
      </c>
      <c r="I483" t="inlineStr">
        <is>
          <t>Yes</t>
        </is>
      </c>
      <c r="J483" t="n">
        <v>29</v>
      </c>
      <c r="K483">
        <f>'_pockets'!$AI$837</f>
        <v/>
      </c>
      <c r="L483">
        <f>'_pockets'!$AJ$837</f>
        <v/>
      </c>
      <c r="M483">
        <f>IF(AND($A483='Pockets'!$D$18,$B483='Pockets'!$C$18,OR('Pockets'!$E$18="All",AND('Pockets'!$E$18="Worse and material",$K483="Yes",$L483="Yes"),AND('Pockets'!$E$18="Worse or not sure",OR($K483="Yes",$K483="Not sure")))),1,0)</f>
        <v/>
      </c>
      <c r="N483">
        <f>$N482+$M483</f>
        <v/>
      </c>
      <c r="O483" t="inlineStr">
        <is>
          <t>three-way</t>
        </is>
      </c>
      <c r="P483" t="inlineStr">
        <is>
          <t>ranr_rate</t>
        </is>
      </c>
    </row>
    <row r="484">
      <c r="A484" t="inlineStr">
        <is>
          <t>Split by REV_DEBT</t>
        </is>
      </c>
      <c r="B484" t="inlineStr">
        <is>
          <t>Kept after losses</t>
        </is>
      </c>
      <c r="C484" t="n">
        <v>537</v>
      </c>
      <c r="D484" t="inlineStr">
        <is>
          <t>FICO (marked missing)</t>
        </is>
      </c>
      <c r="E484" t="inlineStr">
        <is>
          <t>Online</t>
        </is>
      </c>
      <c r="F484" t="inlineStr">
        <is>
          <t>low</t>
        </is>
      </c>
      <c r="G484" t="n">
        <v>28</v>
      </c>
      <c r="H484" t="n">
        <v>-10.78290496749476</v>
      </c>
      <c r="I484" t="inlineStr">
        <is>
          <t>Yes</t>
        </is>
      </c>
      <c r="J484" t="n">
        <v>30</v>
      </c>
      <c r="K484">
        <f>'_pockets'!$AI$537</f>
        <v/>
      </c>
      <c r="L484">
        <f>'_pockets'!$AJ$537</f>
        <v/>
      </c>
      <c r="M484">
        <f>IF(AND($A484='Pockets'!$D$18,$B484='Pockets'!$C$18,OR('Pockets'!$E$18="All",AND('Pockets'!$E$18="Worse and material",$K484="Yes",$L484="Yes"),AND('Pockets'!$E$18="Worse or not sure",OR($K484="Yes",$K484="Not sure")))),1,0)</f>
        <v/>
      </c>
      <c r="N484">
        <f>$N483+$M484</f>
        <v/>
      </c>
      <c r="O484" t="inlineStr">
        <is>
          <t>three-way</t>
        </is>
      </c>
      <c r="P484" t="inlineStr">
        <is>
          <t>ranr_rate</t>
        </is>
      </c>
    </row>
    <row r="485">
      <c r="A485" t="inlineStr">
        <is>
          <t>Split by REV_DEBT</t>
        </is>
      </c>
      <c r="B485" t="inlineStr">
        <is>
          <t>Kept after losses</t>
        </is>
      </c>
      <c r="C485" t="n">
        <v>667</v>
      </c>
      <c r="D485" t="inlineStr">
        <is>
          <t>FICO 654 - 685</t>
        </is>
      </c>
      <c r="E485" t="inlineStr">
        <is>
          <t>ASSET_CLASS 2</t>
        </is>
      </c>
      <c r="F485" t="inlineStr">
        <is>
          <t>high</t>
        </is>
      </c>
      <c r="G485" t="n">
        <v>177</v>
      </c>
      <c r="H485" t="n">
        <v>-4.329379525258418</v>
      </c>
      <c r="I485" t="inlineStr">
        <is>
          <t>Yes</t>
        </is>
      </c>
      <c r="J485" t="n">
        <v>31</v>
      </c>
      <c r="K485">
        <f>'_pockets'!$AI$667</f>
        <v/>
      </c>
      <c r="L485">
        <f>'_pockets'!$AJ$667</f>
        <v/>
      </c>
      <c r="M485">
        <f>IF(AND($A485='Pockets'!$D$18,$B485='Pockets'!$C$18,OR('Pockets'!$E$18="All",AND('Pockets'!$E$18="Worse and material",$K485="Yes",$L485="Yes"),AND('Pockets'!$E$18="Worse or not sure",OR($K485="Yes",$K485="Not sure")))),1,0)</f>
        <v/>
      </c>
      <c r="N485">
        <f>$N484+$M485</f>
        <v/>
      </c>
      <c r="O485" t="inlineStr">
        <is>
          <t>three-way</t>
        </is>
      </c>
      <c r="P485" t="inlineStr">
        <is>
          <t>ranr_rate</t>
        </is>
      </c>
    </row>
    <row r="486">
      <c r="A486" t="inlineStr">
        <is>
          <t>Split by REV_DEBT</t>
        </is>
      </c>
      <c r="B486" t="inlineStr">
        <is>
          <t>Kept after losses</t>
        </is>
      </c>
      <c r="C486" t="n">
        <v>587</v>
      </c>
      <c r="D486" t="inlineStr">
        <is>
          <t>FICO (marked missing)</t>
        </is>
      </c>
      <c r="E486" t="inlineStr">
        <is>
          <t>Branch</t>
        </is>
      </c>
      <c r="F486" t="inlineStr">
        <is>
          <t>low</t>
        </is>
      </c>
      <c r="G486" t="n">
        <v>26</v>
      </c>
      <c r="H486" t="n">
        <v>-11.18854574585163</v>
      </c>
      <c r="I486" t="inlineStr">
        <is>
          <t>Yes</t>
        </is>
      </c>
      <c r="J486" t="n">
        <v>32</v>
      </c>
      <c r="K486">
        <f>'_pockets'!$AI$587</f>
        <v/>
      </c>
      <c r="L486">
        <f>'_pockets'!$AJ$587</f>
        <v/>
      </c>
      <c r="M486">
        <f>IF(AND($A486='Pockets'!$D$18,$B486='Pockets'!$C$18,OR('Pockets'!$E$18="All",AND('Pockets'!$E$18="Worse and material",$K486="Yes",$L486="Yes"),AND('Pockets'!$E$18="Worse or not sure",OR($K486="Yes",$K486="Not sure")))),1,0)</f>
        <v/>
      </c>
      <c r="N486">
        <f>$N485+$M486</f>
        <v/>
      </c>
      <c r="O486" t="inlineStr">
        <is>
          <t>three-way</t>
        </is>
      </c>
      <c r="P486" t="inlineStr">
        <is>
          <t>ranr_rate</t>
        </is>
      </c>
    </row>
    <row r="487">
      <c r="A487" t="inlineStr">
        <is>
          <t>Split by REV_DEBT</t>
        </is>
      </c>
      <c r="B487" t="inlineStr">
        <is>
          <t>Kept after losses</t>
        </is>
      </c>
      <c r="C487" t="n">
        <v>727</v>
      </c>
      <c r="D487" t="inlineStr">
        <is>
          <t>FICO 712 - 745</t>
        </is>
      </c>
      <c r="E487" t="inlineStr">
        <is>
          <t>ASSET_CLASS 2</t>
        </is>
      </c>
      <c r="F487" t="inlineStr">
        <is>
          <t>low</t>
        </is>
      </c>
      <c r="G487" t="n">
        <v>216</v>
      </c>
      <c r="H487" t="n">
        <v>-3.928898480218193</v>
      </c>
      <c r="I487" t="inlineStr">
        <is>
          <t>Yes</t>
        </is>
      </c>
      <c r="J487" t="n">
        <v>33</v>
      </c>
      <c r="K487">
        <f>'_pockets'!$AI$727</f>
        <v/>
      </c>
      <c r="L487">
        <f>'_pockets'!$AJ$727</f>
        <v/>
      </c>
      <c r="M487">
        <f>IF(AND($A487='Pockets'!$D$18,$B487='Pockets'!$C$18,OR('Pockets'!$E$18="All",AND('Pockets'!$E$18="Worse and material",$K487="Yes",$L487="Yes"),AND('Pockets'!$E$18="Worse or not sure",OR($K487="Yes",$K487="Not sure")))),1,0)</f>
        <v/>
      </c>
      <c r="N487">
        <f>$N486+$M487</f>
        <v/>
      </c>
      <c r="O487" t="inlineStr">
        <is>
          <t>three-way</t>
        </is>
      </c>
      <c r="P487" t="inlineStr">
        <is>
          <t>ranr_rate</t>
        </is>
      </c>
    </row>
    <row r="488">
      <c r="A488" t="inlineStr">
        <is>
          <t>Split by REV_DEBT</t>
        </is>
      </c>
      <c r="B488" t="inlineStr">
        <is>
          <t>Kept after losses</t>
        </is>
      </c>
      <c r="C488" t="n">
        <v>542</v>
      </c>
      <c r="D488" t="inlineStr">
        <is>
          <t>FICO 746 - 921</t>
        </is>
      </c>
      <c r="E488" t="inlineStr">
        <is>
          <t>Broker</t>
        </is>
      </c>
      <c r="F488" t="inlineStr">
        <is>
          <t>high</t>
        </is>
      </c>
      <c r="G488" t="n">
        <v>268</v>
      </c>
      <c r="H488" t="n">
        <v>-3.539044017311852</v>
      </c>
      <c r="I488" t="inlineStr">
        <is>
          <t>Yes</t>
        </is>
      </c>
      <c r="J488" t="n">
        <v>34</v>
      </c>
      <c r="K488">
        <f>'_pockets'!$AI$542</f>
        <v/>
      </c>
      <c r="L488">
        <f>'_pockets'!$AJ$542</f>
        <v/>
      </c>
      <c r="M488">
        <f>IF(AND($A488='Pockets'!$D$18,$B488='Pockets'!$C$18,OR('Pockets'!$E$18="All",AND('Pockets'!$E$18="Worse and material",$K488="Yes",$L488="Yes"),AND('Pockets'!$E$18="Worse or not sure",OR($K488="Yes",$K488="Not sure")))),1,0)</f>
        <v/>
      </c>
      <c r="N488">
        <f>$N487+$M488</f>
        <v/>
      </c>
      <c r="O488" t="inlineStr">
        <is>
          <t>three-way</t>
        </is>
      </c>
      <c r="P488" t="inlineStr">
        <is>
          <t>ranr_rate</t>
        </is>
      </c>
    </row>
    <row r="489">
      <c r="A489" t="inlineStr">
        <is>
          <t>Split by REV_DEBT</t>
        </is>
      </c>
      <c r="B489" t="inlineStr">
        <is>
          <t>Kept after losses</t>
        </is>
      </c>
      <c r="C489" t="n">
        <v>487</v>
      </c>
      <c r="D489" t="inlineStr">
        <is>
          <t>FICO 746 - 921</t>
        </is>
      </c>
      <c r="E489" t="inlineStr">
        <is>
          <t>Online</t>
        </is>
      </c>
      <c r="F489" t="inlineStr">
        <is>
          <t>low</t>
        </is>
      </c>
      <c r="G489" t="n">
        <v>259</v>
      </c>
      <c r="H489" t="n">
        <v>-3.597914474088387</v>
      </c>
      <c r="I489" t="inlineStr">
        <is>
          <t>Yes</t>
        </is>
      </c>
      <c r="J489" t="n">
        <v>35</v>
      </c>
      <c r="K489">
        <f>'_pockets'!$AI$487</f>
        <v/>
      </c>
      <c r="L489">
        <f>'_pockets'!$AJ$487</f>
        <v/>
      </c>
      <c r="M489">
        <f>IF(AND($A489='Pockets'!$D$18,$B489='Pockets'!$C$18,OR('Pockets'!$E$18="All",AND('Pockets'!$E$18="Worse and material",$K489="Yes",$L489="Yes"),AND('Pockets'!$E$18="Worse or not sure",OR($K489="Yes",$K489="Not sure")))),1,0)</f>
        <v/>
      </c>
      <c r="N489">
        <f>$N488+$M489</f>
        <v/>
      </c>
      <c r="O489" t="inlineStr">
        <is>
          <t>three-way</t>
        </is>
      </c>
      <c r="P489" t="inlineStr">
        <is>
          <t>ranr_rate</t>
        </is>
      </c>
    </row>
    <row r="490">
      <c r="A490" t="inlineStr">
        <is>
          <t>Split by REV_DEBT</t>
        </is>
      </c>
      <c r="B490" t="inlineStr">
        <is>
          <t>Kept after losses</t>
        </is>
      </c>
      <c r="C490" t="n">
        <v>647</v>
      </c>
      <c r="D490" t="inlineStr">
        <is>
          <t>FICO 746 - 921</t>
        </is>
      </c>
      <c r="E490" t="inlineStr">
        <is>
          <t>ASSET_CLASS 1</t>
        </is>
      </c>
      <c r="F490" t="inlineStr">
        <is>
          <t>low</t>
        </is>
      </c>
      <c r="G490" t="n">
        <v>207</v>
      </c>
      <c r="H490" t="n">
        <v>-4.011082117651476</v>
      </c>
      <c r="I490" t="inlineStr">
        <is>
          <t>Yes</t>
        </is>
      </c>
      <c r="J490" t="n">
        <v>36</v>
      </c>
      <c r="K490">
        <f>'_pockets'!$AI$647</f>
        <v/>
      </c>
      <c r="L490">
        <f>'_pockets'!$AJ$647</f>
        <v/>
      </c>
      <c r="M490">
        <f>IF(AND($A490='Pockets'!$D$18,$B490='Pockets'!$C$18,OR('Pockets'!$E$18="All",AND('Pockets'!$E$18="Worse and material",$K490="Yes",$L490="Yes"),AND('Pockets'!$E$18="Worse or not sure",OR($K490="Yes",$K490="Not sure")))),1,0)</f>
        <v/>
      </c>
      <c r="N490">
        <f>$N489+$M490</f>
        <v/>
      </c>
      <c r="O490" t="inlineStr">
        <is>
          <t>three-way</t>
        </is>
      </c>
      <c r="P490" t="inlineStr">
        <is>
          <t>ranr_rate</t>
        </is>
      </c>
    </row>
    <row r="491">
      <c r="A491" t="inlineStr">
        <is>
          <t>Split by REV_DEBT</t>
        </is>
      </c>
      <c r="B491" t="inlineStr">
        <is>
          <t>Kept after losses</t>
        </is>
      </c>
      <c r="C491" t="n">
        <v>482</v>
      </c>
      <c r="D491" t="inlineStr">
        <is>
          <t>FICO 686 - 711</t>
        </is>
      </c>
      <c r="E491" t="inlineStr">
        <is>
          <t>Online</t>
        </is>
      </c>
      <c r="F491" t="inlineStr">
        <is>
          <t>high</t>
        </is>
      </c>
      <c r="G491" t="n">
        <v>273</v>
      </c>
      <c r="H491" t="n">
        <v>-3.507619877118214</v>
      </c>
      <c r="I491" t="inlineStr">
        <is>
          <t>Yes</t>
        </is>
      </c>
      <c r="J491" t="n">
        <v>37</v>
      </c>
      <c r="K491">
        <f>'_pockets'!$AI$482</f>
        <v/>
      </c>
      <c r="L491">
        <f>'_pockets'!$AJ$482</f>
        <v/>
      </c>
      <c r="M491">
        <f>IF(AND($A491='Pockets'!$D$18,$B491='Pockets'!$C$18,OR('Pockets'!$E$18="All",AND('Pockets'!$E$18="Worse and material",$K491="Yes",$L491="Yes"),AND('Pockets'!$E$18="Worse or not sure",OR($K491="Yes",$K491="Not sure")))),1,0)</f>
        <v/>
      </c>
      <c r="N491">
        <f>$N490+$M491</f>
        <v/>
      </c>
      <c r="O491" t="inlineStr">
        <is>
          <t>three-way</t>
        </is>
      </c>
      <c r="P491" t="inlineStr">
        <is>
          <t>ranr_rate</t>
        </is>
      </c>
    </row>
    <row r="492">
      <c r="A492" t="inlineStr">
        <is>
          <t>Split by REV_DEBT</t>
        </is>
      </c>
      <c r="B492" t="inlineStr">
        <is>
          <t>Kept after losses</t>
        </is>
      </c>
      <c r="C492" t="n">
        <v>757</v>
      </c>
      <c r="D492" t="inlineStr">
        <is>
          <t>FICO 746 - 921</t>
        </is>
      </c>
      <c r="E492" t="inlineStr">
        <is>
          <t>ASSET_CLASS 4</t>
        </is>
      </c>
      <c r="F492" t="inlineStr">
        <is>
          <t>high</t>
        </is>
      </c>
      <c r="G492" t="n">
        <v>186</v>
      </c>
      <c r="H492" t="n">
        <v>-4.225769591809444</v>
      </c>
      <c r="I492" t="inlineStr">
        <is>
          <t>Yes</t>
        </is>
      </c>
      <c r="J492" t="n">
        <v>38</v>
      </c>
      <c r="K492">
        <f>'_pockets'!$AI$757</f>
        <v/>
      </c>
      <c r="L492">
        <f>'_pockets'!$AJ$757</f>
        <v/>
      </c>
      <c r="M492">
        <f>IF(AND($A492='Pockets'!$D$18,$B492='Pockets'!$C$18,OR('Pockets'!$E$18="All",AND('Pockets'!$E$18="Worse and material",$K492="Yes",$L492="Yes"),AND('Pockets'!$E$18="Worse or not sure",OR($K492="Yes",$K492="Not sure")))),1,0)</f>
        <v/>
      </c>
      <c r="N492">
        <f>$N491+$M492</f>
        <v/>
      </c>
      <c r="O492" t="inlineStr">
        <is>
          <t>three-way</t>
        </is>
      </c>
      <c r="P492" t="inlineStr">
        <is>
          <t>ranr_rate</t>
        </is>
      </c>
    </row>
    <row r="493">
      <c r="A493" t="inlineStr">
        <is>
          <t>Split by REV_DEBT</t>
        </is>
      </c>
      <c r="B493" t="inlineStr">
        <is>
          <t>Kept after losses</t>
        </is>
      </c>
      <c r="C493" t="n">
        <v>827</v>
      </c>
      <c r="D493" t="inlineStr">
        <is>
          <t>FICO (marked missing)</t>
        </is>
      </c>
      <c r="E493" t="inlineStr">
        <is>
          <t>ASSET_CLASS 2</t>
        </is>
      </c>
      <c r="F493" t="inlineStr">
        <is>
          <t>low</t>
        </is>
      </c>
      <c r="G493" t="n">
        <v>18</v>
      </c>
      <c r="H493" t="n">
        <v>-13.44021728627589</v>
      </c>
      <c r="I493" t="inlineStr">
        <is>
          <t>Yes</t>
        </is>
      </c>
      <c r="J493" t="n">
        <v>39</v>
      </c>
      <c r="K493">
        <f>'_pockets'!$AI$827</f>
        <v/>
      </c>
      <c r="L493">
        <f>'_pockets'!$AJ$827</f>
        <v/>
      </c>
      <c r="M493">
        <f>IF(AND($A493='Pockets'!$D$18,$B493='Pockets'!$C$18,OR('Pockets'!$E$18="All",AND('Pockets'!$E$18="Worse and material",$K493="Yes",$L493="Yes"),AND('Pockets'!$E$18="Worse or not sure",OR($K493="Yes",$K493="Not sure")))),1,0)</f>
        <v/>
      </c>
      <c r="N493">
        <f>$N492+$M493</f>
        <v/>
      </c>
      <c r="O493" t="inlineStr">
        <is>
          <t>three-way</t>
        </is>
      </c>
      <c r="P493" t="inlineStr">
        <is>
          <t>ranr_rate</t>
        </is>
      </c>
    </row>
    <row r="494">
      <c r="A494" t="inlineStr">
        <is>
          <t>Split by REV_DEBT</t>
        </is>
      </c>
      <c r="B494" t="inlineStr">
        <is>
          <t>Kept after losses</t>
        </is>
      </c>
      <c r="C494" t="n">
        <v>792</v>
      </c>
      <c r="D494" t="inlineStr">
        <is>
          <t>FICO 496 - 653</t>
        </is>
      </c>
      <c r="E494" t="inlineStr">
        <is>
          <t>ASSET_CLASS 1</t>
        </is>
      </c>
      <c r="F494" t="inlineStr">
        <is>
          <t>high</t>
        </is>
      </c>
      <c r="G494" t="n">
        <v>210</v>
      </c>
      <c r="H494" t="n">
        <v>-3.983095310211156</v>
      </c>
      <c r="I494" t="inlineStr">
        <is>
          <t>Yes</t>
        </is>
      </c>
      <c r="J494" t="n">
        <v>40</v>
      </c>
      <c r="K494">
        <f>'_pockets'!$AI$792</f>
        <v/>
      </c>
      <c r="L494">
        <f>'_pockets'!$AJ$792</f>
        <v/>
      </c>
      <c r="M494">
        <f>IF(AND($A494='Pockets'!$D$18,$B494='Pockets'!$C$18,OR('Pockets'!$E$18="All",AND('Pockets'!$E$18="Worse and material",$K494="Yes",$L494="Yes"),AND('Pockets'!$E$18="Worse or not sure",OR($K494="Yes",$K494="Not sure")))),1,0)</f>
        <v/>
      </c>
      <c r="N494">
        <f>$N493+$M494</f>
        <v/>
      </c>
      <c r="O494" t="inlineStr">
        <is>
          <t>three-way</t>
        </is>
      </c>
      <c r="P494" t="inlineStr">
        <is>
          <t>ranr_rate</t>
        </is>
      </c>
    </row>
    <row r="495">
      <c r="A495" t="inlineStr">
        <is>
          <t>Split by REV_DEBT</t>
        </is>
      </c>
      <c r="B495" t="inlineStr">
        <is>
          <t>Kept after losses</t>
        </is>
      </c>
      <c r="C495" t="n">
        <v>742</v>
      </c>
      <c r="D495" t="inlineStr">
        <is>
          <t>FICO 712 - 745</t>
        </is>
      </c>
      <c r="E495" t="inlineStr">
        <is>
          <t>ASSET_CLASS 1</t>
        </is>
      </c>
      <c r="F495" t="inlineStr">
        <is>
          <t>high</t>
        </is>
      </c>
      <c r="G495" t="n">
        <v>180</v>
      </c>
      <c r="H495" t="n">
        <v>-4.293973291489264</v>
      </c>
      <c r="I495" t="inlineStr">
        <is>
          <t>Yes</t>
        </is>
      </c>
      <c r="J495" t="n">
        <v>41</v>
      </c>
      <c r="K495">
        <f>'_pockets'!$AI$742</f>
        <v/>
      </c>
      <c r="L495">
        <f>'_pockets'!$AJ$742</f>
        <v/>
      </c>
      <c r="M495">
        <f>IF(AND($A495='Pockets'!$D$18,$B495='Pockets'!$C$18,OR('Pockets'!$E$18="All",AND('Pockets'!$E$18="Worse and material",$K495="Yes",$L495="Yes"),AND('Pockets'!$E$18="Worse or not sure",OR($K495="Yes",$K495="Not sure")))),1,0)</f>
        <v/>
      </c>
      <c r="N495">
        <f>$N494+$M495</f>
        <v/>
      </c>
      <c r="O495" t="inlineStr">
        <is>
          <t>three-way</t>
        </is>
      </c>
      <c r="P495" t="inlineStr">
        <is>
          <t>ranr_rate</t>
        </is>
      </c>
    </row>
    <row r="496">
      <c r="A496" t="inlineStr">
        <is>
          <t>Split by REV_DEBT</t>
        </is>
      </c>
      <c r="B496" t="inlineStr">
        <is>
          <t>Kept after losses</t>
        </is>
      </c>
      <c r="C496" t="n">
        <v>582</v>
      </c>
      <c r="D496" t="inlineStr">
        <is>
          <t>FICO (marked missing)</t>
        </is>
      </c>
      <c r="E496" t="inlineStr">
        <is>
          <t>Broker</t>
        </is>
      </c>
      <c r="F496" t="inlineStr">
        <is>
          <t>low</t>
        </is>
      </c>
      <c r="G496" t="n">
        <v>27</v>
      </c>
      <c r="H496" t="n">
        <v>-10.9800842085137</v>
      </c>
      <c r="I496" t="inlineStr">
        <is>
          <t>Yes</t>
        </is>
      </c>
      <c r="J496" t="n">
        <v>42</v>
      </c>
      <c r="K496">
        <f>'_pockets'!$AI$582</f>
        <v/>
      </c>
      <c r="L496">
        <f>'_pockets'!$AJ$582</f>
        <v/>
      </c>
      <c r="M496">
        <f>IF(AND($A496='Pockets'!$D$18,$B496='Pockets'!$C$18,OR('Pockets'!$E$18="All",AND('Pockets'!$E$18="Worse and material",$K496="Yes",$L496="Yes"),AND('Pockets'!$E$18="Worse or not sure",OR($K496="Yes",$K496="Not sure")))),1,0)</f>
        <v/>
      </c>
      <c r="N496">
        <f>$N495+$M496</f>
        <v/>
      </c>
      <c r="O496" t="inlineStr">
        <is>
          <t>three-way</t>
        </is>
      </c>
      <c r="P496" t="inlineStr">
        <is>
          <t>ranr_rate</t>
        </is>
      </c>
    </row>
    <row r="497">
      <c r="A497" t="inlineStr">
        <is>
          <t>Split by REV_DEBT</t>
        </is>
      </c>
      <c r="B497" t="inlineStr">
        <is>
          <t>Kept after losses</t>
        </is>
      </c>
      <c r="C497" t="n">
        <v>832</v>
      </c>
      <c r="D497" t="inlineStr">
        <is>
          <t>FICO (marked missing)</t>
        </is>
      </c>
      <c r="E497" t="inlineStr">
        <is>
          <t>ASSET_CLASS 4</t>
        </is>
      </c>
      <c r="F497" t="inlineStr">
        <is>
          <t>low</t>
        </is>
      </c>
      <c r="G497" t="n">
        <v>20</v>
      </c>
      <c r="H497" t="n">
        <v>-12.75210757001386</v>
      </c>
      <c r="I497" t="inlineStr">
        <is>
          <t>Yes</t>
        </is>
      </c>
      <c r="J497" t="n">
        <v>43</v>
      </c>
      <c r="K497">
        <f>'_pockets'!$AI$832</f>
        <v/>
      </c>
      <c r="L497">
        <f>'_pockets'!$AJ$832</f>
        <v/>
      </c>
      <c r="M497">
        <f>IF(AND($A497='Pockets'!$D$18,$B497='Pockets'!$C$18,OR('Pockets'!$E$18="All",AND('Pockets'!$E$18="Worse and material",$K497="Yes",$L497="Yes"),AND('Pockets'!$E$18="Worse or not sure",OR($K497="Yes",$K497="Not sure")))),1,0)</f>
        <v/>
      </c>
      <c r="N497">
        <f>$N496+$M497</f>
        <v/>
      </c>
      <c r="O497" t="inlineStr">
        <is>
          <t>three-way</t>
        </is>
      </c>
      <c r="P497" t="inlineStr">
        <is>
          <t>ranr_rate</t>
        </is>
      </c>
    </row>
    <row r="498">
      <c r="A498" t="inlineStr">
        <is>
          <t>Split by REV_DEBT</t>
        </is>
      </c>
      <c r="B498" t="inlineStr">
        <is>
          <t>Kept after losses</t>
        </is>
      </c>
      <c r="C498" t="n">
        <v>437</v>
      </c>
      <c r="D498" t="inlineStr">
        <is>
          <t>FICO 746 - 921</t>
        </is>
      </c>
      <c r="E498" t="inlineStr">
        <is>
          <t>Branch</t>
        </is>
      </c>
      <c r="F498" t="inlineStr">
        <is>
          <t>low</t>
        </is>
      </c>
      <c r="G498" t="n">
        <v>259</v>
      </c>
      <c r="H498" t="n">
        <v>-3.597914474088387</v>
      </c>
      <c r="I498" t="inlineStr">
        <is>
          <t>Yes</t>
        </is>
      </c>
      <c r="J498" t="n">
        <v>44</v>
      </c>
      <c r="K498">
        <f>'_pockets'!$AI$437</f>
        <v/>
      </c>
      <c r="L498">
        <f>'_pockets'!$AJ$437</f>
        <v/>
      </c>
      <c r="M498">
        <f>IF(AND($A498='Pockets'!$D$18,$B498='Pockets'!$C$18,OR('Pockets'!$E$18="All",AND('Pockets'!$E$18="Worse and material",$K498="Yes",$L498="Yes"),AND('Pockets'!$E$18="Worse or not sure",OR($K498="Yes",$K498="Not sure")))),1,0)</f>
        <v/>
      </c>
      <c r="N498">
        <f>$N497+$M498</f>
        <v/>
      </c>
      <c r="O498" t="inlineStr">
        <is>
          <t>three-way</t>
        </is>
      </c>
      <c r="P498" t="inlineStr">
        <is>
          <t>ranr_rate</t>
        </is>
      </c>
    </row>
    <row r="499">
      <c r="A499" t="inlineStr">
        <is>
          <t>Split by REV_DEBT</t>
        </is>
      </c>
      <c r="B499" t="inlineStr">
        <is>
          <t>Kept after losses</t>
        </is>
      </c>
      <c r="C499" t="n">
        <v>462</v>
      </c>
      <c r="D499" t="inlineStr">
        <is>
          <t>FICO 746 - 921</t>
        </is>
      </c>
      <c r="E499" t="inlineStr">
        <is>
          <t>Online</t>
        </is>
      </c>
      <c r="F499" t="inlineStr">
        <is>
          <t>high</t>
        </is>
      </c>
      <c r="G499" t="n">
        <v>258</v>
      </c>
      <c r="H499" t="n">
        <v>-3.604647582275089</v>
      </c>
      <c r="I499" t="inlineStr">
        <is>
          <t>Yes</t>
        </is>
      </c>
      <c r="J499" t="n">
        <v>45</v>
      </c>
      <c r="K499">
        <f>'_pockets'!$AI$462</f>
        <v/>
      </c>
      <c r="L499">
        <f>'_pockets'!$AJ$462</f>
        <v/>
      </c>
      <c r="M499">
        <f>IF(AND($A499='Pockets'!$D$18,$B499='Pockets'!$C$18,OR('Pockets'!$E$18="All",AND('Pockets'!$E$18="Worse and material",$K499="Yes",$L499="Yes"),AND('Pockets'!$E$18="Worse or not sure",OR($K499="Yes",$K499="Not sure")))),1,0)</f>
        <v/>
      </c>
      <c r="N499">
        <f>$N498+$M499</f>
        <v/>
      </c>
      <c r="O499" t="inlineStr">
        <is>
          <t>three-way</t>
        </is>
      </c>
      <c r="P499" t="inlineStr">
        <is>
          <t>ranr_rate</t>
        </is>
      </c>
    </row>
    <row r="500">
      <c r="A500" t="inlineStr">
        <is>
          <t>Split by REV_DEBT</t>
        </is>
      </c>
      <c r="B500" t="inlineStr">
        <is>
          <t>Kept after losses</t>
        </is>
      </c>
      <c r="C500" t="n">
        <v>457</v>
      </c>
      <c r="D500" t="inlineStr">
        <is>
          <t>FICO 746 - 921</t>
        </is>
      </c>
      <c r="E500" t="inlineStr">
        <is>
          <t>Broker</t>
        </is>
      </c>
      <c r="F500" t="inlineStr">
        <is>
          <t>low</t>
        </is>
      </c>
      <c r="G500" t="n">
        <v>268</v>
      </c>
      <c r="H500" t="n">
        <v>-3.539044017311852</v>
      </c>
      <c r="I500" t="inlineStr">
        <is>
          <t>Yes</t>
        </is>
      </c>
      <c r="J500" t="n">
        <v>46</v>
      </c>
      <c r="K500">
        <f>'_pockets'!$AI$457</f>
        <v/>
      </c>
      <c r="L500">
        <f>'_pockets'!$AJ$457</f>
        <v/>
      </c>
      <c r="M500">
        <f>IF(AND($A500='Pockets'!$D$18,$B500='Pockets'!$C$18,OR('Pockets'!$E$18="All",AND('Pockets'!$E$18="Worse and material",$K500="Yes",$L500="Yes"),AND('Pockets'!$E$18="Worse or not sure",OR($K500="Yes",$K500="Not sure")))),1,0)</f>
        <v/>
      </c>
      <c r="N500">
        <f>$N499+$M500</f>
        <v/>
      </c>
      <c r="O500" t="inlineStr">
        <is>
          <t>three-way</t>
        </is>
      </c>
      <c r="P500" t="inlineStr">
        <is>
          <t>ranr_rate</t>
        </is>
      </c>
    </row>
    <row r="501">
      <c r="A501" t="inlineStr">
        <is>
          <t>Split by REV_DEBT</t>
        </is>
      </c>
      <c r="B501" t="inlineStr">
        <is>
          <t>Kept after losses</t>
        </is>
      </c>
      <c r="C501" t="n">
        <v>762</v>
      </c>
      <c r="D501" t="inlineStr">
        <is>
          <t>FICO 746 - 921</t>
        </is>
      </c>
      <c r="E501" t="inlineStr">
        <is>
          <t>ASSET_CLASS 3</t>
        </is>
      </c>
      <c r="F501" t="inlineStr">
        <is>
          <t>low</t>
        </is>
      </c>
      <c r="G501" t="n">
        <v>193</v>
      </c>
      <c r="H501" t="n">
        <v>-4.15028833715379</v>
      </c>
      <c r="I501" t="inlineStr">
        <is>
          <t>Yes</t>
        </is>
      </c>
      <c r="J501" t="n">
        <v>47</v>
      </c>
      <c r="K501">
        <f>'_pockets'!$AI$762</f>
        <v/>
      </c>
      <c r="L501">
        <f>'_pockets'!$AJ$762</f>
        <v/>
      </c>
      <c r="M501">
        <f>IF(AND($A501='Pockets'!$D$18,$B501='Pockets'!$C$18,OR('Pockets'!$E$18="All",AND('Pockets'!$E$18="Worse and material",$K501="Yes",$L501="Yes"),AND('Pockets'!$E$18="Worse or not sure",OR($K501="Yes",$K501="Not sure")))),1,0)</f>
        <v/>
      </c>
      <c r="N501">
        <f>$N500+$M501</f>
        <v/>
      </c>
      <c r="O501" t="inlineStr">
        <is>
          <t>three-way</t>
        </is>
      </c>
      <c r="P501" t="inlineStr">
        <is>
          <t>ranr_rate</t>
        </is>
      </c>
    </row>
    <row r="502">
      <c r="A502" t="inlineStr">
        <is>
          <t>Split by REV_DEBT</t>
        </is>
      </c>
      <c r="B502" t="inlineStr">
        <is>
          <t>Kept after losses</t>
        </is>
      </c>
      <c r="C502" t="n">
        <v>657</v>
      </c>
      <c r="D502" t="inlineStr">
        <is>
          <t>FICO 746 - 921</t>
        </is>
      </c>
      <c r="E502" t="inlineStr">
        <is>
          <t>ASSET_CLASS 1</t>
        </is>
      </c>
      <c r="F502" t="inlineStr">
        <is>
          <t>high</t>
        </is>
      </c>
      <c r="G502" t="n">
        <v>207</v>
      </c>
      <c r="H502" t="n">
        <v>-4.011082117651476</v>
      </c>
      <c r="I502" t="inlineStr">
        <is>
          <t>Yes</t>
        </is>
      </c>
      <c r="J502" t="n">
        <v>48</v>
      </c>
      <c r="K502">
        <f>'_pockets'!$AI$657</f>
        <v/>
      </c>
      <c r="L502">
        <f>'_pockets'!$AJ$657</f>
        <v/>
      </c>
      <c r="M502">
        <f>IF(AND($A502='Pockets'!$D$18,$B502='Pockets'!$C$18,OR('Pockets'!$E$18="All",AND('Pockets'!$E$18="Worse and material",$K502="Yes",$L502="Yes"),AND('Pockets'!$E$18="Worse or not sure",OR($K502="Yes",$K502="Not sure")))),1,0)</f>
        <v/>
      </c>
      <c r="N502">
        <f>$N501+$M502</f>
        <v/>
      </c>
      <c r="O502" t="inlineStr">
        <is>
          <t>three-way</t>
        </is>
      </c>
      <c r="P502" t="inlineStr">
        <is>
          <t>ranr_rate</t>
        </is>
      </c>
    </row>
    <row r="503">
      <c r="A503" t="inlineStr">
        <is>
          <t>Split by REV_DEBT</t>
        </is>
      </c>
      <c r="B503" t="inlineStr">
        <is>
          <t>Kept after losses</t>
        </is>
      </c>
      <c r="C503" t="n">
        <v>722</v>
      </c>
      <c r="D503" t="inlineStr">
        <is>
          <t>FICO 746 - 921</t>
        </is>
      </c>
      <c r="E503" t="inlineStr">
        <is>
          <t>ASSET_CLASS 2</t>
        </is>
      </c>
      <c r="F503" t="inlineStr">
        <is>
          <t>low</t>
        </is>
      </c>
      <c r="G503" t="n">
        <v>200</v>
      </c>
      <c r="H503" t="n">
        <v>-4.078840659870663</v>
      </c>
      <c r="I503" t="inlineStr">
        <is>
          <t>Yes</t>
        </is>
      </c>
      <c r="J503" t="n">
        <v>49</v>
      </c>
      <c r="K503">
        <f>'_pockets'!$AI$722</f>
        <v/>
      </c>
      <c r="L503">
        <f>'_pockets'!$AJ$722</f>
        <v/>
      </c>
      <c r="M503">
        <f>IF(AND($A503='Pockets'!$D$18,$B503='Pockets'!$C$18,OR('Pockets'!$E$18="All",AND('Pockets'!$E$18="Worse and material",$K503="Yes",$L503="Yes"),AND('Pockets'!$E$18="Worse or not sure",OR($K503="Yes",$K503="Not sure")))),1,0)</f>
        <v/>
      </c>
      <c r="N503">
        <f>$N502+$M503</f>
        <v/>
      </c>
      <c r="O503" t="inlineStr">
        <is>
          <t>three-way</t>
        </is>
      </c>
      <c r="P503" t="inlineStr">
        <is>
          <t>ranr_rate</t>
        </is>
      </c>
    </row>
    <row r="504">
      <c r="A504" t="inlineStr">
        <is>
          <t>Split by REV_DEBT</t>
        </is>
      </c>
      <c r="B504" t="inlineStr">
        <is>
          <t>Kept after losses</t>
        </is>
      </c>
      <c r="C504" t="n">
        <v>702</v>
      </c>
      <c r="D504" t="inlineStr">
        <is>
          <t>FICO 746 - 921</t>
        </is>
      </c>
      <c r="E504" t="inlineStr">
        <is>
          <t>ASSET_CLASS 3</t>
        </is>
      </c>
      <c r="F504" t="inlineStr">
        <is>
          <t>high</t>
        </is>
      </c>
      <c r="G504" t="n">
        <v>192</v>
      </c>
      <c r="H504" t="n">
        <v>-4.160815837837669</v>
      </c>
      <c r="I504" t="inlineStr">
        <is>
          <t>Yes</t>
        </is>
      </c>
      <c r="J504" t="n">
        <v>50</v>
      </c>
      <c r="K504">
        <f>'_pockets'!$AI$702</f>
        <v/>
      </c>
      <c r="L504">
        <f>'_pockets'!$AJ$702</f>
        <v/>
      </c>
      <c r="M504">
        <f>IF(AND($A504='Pockets'!$D$18,$B504='Pockets'!$C$18,OR('Pockets'!$E$18="All",AND('Pockets'!$E$18="Worse and material",$K504="Yes",$L504="Yes"),AND('Pockets'!$E$18="Worse or not sure",OR($K504="Yes",$K504="Not sure")))),1,0)</f>
        <v/>
      </c>
      <c r="N504">
        <f>$N503+$M504</f>
        <v/>
      </c>
      <c r="O504" t="inlineStr">
        <is>
          <t>three-way</t>
        </is>
      </c>
      <c r="P504" t="inlineStr">
        <is>
          <t>ranr_rate</t>
        </is>
      </c>
    </row>
    <row r="505">
      <c r="A505" t="inlineStr">
        <is>
          <t>Split by REV_DEBT</t>
        </is>
      </c>
      <c r="B505" t="inlineStr">
        <is>
          <t>Kept after losses</t>
        </is>
      </c>
      <c r="C505" t="n">
        <v>677</v>
      </c>
      <c r="D505" t="inlineStr">
        <is>
          <t>FICO 746 - 921</t>
        </is>
      </c>
      <c r="E505" t="inlineStr">
        <is>
          <t>ASSET_CLASS 4</t>
        </is>
      </c>
      <c r="F505" t="inlineStr">
        <is>
          <t>low</t>
        </is>
      </c>
      <c r="G505" t="n">
        <v>187</v>
      </c>
      <c r="H505" t="n">
        <v>-4.214725330485789</v>
      </c>
      <c r="I505" t="inlineStr">
        <is>
          <t>Yes</t>
        </is>
      </c>
      <c r="J505" t="n">
        <v>51</v>
      </c>
      <c r="K505">
        <f>'_pockets'!$AI$677</f>
        <v/>
      </c>
      <c r="L505">
        <f>'_pockets'!$AJ$677</f>
        <v/>
      </c>
      <c r="M505">
        <f>IF(AND($A505='Pockets'!$D$18,$B505='Pockets'!$C$18,OR('Pockets'!$E$18="All",AND('Pockets'!$E$18="Worse and material",$K505="Yes",$L505="Yes"),AND('Pockets'!$E$18="Worse or not sure",OR($K505="Yes",$K505="Not sure")))),1,0)</f>
        <v/>
      </c>
      <c r="N505">
        <f>$N504+$M505</f>
        <v/>
      </c>
      <c r="O505" t="inlineStr">
        <is>
          <t>three-way</t>
        </is>
      </c>
      <c r="P505" t="inlineStr">
        <is>
          <t>ranr_rate</t>
        </is>
      </c>
    </row>
    <row r="506">
      <c r="A506" t="inlineStr">
        <is>
          <t>Split by REV_DEBT</t>
        </is>
      </c>
      <c r="B506" t="inlineStr">
        <is>
          <t>Kept after losses</t>
        </is>
      </c>
      <c r="C506" t="n">
        <v>467</v>
      </c>
      <c r="D506" t="inlineStr">
        <is>
          <t>FICO 712 - 745</t>
        </is>
      </c>
      <c r="E506" t="inlineStr">
        <is>
          <t>Online</t>
        </is>
      </c>
      <c r="F506" t="inlineStr">
        <is>
          <t>high</t>
        </is>
      </c>
      <c r="G506" t="n">
        <v>282</v>
      </c>
      <c r="H506" t="n">
        <v>-3.453205258906241</v>
      </c>
      <c r="I506" t="inlineStr">
        <is>
          <t>Yes</t>
        </is>
      </c>
      <c r="J506" t="n">
        <v>52</v>
      </c>
      <c r="K506">
        <f>'_pockets'!$AI$467</f>
        <v/>
      </c>
      <c r="L506">
        <f>'_pockets'!$AJ$467</f>
        <v/>
      </c>
      <c r="M506">
        <f>IF(AND($A506='Pockets'!$D$18,$B506='Pockets'!$C$18,OR('Pockets'!$E$18="All",AND('Pockets'!$E$18="Worse and material",$K506="Yes",$L506="Yes"),AND('Pockets'!$E$18="Worse or not sure",OR($K506="Yes",$K506="Not sure")))),1,0)</f>
        <v/>
      </c>
      <c r="N506">
        <f>$N505+$M506</f>
        <v/>
      </c>
      <c r="O506" t="inlineStr">
        <is>
          <t>three-way</t>
        </is>
      </c>
      <c r="P506" t="inlineStr">
        <is>
          <t>ranr_rate</t>
        </is>
      </c>
    </row>
    <row r="507">
      <c r="A507" t="inlineStr">
        <is>
          <t>Split by REV_DEBT</t>
        </is>
      </c>
      <c r="B507" t="inlineStr">
        <is>
          <t>Kept after losses</t>
        </is>
      </c>
      <c r="C507" t="n">
        <v>527</v>
      </c>
      <c r="D507" t="inlineStr">
        <is>
          <t>FICO 712 - 745</t>
        </is>
      </c>
      <c r="E507" t="inlineStr">
        <is>
          <t>Broker</t>
        </is>
      </c>
      <c r="F507" t="inlineStr">
        <is>
          <t>high</t>
        </is>
      </c>
      <c r="G507" t="n">
        <v>254</v>
      </c>
      <c r="H507" t="n">
        <v>-3.631981507029823</v>
      </c>
      <c r="I507" t="inlineStr">
        <is>
          <t>Yes</t>
        </is>
      </c>
      <c r="J507" t="n">
        <v>53</v>
      </c>
      <c r="K507">
        <f>'_pockets'!$AI$527</f>
        <v/>
      </c>
      <c r="L507">
        <f>'_pockets'!$AJ$527</f>
        <v/>
      </c>
      <c r="M507">
        <f>IF(AND($A507='Pockets'!$D$18,$B507='Pockets'!$C$18,OR('Pockets'!$E$18="All",AND('Pockets'!$E$18="Worse and material",$K507="Yes",$L507="Yes"),AND('Pockets'!$E$18="Worse or not sure",OR($K507="Yes",$K507="Not sure")))),1,0)</f>
        <v/>
      </c>
      <c r="N507">
        <f>$N506+$M507</f>
        <v/>
      </c>
      <c r="O507" t="inlineStr">
        <is>
          <t>three-way</t>
        </is>
      </c>
      <c r="P507" t="inlineStr">
        <is>
          <t>ranr_rate</t>
        </is>
      </c>
    </row>
    <row r="508">
      <c r="A508" t="inlineStr">
        <is>
          <t>Split by REV_DEBT</t>
        </is>
      </c>
      <c r="B508" t="inlineStr">
        <is>
          <t>Kept after losses</t>
        </is>
      </c>
      <c r="C508" t="n">
        <v>612</v>
      </c>
      <c r="D508" t="inlineStr">
        <is>
          <t>FICO 712 - 745</t>
        </is>
      </c>
      <c r="E508" t="inlineStr">
        <is>
          <t>ASSET_CLASS 2</t>
        </is>
      </c>
      <c r="F508" t="inlineStr">
        <is>
          <t>high</t>
        </is>
      </c>
      <c r="G508" t="n">
        <v>214</v>
      </c>
      <c r="H508" t="n">
        <v>-3.946708061699554</v>
      </c>
      <c r="I508" t="inlineStr">
        <is>
          <t>Yes</t>
        </is>
      </c>
      <c r="J508" t="n">
        <v>54</v>
      </c>
      <c r="K508">
        <f>'_pockets'!$AI$612</f>
        <v/>
      </c>
      <c r="L508">
        <f>'_pockets'!$AJ$612</f>
        <v/>
      </c>
      <c r="M508">
        <f>IF(AND($A508='Pockets'!$D$18,$B508='Pockets'!$C$18,OR('Pockets'!$E$18="All",AND('Pockets'!$E$18="Worse and material",$K508="Yes",$L508="Yes"),AND('Pockets'!$E$18="Worse or not sure",OR($K508="Yes",$K508="Not sure")))),1,0)</f>
        <v/>
      </c>
      <c r="N508">
        <f>$N507+$M508</f>
        <v/>
      </c>
      <c r="O508" t="inlineStr">
        <is>
          <t>three-way</t>
        </is>
      </c>
      <c r="P508" t="inlineStr">
        <is>
          <t>ranr_rate</t>
        </is>
      </c>
    </row>
    <row r="509">
      <c r="A509" t="inlineStr">
        <is>
          <t>Split by REV_DEBT</t>
        </is>
      </c>
      <c r="B509" t="inlineStr">
        <is>
          <t>Kept after losses</t>
        </is>
      </c>
      <c r="C509" t="n">
        <v>422</v>
      </c>
      <c r="D509" t="inlineStr">
        <is>
          <t>FICO 712 - 745</t>
        </is>
      </c>
      <c r="E509" t="inlineStr">
        <is>
          <t>Branch</t>
        </is>
      </c>
      <c r="F509" t="inlineStr">
        <is>
          <t>low</t>
        </is>
      </c>
      <c r="G509" t="n">
        <v>269</v>
      </c>
      <c r="H509" t="n">
        <v>-3.532688226561486</v>
      </c>
      <c r="I509" t="inlineStr">
        <is>
          <t>Yes</t>
        </is>
      </c>
      <c r="J509" t="n">
        <v>55</v>
      </c>
      <c r="K509">
        <f>'_pockets'!$AI$422</f>
        <v/>
      </c>
      <c r="L509">
        <f>'_pockets'!$AJ$422</f>
        <v/>
      </c>
      <c r="M509">
        <f>IF(AND($A509='Pockets'!$D$18,$B509='Pockets'!$C$18,OR('Pockets'!$E$18="All",AND('Pockets'!$E$18="Worse and material",$K509="Yes",$L509="Yes"),AND('Pockets'!$E$18="Worse or not sure",OR($K509="Yes",$K509="Not sure")))),1,0)</f>
        <v/>
      </c>
      <c r="N509">
        <f>$N508+$M509</f>
        <v/>
      </c>
      <c r="O509" t="inlineStr">
        <is>
          <t>three-way</t>
        </is>
      </c>
      <c r="P509" t="inlineStr">
        <is>
          <t>ranr_rate</t>
        </is>
      </c>
    </row>
    <row r="510">
      <c r="A510" t="inlineStr">
        <is>
          <t>Split by REV_DEBT</t>
        </is>
      </c>
      <c r="B510" t="inlineStr">
        <is>
          <t>Kept after losses</t>
        </is>
      </c>
      <c r="C510" t="n">
        <v>767</v>
      </c>
      <c r="D510" t="inlineStr">
        <is>
          <t>FICO 712 - 745</t>
        </is>
      </c>
      <c r="E510" t="inlineStr">
        <is>
          <t>ASSET_CLASS 3</t>
        </is>
      </c>
      <c r="F510" t="inlineStr">
        <is>
          <t>high</t>
        </is>
      </c>
      <c r="G510" t="n">
        <v>196</v>
      </c>
      <c r="H510" t="n">
        <v>-4.119195067510546</v>
      </c>
      <c r="I510" t="inlineStr">
        <is>
          <t>Yes</t>
        </is>
      </c>
      <c r="J510" t="n">
        <v>56</v>
      </c>
      <c r="K510">
        <f>'_pockets'!$AI$767</f>
        <v/>
      </c>
      <c r="L510">
        <f>'_pockets'!$AJ$767</f>
        <v/>
      </c>
      <c r="M510">
        <f>IF(AND($A510='Pockets'!$D$18,$B510='Pockets'!$C$18,OR('Pockets'!$E$18="All",AND('Pockets'!$E$18="Worse and material",$K510="Yes",$L510="Yes"),AND('Pockets'!$E$18="Worse or not sure",OR($K510="Yes",$K510="Not sure")))),1,0)</f>
        <v/>
      </c>
      <c r="N510">
        <f>$N509+$M510</f>
        <v/>
      </c>
      <c r="O510" t="inlineStr">
        <is>
          <t>three-way</t>
        </is>
      </c>
      <c r="P510" t="inlineStr">
        <is>
          <t>ranr_rate</t>
        </is>
      </c>
    </row>
    <row r="511">
      <c r="A511" t="inlineStr">
        <is>
          <t>Split by REV_DEBT</t>
        </is>
      </c>
      <c r="B511" t="inlineStr">
        <is>
          <t>Kept after losses</t>
        </is>
      </c>
      <c r="C511" t="n">
        <v>642</v>
      </c>
      <c r="D511" t="inlineStr">
        <is>
          <t>FICO 712 - 745</t>
        </is>
      </c>
      <c r="E511" t="inlineStr">
        <is>
          <t>ASSET_CLASS 4</t>
        </is>
      </c>
      <c r="F511" t="inlineStr">
        <is>
          <t>low</t>
        </is>
      </c>
      <c r="G511" t="n">
        <v>214</v>
      </c>
      <c r="H511" t="n">
        <v>-3.946708061699554</v>
      </c>
      <c r="I511" t="inlineStr">
        <is>
          <t>Yes</t>
        </is>
      </c>
      <c r="J511" t="n">
        <v>57</v>
      </c>
      <c r="K511">
        <f>'_pockets'!$AI$642</f>
        <v/>
      </c>
      <c r="L511">
        <f>'_pockets'!$AJ$642</f>
        <v/>
      </c>
      <c r="M511">
        <f>IF(AND($A511='Pockets'!$D$18,$B511='Pockets'!$C$18,OR('Pockets'!$E$18="All",AND('Pockets'!$E$18="Worse and material",$K511="Yes",$L511="Yes"),AND('Pockets'!$E$18="Worse or not sure",OR($K511="Yes",$K511="Not sure")))),1,0)</f>
        <v/>
      </c>
      <c r="N511">
        <f>$N510+$M511</f>
        <v/>
      </c>
      <c r="O511" t="inlineStr">
        <is>
          <t>three-way</t>
        </is>
      </c>
      <c r="P511" t="inlineStr">
        <is>
          <t>ranr_rate</t>
        </is>
      </c>
    </row>
    <row r="512">
      <c r="A512" t="inlineStr">
        <is>
          <t>Split by REV_DEBT</t>
        </is>
      </c>
      <c r="B512" t="inlineStr">
        <is>
          <t>Kept after losses</t>
        </is>
      </c>
      <c r="C512" t="n">
        <v>752</v>
      </c>
      <c r="D512" t="inlineStr">
        <is>
          <t>FICO 712 - 745</t>
        </is>
      </c>
      <c r="E512" t="inlineStr">
        <is>
          <t>ASSET_CLASS 3</t>
        </is>
      </c>
      <c r="F512" t="inlineStr">
        <is>
          <t>low</t>
        </is>
      </c>
      <c r="G512" t="n">
        <v>196</v>
      </c>
      <c r="H512" t="n">
        <v>-4.119195067510546</v>
      </c>
      <c r="I512" t="inlineStr">
        <is>
          <t>Yes</t>
        </is>
      </c>
      <c r="J512" t="n">
        <v>58</v>
      </c>
      <c r="K512">
        <f>'_pockets'!$AI$752</f>
        <v/>
      </c>
      <c r="L512">
        <f>'_pockets'!$AJ$752</f>
        <v/>
      </c>
      <c r="M512">
        <f>IF(AND($A512='Pockets'!$D$18,$B512='Pockets'!$C$18,OR('Pockets'!$E$18="All",AND('Pockets'!$E$18="Worse and material",$K512="Yes",$L512="Yes"),AND('Pockets'!$E$18="Worse or not sure",OR($K512="Yes",$K512="Not sure")))),1,0)</f>
        <v/>
      </c>
      <c r="N512">
        <f>$N511+$M512</f>
        <v/>
      </c>
      <c r="O512" t="inlineStr">
        <is>
          <t>three-way</t>
        </is>
      </c>
      <c r="P512" t="inlineStr">
        <is>
          <t>ranr_rate</t>
        </is>
      </c>
    </row>
    <row r="513">
      <c r="A513" t="inlineStr">
        <is>
          <t>Split by REV_DEBT</t>
        </is>
      </c>
      <c r="B513" t="inlineStr">
        <is>
          <t>Kept after losses</t>
        </is>
      </c>
      <c r="C513" t="n">
        <v>607</v>
      </c>
      <c r="D513" t="inlineStr">
        <is>
          <t>FICO 712 - 745</t>
        </is>
      </c>
      <c r="E513" t="inlineStr">
        <is>
          <t>ASSET_CLASS 1</t>
        </is>
      </c>
      <c r="F513" t="inlineStr">
        <is>
          <t>low</t>
        </is>
      </c>
      <c r="G513" t="n">
        <v>181</v>
      </c>
      <c r="H513" t="n">
        <v>-4.282368910221292</v>
      </c>
      <c r="I513" t="inlineStr">
        <is>
          <t>Yes</t>
        </is>
      </c>
      <c r="J513" t="n">
        <v>59</v>
      </c>
      <c r="K513">
        <f>'_pockets'!$AI$607</f>
        <v/>
      </c>
      <c r="L513">
        <f>'_pockets'!$AJ$607</f>
        <v/>
      </c>
      <c r="M513">
        <f>IF(AND($A513='Pockets'!$D$18,$B513='Pockets'!$C$18,OR('Pockets'!$E$18="All",AND('Pockets'!$E$18="Worse and material",$K513="Yes",$L513="Yes"),AND('Pockets'!$E$18="Worse or not sure",OR($K513="Yes",$K513="Not sure")))),1,0)</f>
        <v/>
      </c>
      <c r="N513">
        <f>$N512+$M513</f>
        <v/>
      </c>
      <c r="O513" t="inlineStr">
        <is>
          <t>three-way</t>
        </is>
      </c>
      <c r="P513" t="inlineStr">
        <is>
          <t>ranr_rate</t>
        </is>
      </c>
    </row>
    <row r="514">
      <c r="A514" t="inlineStr">
        <is>
          <t>Split by REV_DEBT</t>
        </is>
      </c>
      <c r="B514" t="inlineStr">
        <is>
          <t>Kept after losses</t>
        </is>
      </c>
      <c r="C514" t="n">
        <v>452</v>
      </c>
      <c r="D514" t="inlineStr">
        <is>
          <t>FICO 712 - 745</t>
        </is>
      </c>
      <c r="E514" t="inlineStr">
        <is>
          <t>Online</t>
        </is>
      </c>
      <c r="F514" t="inlineStr">
        <is>
          <t>low</t>
        </is>
      </c>
      <c r="G514" t="n">
        <v>282</v>
      </c>
      <c r="H514" t="n">
        <v>-3.453205258906241</v>
      </c>
      <c r="I514" t="inlineStr">
        <is>
          <t>Yes</t>
        </is>
      </c>
      <c r="J514" t="n">
        <v>60</v>
      </c>
      <c r="K514">
        <f>'_pockets'!$AI$452</f>
        <v/>
      </c>
      <c r="L514">
        <f>'_pockets'!$AJ$452</f>
        <v/>
      </c>
      <c r="M514">
        <f>IF(AND($A514='Pockets'!$D$18,$B514='Pockets'!$C$18,OR('Pockets'!$E$18="All",AND('Pockets'!$E$18="Worse and material",$K514="Yes",$L514="Yes"),AND('Pockets'!$E$18="Worse or not sure",OR($K514="Yes",$K514="Not sure")))),1,0)</f>
        <v/>
      </c>
      <c r="N514">
        <f>$N513+$M514</f>
        <v/>
      </c>
      <c r="O514" t="inlineStr">
        <is>
          <t>three-way</t>
        </is>
      </c>
      <c r="P514" t="inlineStr">
        <is>
          <t>ranr_rate</t>
        </is>
      </c>
    </row>
    <row r="515">
      <c r="A515" t="inlineStr">
        <is>
          <t>Split by REV_DEBT</t>
        </is>
      </c>
      <c r="B515" t="inlineStr">
        <is>
          <t>Kept after losses</t>
        </is>
      </c>
      <c r="C515" t="n">
        <v>972</v>
      </c>
      <c r="D515" t="inlineStr">
        <is>
          <t>ORIG_BAL 49,152 - 59,984</t>
        </is>
      </c>
      <c r="E515" t="inlineStr">
        <is>
          <t>Broker</t>
        </is>
      </c>
      <c r="F515" t="inlineStr">
        <is>
          <t>low</t>
        </is>
      </c>
      <c r="G515" t="n">
        <v>260</v>
      </c>
      <c r="H515" t="n">
        <v>-3.591220740516375</v>
      </c>
      <c r="I515" t="inlineStr">
        <is>
          <t>No: may be mostly FICO</t>
        </is>
      </c>
      <c r="J515" t="n">
        <v>61</v>
      </c>
      <c r="K515">
        <f>'_pockets'!$AI$972</f>
        <v/>
      </c>
      <c r="L515">
        <f>'_pockets'!$AJ$972</f>
        <v/>
      </c>
      <c r="M515">
        <f>IF(AND($A515='Pockets'!$D$18,$B515='Pockets'!$C$18,OR('Pockets'!$E$18="All",AND('Pockets'!$E$18="Worse and material",$K515="Yes",$L515="Yes"),AND('Pockets'!$E$18="Worse or not sure",OR($K515="Yes",$K515="Not sure")))),1,0)</f>
        <v/>
      </c>
      <c r="N515">
        <f>$N514+$M515</f>
        <v/>
      </c>
      <c r="O515" t="inlineStr">
        <is>
          <t>three-way</t>
        </is>
      </c>
      <c r="P515" t="inlineStr">
        <is>
          <t>ranr_rate</t>
        </is>
      </c>
    </row>
    <row r="516">
      <c r="A516" t="inlineStr">
        <is>
          <t>Split by REV_DEBT</t>
        </is>
      </c>
      <c r="B516" t="inlineStr">
        <is>
          <t>Kept after losses</t>
        </is>
      </c>
      <c r="C516" t="n">
        <v>867</v>
      </c>
      <c r="D516" t="inlineStr">
        <is>
          <t>ORIG_BAL 26,324 - 37,950</t>
        </is>
      </c>
      <c r="E516" t="inlineStr">
        <is>
          <t>Branch</t>
        </is>
      </c>
      <c r="F516" t="inlineStr">
        <is>
          <t>low</t>
        </is>
      </c>
      <c r="G516" t="n">
        <v>259</v>
      </c>
      <c r="H516" t="n">
        <v>-3.597914474088387</v>
      </c>
      <c r="I516" t="inlineStr">
        <is>
          <t>No: may be mostly FICO</t>
        </is>
      </c>
      <c r="J516" t="n">
        <v>62</v>
      </c>
      <c r="K516">
        <f>'_pockets'!$AI$867</f>
        <v/>
      </c>
      <c r="L516">
        <f>'_pockets'!$AJ$867</f>
        <v/>
      </c>
      <c r="M516">
        <f>IF(AND($A516='Pockets'!$D$18,$B516='Pockets'!$C$18,OR('Pockets'!$E$18="All",AND('Pockets'!$E$18="Worse and material",$K516="Yes",$L516="Yes"),AND('Pockets'!$E$18="Worse or not sure",OR($K516="Yes",$K516="Not sure")))),1,0)</f>
        <v/>
      </c>
      <c r="N516">
        <f>$N515+$M516</f>
        <v/>
      </c>
      <c r="O516" t="inlineStr">
        <is>
          <t>three-way</t>
        </is>
      </c>
      <c r="P516" t="inlineStr">
        <is>
          <t>ranr_rate</t>
        </is>
      </c>
    </row>
    <row r="517">
      <c r="A517" t="inlineStr">
        <is>
          <t>Split by REV_DEBT</t>
        </is>
      </c>
      <c r="B517" t="inlineStr">
        <is>
          <t>Kept after losses</t>
        </is>
      </c>
      <c r="C517" t="n">
        <v>982</v>
      </c>
      <c r="D517" t="inlineStr">
        <is>
          <t>ORIG_BAL 5,005 - 15,448</t>
        </is>
      </c>
      <c r="E517" t="inlineStr">
        <is>
          <t>Branch</t>
        </is>
      </c>
      <c r="F517" t="inlineStr">
        <is>
          <t>low</t>
        </is>
      </c>
      <c r="G517" t="n">
        <v>271</v>
      </c>
      <c r="H517" t="n">
        <v>-3.520083745273923</v>
      </c>
      <c r="I517" t="inlineStr">
        <is>
          <t>No: may be mostly FICO</t>
        </is>
      </c>
      <c r="J517" t="n">
        <v>63</v>
      </c>
      <c r="K517">
        <f>'_pockets'!$AI$982</f>
        <v/>
      </c>
      <c r="L517">
        <f>'_pockets'!$AJ$982</f>
        <v/>
      </c>
      <c r="M517">
        <f>IF(AND($A517='Pockets'!$D$18,$B517='Pockets'!$C$18,OR('Pockets'!$E$18="All",AND('Pockets'!$E$18="Worse and material",$K517="Yes",$L517="Yes"),AND('Pockets'!$E$18="Worse or not sure",OR($K517="Yes",$K517="Not sure")))),1,0)</f>
        <v/>
      </c>
      <c r="N517">
        <f>$N516+$M517</f>
        <v/>
      </c>
      <c r="O517" t="inlineStr">
        <is>
          <t>three-way</t>
        </is>
      </c>
      <c r="P517" t="inlineStr">
        <is>
          <t>ranr_rate</t>
        </is>
      </c>
    </row>
    <row r="518">
      <c r="A518" t="inlineStr">
        <is>
          <t>Split by REV_DEBT</t>
        </is>
      </c>
      <c r="B518" t="inlineStr">
        <is>
          <t>Kept after losses</t>
        </is>
      </c>
      <c r="C518" t="n">
        <v>927</v>
      </c>
      <c r="D518" t="inlineStr">
        <is>
          <t>ORIG_BAL 49,152 - 59,984</t>
        </is>
      </c>
      <c r="E518" t="inlineStr">
        <is>
          <t>Branch</t>
        </is>
      </c>
      <c r="F518" t="inlineStr">
        <is>
          <t>low</t>
        </is>
      </c>
      <c r="G518" t="n">
        <v>258</v>
      </c>
      <c r="H518" t="n">
        <v>-3.604647582275089</v>
      </c>
      <c r="I518" t="inlineStr">
        <is>
          <t>No: may be mostly FICO</t>
        </is>
      </c>
      <c r="J518" t="n">
        <v>64</v>
      </c>
      <c r="K518">
        <f>'_pockets'!$AI$927</f>
        <v/>
      </c>
      <c r="L518">
        <f>'_pockets'!$AJ$927</f>
        <v/>
      </c>
      <c r="M518">
        <f>IF(AND($A518='Pockets'!$D$18,$B518='Pockets'!$C$18,OR('Pockets'!$E$18="All",AND('Pockets'!$E$18="Worse and material",$K518="Yes",$L518="Yes"),AND('Pockets'!$E$18="Worse or not sure",OR($K518="Yes",$K518="Not sure")))),1,0)</f>
        <v/>
      </c>
      <c r="N518">
        <f>$N517+$M518</f>
        <v/>
      </c>
      <c r="O518" t="inlineStr">
        <is>
          <t>three-way</t>
        </is>
      </c>
      <c r="P518" t="inlineStr">
        <is>
          <t>ranr_rate</t>
        </is>
      </c>
    </row>
    <row r="519">
      <c r="A519" t="inlineStr">
        <is>
          <t>Split by REV_DEBT</t>
        </is>
      </c>
      <c r="B519" t="inlineStr">
        <is>
          <t>Kept after losses</t>
        </is>
      </c>
      <c r="C519" t="n">
        <v>1112</v>
      </c>
      <c r="D519" t="inlineStr">
        <is>
          <t>ORIG_BAL 49,152 - 59,984</t>
        </is>
      </c>
      <c r="E519" t="inlineStr">
        <is>
          <t>ASSET_CLASS 2</t>
        </is>
      </c>
      <c r="F519" t="inlineStr">
        <is>
          <t>low</t>
        </is>
      </c>
      <c r="G519" t="n">
        <v>199</v>
      </c>
      <c r="H519" t="n">
        <v>-4.088814032012918</v>
      </c>
      <c r="I519" t="inlineStr">
        <is>
          <t>No: may be mostly FICO</t>
        </is>
      </c>
      <c r="J519" t="n">
        <v>65</v>
      </c>
      <c r="K519">
        <f>'_pockets'!$AI$1112</f>
        <v/>
      </c>
      <c r="L519">
        <f>'_pockets'!$AJ$1112</f>
        <v/>
      </c>
      <c r="M519">
        <f>IF(AND($A519='Pockets'!$D$18,$B519='Pockets'!$C$18,OR('Pockets'!$E$18="All",AND('Pockets'!$E$18="Worse and material",$K519="Yes",$L519="Yes"),AND('Pockets'!$E$18="Worse or not sure",OR($K519="Yes",$K519="Not sure")))),1,0)</f>
        <v/>
      </c>
      <c r="N519">
        <f>$N518+$M519</f>
        <v/>
      </c>
      <c r="O519" t="inlineStr">
        <is>
          <t>three-way</t>
        </is>
      </c>
      <c r="P519" t="inlineStr">
        <is>
          <t>ranr_rate</t>
        </is>
      </c>
    </row>
    <row r="520">
      <c r="A520" t="inlineStr">
        <is>
          <t>Split by REV_DEBT</t>
        </is>
      </c>
      <c r="B520" t="inlineStr">
        <is>
          <t>Kept after losses</t>
        </is>
      </c>
      <c r="C520" t="n">
        <v>852</v>
      </c>
      <c r="D520" t="inlineStr">
        <is>
          <t>ORIG_BAL 37,951 - 49,151</t>
        </is>
      </c>
      <c r="E520" t="inlineStr">
        <is>
          <t>Branch</t>
        </is>
      </c>
      <c r="F520" t="inlineStr">
        <is>
          <t>low</t>
        </is>
      </c>
      <c r="G520" t="n">
        <v>263</v>
      </c>
      <c r="H520" t="n">
        <v>-3.571372030860745</v>
      </c>
      <c r="I520" t="inlineStr">
        <is>
          <t>No: may be mostly FICO</t>
        </is>
      </c>
      <c r="J520" t="n">
        <v>66</v>
      </c>
      <c r="K520">
        <f>'_pockets'!$AI$852</f>
        <v/>
      </c>
      <c r="L520">
        <f>'_pockets'!$AJ$852</f>
        <v/>
      </c>
      <c r="M520">
        <f>IF(AND($A520='Pockets'!$D$18,$B520='Pockets'!$C$18,OR('Pockets'!$E$18="All",AND('Pockets'!$E$18="Worse and material",$K520="Yes",$L520="Yes"),AND('Pockets'!$E$18="Worse or not sure",OR($K520="Yes",$K520="Not sure")))),1,0)</f>
        <v/>
      </c>
      <c r="N520">
        <f>$N519+$M520</f>
        <v/>
      </c>
      <c r="O520" t="inlineStr">
        <is>
          <t>three-way</t>
        </is>
      </c>
      <c r="P520" t="inlineStr">
        <is>
          <t>ranr_rate</t>
        </is>
      </c>
    </row>
    <row r="521">
      <c r="A521" t="inlineStr">
        <is>
          <t>Split by REV_DEBT</t>
        </is>
      </c>
      <c r="B521" t="inlineStr">
        <is>
          <t>Kept after losses</t>
        </is>
      </c>
      <c r="C521" t="n">
        <v>887</v>
      </c>
      <c r="D521" t="inlineStr">
        <is>
          <t>ORIG_BAL 37,951 - 49,151</t>
        </is>
      </c>
      <c r="E521" t="inlineStr">
        <is>
          <t>Broker</t>
        </is>
      </c>
      <c r="F521" t="inlineStr">
        <is>
          <t>low</t>
        </is>
      </c>
      <c r="G521" t="n">
        <v>266</v>
      </c>
      <c r="H521" t="n">
        <v>-3.551864377137078</v>
      </c>
      <c r="I521" t="inlineStr">
        <is>
          <t>No: may be mostly FICO</t>
        </is>
      </c>
      <c r="J521" t="n">
        <v>67</v>
      </c>
      <c r="K521">
        <f>'_pockets'!$AI$887</f>
        <v/>
      </c>
      <c r="L521">
        <f>'_pockets'!$AJ$887</f>
        <v/>
      </c>
      <c r="M521">
        <f>IF(AND($A521='Pockets'!$D$18,$B521='Pockets'!$C$18,OR('Pockets'!$E$18="All",AND('Pockets'!$E$18="Worse and material",$K521="Yes",$L521="Yes"),AND('Pockets'!$E$18="Worse or not sure",OR($K521="Yes",$K521="Not sure")))),1,0)</f>
        <v/>
      </c>
      <c r="N521">
        <f>$N520+$M521</f>
        <v/>
      </c>
      <c r="O521" t="inlineStr">
        <is>
          <t>three-way</t>
        </is>
      </c>
      <c r="P521" t="inlineStr">
        <is>
          <t>ranr_rate</t>
        </is>
      </c>
    </row>
    <row r="522">
      <c r="A522" t="inlineStr">
        <is>
          <t>Split by REV_DEBT</t>
        </is>
      </c>
      <c r="B522" t="inlineStr">
        <is>
          <t>Kept after losses</t>
        </is>
      </c>
      <c r="C522" t="n">
        <v>1097</v>
      </c>
      <c r="D522" t="inlineStr">
        <is>
          <t>ORIG_BAL 49,152 - 59,984</t>
        </is>
      </c>
      <c r="E522" t="inlineStr">
        <is>
          <t>ASSET_CLASS 4</t>
        </is>
      </c>
      <c r="F522" t="inlineStr">
        <is>
          <t>low</t>
        </is>
      </c>
      <c r="G522" t="n">
        <v>192</v>
      </c>
      <c r="H522" t="n">
        <v>-4.160815837837669</v>
      </c>
      <c r="I522" t="inlineStr">
        <is>
          <t>No: may be mostly FICO</t>
        </is>
      </c>
      <c r="J522" t="n">
        <v>68</v>
      </c>
      <c r="K522">
        <f>'_pockets'!$AI$1097</f>
        <v/>
      </c>
      <c r="L522">
        <f>'_pockets'!$AJ$1097</f>
        <v/>
      </c>
      <c r="M522">
        <f>IF(AND($A522='Pockets'!$D$18,$B522='Pockets'!$C$18,OR('Pockets'!$E$18="All",AND('Pockets'!$E$18="Worse and material",$K522="Yes",$L522="Yes"),AND('Pockets'!$E$18="Worse or not sure",OR($K522="Yes",$K522="Not sure")))),1,0)</f>
        <v/>
      </c>
      <c r="N522">
        <f>$N521+$M522</f>
        <v/>
      </c>
      <c r="O522" t="inlineStr">
        <is>
          <t>three-way</t>
        </is>
      </c>
      <c r="P522" t="inlineStr">
        <is>
          <t>ranr_rate</t>
        </is>
      </c>
    </row>
    <row r="523">
      <c r="A523" t="inlineStr">
        <is>
          <t>Split by REV_DEBT</t>
        </is>
      </c>
      <c r="B523" t="inlineStr">
        <is>
          <t>Kept after losses</t>
        </is>
      </c>
      <c r="C523" t="n">
        <v>1077</v>
      </c>
      <c r="D523" t="inlineStr">
        <is>
          <t>ORIG_BAL 37,951 - 49,151</t>
        </is>
      </c>
      <c r="E523" t="inlineStr">
        <is>
          <t>ASSET_CLASS 4</t>
        </is>
      </c>
      <c r="F523" t="inlineStr">
        <is>
          <t>high</t>
        </is>
      </c>
      <c r="G523" t="n">
        <v>207</v>
      </c>
      <c r="H523" t="n">
        <v>-4.011082117651476</v>
      </c>
      <c r="I523" t="inlineStr">
        <is>
          <t>No: may be mostly FICO</t>
        </is>
      </c>
      <c r="J523" t="n">
        <v>69</v>
      </c>
      <c r="K523">
        <f>'_pockets'!$AI$1077</f>
        <v/>
      </c>
      <c r="L523">
        <f>'_pockets'!$AJ$1077</f>
        <v/>
      </c>
      <c r="M523">
        <f>IF(AND($A523='Pockets'!$D$18,$B523='Pockets'!$C$18,OR('Pockets'!$E$18="All",AND('Pockets'!$E$18="Worse and material",$K523="Yes",$L523="Yes"),AND('Pockets'!$E$18="Worse or not sure",OR($K523="Yes",$K523="Not sure")))),1,0)</f>
        <v/>
      </c>
      <c r="N523">
        <f>$N522+$M523</f>
        <v/>
      </c>
      <c r="O523" t="inlineStr">
        <is>
          <t>three-way</t>
        </is>
      </c>
      <c r="P523" t="inlineStr">
        <is>
          <t>ranr_rate</t>
        </is>
      </c>
    </row>
    <row r="524">
      <c r="A524" t="inlineStr">
        <is>
          <t>Split by REV_DEBT</t>
        </is>
      </c>
      <c r="B524" t="inlineStr">
        <is>
          <t>Kept after losses</t>
        </is>
      </c>
      <c r="C524" t="n">
        <v>1022</v>
      </c>
      <c r="D524" t="inlineStr">
        <is>
          <t>ORIG_BAL 37,951 - 49,151</t>
        </is>
      </c>
      <c r="E524" t="inlineStr">
        <is>
          <t>ASSET_CLASS 2</t>
        </is>
      </c>
      <c r="F524" t="inlineStr">
        <is>
          <t>low</t>
        </is>
      </c>
      <c r="G524" t="n">
        <v>210</v>
      </c>
      <c r="H524" t="n">
        <v>-3.983095310211156</v>
      </c>
      <c r="I524" t="inlineStr">
        <is>
          <t>No: may be mostly FICO</t>
        </is>
      </c>
      <c r="J524" t="n">
        <v>70</v>
      </c>
      <c r="K524">
        <f>'_pockets'!$AI$1022</f>
        <v/>
      </c>
      <c r="L524">
        <f>'_pockets'!$AJ$1022</f>
        <v/>
      </c>
      <c r="M524">
        <f>IF(AND($A524='Pockets'!$D$18,$B524='Pockets'!$C$18,OR('Pockets'!$E$18="All",AND('Pockets'!$E$18="Worse and material",$K524="Yes",$L524="Yes"),AND('Pockets'!$E$18="Worse or not sure",OR($K524="Yes",$K524="Not sure")))),1,0)</f>
        <v/>
      </c>
      <c r="N524">
        <f>$N523+$M524</f>
        <v/>
      </c>
      <c r="O524" t="inlineStr">
        <is>
          <t>three-way</t>
        </is>
      </c>
      <c r="P524" t="inlineStr">
        <is>
          <t>ranr_rate</t>
        </is>
      </c>
    </row>
    <row r="525">
      <c r="A525" t="inlineStr">
        <is>
          <t>Split by REV_DEBT</t>
        </is>
      </c>
      <c r="B525" t="inlineStr">
        <is>
          <t>Kept after losses</t>
        </is>
      </c>
      <c r="C525" t="n">
        <v>1087</v>
      </c>
      <c r="D525" t="inlineStr">
        <is>
          <t>ORIG_BAL 49,152 - 59,984</t>
        </is>
      </c>
      <c r="E525" t="inlineStr">
        <is>
          <t>ASSET_CLASS 3</t>
        </is>
      </c>
      <c r="F525" t="inlineStr">
        <is>
          <t>low</t>
        </is>
      </c>
      <c r="G525" t="n">
        <v>203</v>
      </c>
      <c r="H525" t="n">
        <v>-4.049368160317101</v>
      </c>
      <c r="I525" t="inlineStr">
        <is>
          <t>No: may be mostly FICO</t>
        </is>
      </c>
      <c r="J525" t="n">
        <v>71</v>
      </c>
      <c r="K525">
        <f>'_pockets'!$AI$1087</f>
        <v/>
      </c>
      <c r="L525">
        <f>'_pockets'!$AJ$1087</f>
        <v/>
      </c>
      <c r="M525">
        <f>IF(AND($A525='Pockets'!$D$18,$B525='Pockets'!$C$18,OR('Pockets'!$E$18="All",AND('Pockets'!$E$18="Worse and material",$K525="Yes",$L525="Yes"),AND('Pockets'!$E$18="Worse or not sure",OR($K525="Yes",$K525="Not sure")))),1,0)</f>
        <v/>
      </c>
      <c r="N525">
        <f>$N524+$M525</f>
        <v/>
      </c>
      <c r="O525" t="inlineStr">
        <is>
          <t>three-way</t>
        </is>
      </c>
      <c r="P525" t="inlineStr">
        <is>
          <t>ranr_rate</t>
        </is>
      </c>
    </row>
    <row r="526">
      <c r="A526" t="inlineStr">
        <is>
          <t>Split by REV_DEBT</t>
        </is>
      </c>
      <c r="B526" t="inlineStr">
        <is>
          <t>Kept after losses</t>
        </is>
      </c>
      <c r="C526" t="n">
        <v>847</v>
      </c>
      <c r="D526" t="inlineStr">
        <is>
          <t>ORIG_BAL 26,324 - 37,950</t>
        </is>
      </c>
      <c r="E526" t="inlineStr">
        <is>
          <t>Broker</t>
        </is>
      </c>
      <c r="F526" t="inlineStr">
        <is>
          <t>high</t>
        </is>
      </c>
      <c r="G526" t="n">
        <v>276</v>
      </c>
      <c r="H526" t="n">
        <v>-3.489182129284139</v>
      </c>
      <c r="I526" t="inlineStr">
        <is>
          <t>No: may be mostly FICO</t>
        </is>
      </c>
      <c r="J526" t="n">
        <v>72</v>
      </c>
      <c r="K526">
        <f>'_pockets'!$AI$847</f>
        <v/>
      </c>
      <c r="L526">
        <f>'_pockets'!$AJ$847</f>
        <v/>
      </c>
      <c r="M526">
        <f>IF(AND($A526='Pockets'!$D$18,$B526='Pockets'!$C$18,OR('Pockets'!$E$18="All",AND('Pockets'!$E$18="Worse and material",$K526="Yes",$L526="Yes"),AND('Pockets'!$E$18="Worse or not sure",OR($K526="Yes",$K526="Not sure")))),1,0)</f>
        <v/>
      </c>
      <c r="N526">
        <f>$N525+$M526</f>
        <v/>
      </c>
      <c r="O526" t="inlineStr">
        <is>
          <t>three-way</t>
        </is>
      </c>
      <c r="P526" t="inlineStr">
        <is>
          <t>ranr_rate</t>
        </is>
      </c>
    </row>
    <row r="527">
      <c r="A527" t="inlineStr">
        <is>
          <t>Split by REV_DEBT</t>
        </is>
      </c>
      <c r="B527" t="inlineStr">
        <is>
          <t>Kept after losses</t>
        </is>
      </c>
      <c r="C527" t="n">
        <v>892</v>
      </c>
      <c r="D527" t="inlineStr">
        <is>
          <t>ORIG_BAL 15,449 - 26,323</t>
        </is>
      </c>
      <c r="E527" t="inlineStr">
        <is>
          <t>Broker</t>
        </is>
      </c>
      <c r="F527" t="inlineStr">
        <is>
          <t>low</t>
        </is>
      </c>
      <c r="G527" t="n">
        <v>269</v>
      </c>
      <c r="H527" t="n">
        <v>-3.532688226561486</v>
      </c>
      <c r="I527" t="inlineStr">
        <is>
          <t>No: may be mostly FICO</t>
        </is>
      </c>
      <c r="J527" t="n">
        <v>73</v>
      </c>
      <c r="K527">
        <f>'_pockets'!$AI$892</f>
        <v/>
      </c>
      <c r="L527">
        <f>'_pockets'!$AJ$892</f>
        <v/>
      </c>
      <c r="M527">
        <f>IF(AND($A527='Pockets'!$D$18,$B527='Pockets'!$C$18,OR('Pockets'!$E$18="All",AND('Pockets'!$E$18="Worse and material",$K527="Yes",$L527="Yes"),AND('Pockets'!$E$18="Worse or not sure",OR($K527="Yes",$K527="Not sure")))),1,0)</f>
        <v/>
      </c>
      <c r="N527">
        <f>$N526+$M527</f>
        <v/>
      </c>
      <c r="O527" t="inlineStr">
        <is>
          <t>three-way</t>
        </is>
      </c>
      <c r="P527" t="inlineStr">
        <is>
          <t>ranr_rate</t>
        </is>
      </c>
    </row>
    <row r="528">
      <c r="A528" t="inlineStr">
        <is>
          <t>Split by REV_DEBT</t>
        </is>
      </c>
      <c r="B528" t="inlineStr">
        <is>
          <t>Kept after losses</t>
        </is>
      </c>
      <c r="C528" t="n">
        <v>1132</v>
      </c>
      <c r="D528" t="inlineStr">
        <is>
          <t>ORIG_BAL 37,951 - 49,151</t>
        </is>
      </c>
      <c r="E528" t="inlineStr">
        <is>
          <t>ASSET_CLASS 4</t>
        </is>
      </c>
      <c r="F528" t="inlineStr">
        <is>
          <t>low</t>
        </is>
      </c>
      <c r="G528" t="n">
        <v>207</v>
      </c>
      <c r="H528" t="n">
        <v>-4.011082117651476</v>
      </c>
      <c r="I528" t="inlineStr">
        <is>
          <t>No: may be mostly FICO</t>
        </is>
      </c>
      <c r="J528" t="n">
        <v>74</v>
      </c>
      <c r="K528">
        <f>'_pockets'!$AI$1132</f>
        <v/>
      </c>
      <c r="L528">
        <f>'_pockets'!$AJ$1132</f>
        <v/>
      </c>
      <c r="M528">
        <f>IF(AND($A528='Pockets'!$D$18,$B528='Pockets'!$C$18,OR('Pockets'!$E$18="All",AND('Pockets'!$E$18="Worse and material",$K528="Yes",$L528="Yes"),AND('Pockets'!$E$18="Worse or not sure",OR($K528="Yes",$K528="Not sure")))),1,0)</f>
        <v/>
      </c>
      <c r="N528">
        <f>$N527+$M528</f>
        <v/>
      </c>
      <c r="O528" t="inlineStr">
        <is>
          <t>three-way</t>
        </is>
      </c>
      <c r="P528" t="inlineStr">
        <is>
          <t>ranr_rate</t>
        </is>
      </c>
    </row>
    <row r="529">
      <c r="A529" t="inlineStr">
        <is>
          <t>Split by REV_DEBT</t>
        </is>
      </c>
      <c r="B529" t="inlineStr">
        <is>
          <t>Kept after losses</t>
        </is>
      </c>
      <c r="C529" t="n">
        <v>987</v>
      </c>
      <c r="D529" t="inlineStr">
        <is>
          <t>ORIG_BAL 15,449 - 26,323</t>
        </is>
      </c>
      <c r="E529" t="inlineStr">
        <is>
          <t>Branch</t>
        </is>
      </c>
      <c r="F529" t="inlineStr">
        <is>
          <t>low</t>
        </is>
      </c>
      <c r="G529" t="n">
        <v>263</v>
      </c>
      <c r="H529" t="n">
        <v>-3.571372030860745</v>
      </c>
      <c r="I529" t="inlineStr">
        <is>
          <t>No: may be mostly FICO</t>
        </is>
      </c>
      <c r="J529" t="n">
        <v>75</v>
      </c>
      <c r="K529">
        <f>'_pockets'!$AI$987</f>
        <v/>
      </c>
      <c r="L529">
        <f>'_pockets'!$AJ$987</f>
        <v/>
      </c>
      <c r="M529">
        <f>IF(AND($A529='Pockets'!$D$18,$B529='Pockets'!$C$18,OR('Pockets'!$E$18="All",AND('Pockets'!$E$18="Worse and material",$K529="Yes",$L529="Yes"),AND('Pockets'!$E$18="Worse or not sure",OR($K529="Yes",$K529="Not sure")))),1,0)</f>
        <v/>
      </c>
      <c r="N529">
        <f>$N528+$M529</f>
        <v/>
      </c>
      <c r="O529" t="inlineStr">
        <is>
          <t>three-way</t>
        </is>
      </c>
      <c r="P529" t="inlineStr">
        <is>
          <t>ranr_rate</t>
        </is>
      </c>
    </row>
    <row r="530">
      <c r="A530" t="inlineStr">
        <is>
          <t>Split by REV_DEBT</t>
        </is>
      </c>
      <c r="B530" t="inlineStr">
        <is>
          <t>Kept after losses</t>
        </is>
      </c>
      <c r="C530" t="n">
        <v>872</v>
      </c>
      <c r="D530" t="inlineStr">
        <is>
          <t>ORIG_BAL 15,449 - 26,323</t>
        </is>
      </c>
      <c r="E530" t="inlineStr">
        <is>
          <t>Broker</t>
        </is>
      </c>
      <c r="F530" t="inlineStr">
        <is>
          <t>high</t>
        </is>
      </c>
      <c r="G530" t="n">
        <v>268</v>
      </c>
      <c r="H530" t="n">
        <v>-3.539044017311852</v>
      </c>
      <c r="I530" t="inlineStr">
        <is>
          <t>No: may be mostly FICO</t>
        </is>
      </c>
      <c r="J530" t="n">
        <v>76</v>
      </c>
      <c r="K530">
        <f>'_pockets'!$AI$872</f>
        <v/>
      </c>
      <c r="L530">
        <f>'_pockets'!$AJ$872</f>
        <v/>
      </c>
      <c r="M530">
        <f>IF(AND($A530='Pockets'!$D$18,$B530='Pockets'!$C$18,OR('Pockets'!$E$18="All",AND('Pockets'!$E$18="Worse and material",$K530="Yes",$L530="Yes"),AND('Pockets'!$E$18="Worse or not sure",OR($K530="Yes",$K530="Not sure")))),1,0)</f>
        <v/>
      </c>
      <c r="N530">
        <f>$N529+$M530</f>
        <v/>
      </c>
      <c r="O530" t="inlineStr">
        <is>
          <t>three-way</t>
        </is>
      </c>
      <c r="P530" t="inlineStr">
        <is>
          <t>ranr_rate</t>
        </is>
      </c>
    </row>
    <row r="531">
      <c r="A531" t="inlineStr">
        <is>
          <t>Split by REV_DEBT</t>
        </is>
      </c>
      <c r="B531" t="inlineStr">
        <is>
          <t>Kept after losses</t>
        </is>
      </c>
      <c r="C531" t="n">
        <v>1072</v>
      </c>
      <c r="D531" t="inlineStr">
        <is>
          <t>ORIG_BAL 49,152 - 59,984</t>
        </is>
      </c>
      <c r="E531" t="inlineStr">
        <is>
          <t>ASSET_CLASS 1</t>
        </is>
      </c>
      <c r="F531" t="inlineStr">
        <is>
          <t>low</t>
        </is>
      </c>
      <c r="G531" t="n">
        <v>207</v>
      </c>
      <c r="H531" t="n">
        <v>-4.011082117651476</v>
      </c>
      <c r="I531" t="inlineStr">
        <is>
          <t>No: may be mostly FICO</t>
        </is>
      </c>
      <c r="J531" t="n">
        <v>77</v>
      </c>
      <c r="K531">
        <f>'_pockets'!$AI$1072</f>
        <v/>
      </c>
      <c r="L531">
        <f>'_pockets'!$AJ$1072</f>
        <v/>
      </c>
      <c r="M531">
        <f>IF(AND($A531='Pockets'!$D$18,$B531='Pockets'!$C$18,OR('Pockets'!$E$18="All",AND('Pockets'!$E$18="Worse and material",$K531="Yes",$L531="Yes"),AND('Pockets'!$E$18="Worse or not sure",OR($K531="Yes",$K531="Not sure")))),1,0)</f>
        <v/>
      </c>
      <c r="N531">
        <f>$N530+$M531</f>
        <v/>
      </c>
      <c r="O531" t="inlineStr">
        <is>
          <t>three-way</t>
        </is>
      </c>
      <c r="P531" t="inlineStr">
        <is>
          <t>ranr_rate</t>
        </is>
      </c>
    </row>
    <row r="532">
      <c r="A532" t="inlineStr">
        <is>
          <t>Split by REV_DEBT</t>
        </is>
      </c>
      <c r="B532" t="inlineStr">
        <is>
          <t>Kept after losses</t>
        </is>
      </c>
      <c r="C532" t="n">
        <v>1032</v>
      </c>
      <c r="D532" t="inlineStr">
        <is>
          <t>ORIG_BAL 26,324 - 37,950</t>
        </is>
      </c>
      <c r="E532" t="inlineStr">
        <is>
          <t>ASSET_CLASS 1</t>
        </is>
      </c>
      <c r="F532" t="inlineStr">
        <is>
          <t>low</t>
        </is>
      </c>
      <c r="G532" t="n">
        <v>194</v>
      </c>
      <c r="H532" t="n">
        <v>-4.139843076855238</v>
      </c>
      <c r="I532" t="inlineStr">
        <is>
          <t>No: may be mostly FICO</t>
        </is>
      </c>
      <c r="J532" t="n">
        <v>78</v>
      </c>
      <c r="K532">
        <f>'_pockets'!$AI$1032</f>
        <v/>
      </c>
      <c r="L532">
        <f>'_pockets'!$AJ$1032</f>
        <v/>
      </c>
      <c r="M532">
        <f>IF(AND($A532='Pockets'!$D$18,$B532='Pockets'!$C$18,OR('Pockets'!$E$18="All",AND('Pockets'!$E$18="Worse and material",$K532="Yes",$L532="Yes"),AND('Pockets'!$E$18="Worse or not sure",OR($K532="Yes",$K532="Not sure")))),1,0)</f>
        <v/>
      </c>
      <c r="N532">
        <f>$N531+$M532</f>
        <v/>
      </c>
      <c r="O532" t="inlineStr">
        <is>
          <t>three-way</t>
        </is>
      </c>
      <c r="P532" t="inlineStr">
        <is>
          <t>ranr_rate</t>
        </is>
      </c>
    </row>
    <row r="533">
      <c r="A533" t="inlineStr">
        <is>
          <t>Split by REV_DEBT</t>
        </is>
      </c>
      <c r="B533" t="inlineStr">
        <is>
          <t>Kept after losses</t>
        </is>
      </c>
      <c r="C533" t="n">
        <v>1172</v>
      </c>
      <c r="D533" t="inlineStr">
        <is>
          <t>ORIG_BAL 15,449 - 26,323</t>
        </is>
      </c>
      <c r="E533" t="inlineStr">
        <is>
          <t>ASSET_CLASS 3</t>
        </is>
      </c>
      <c r="F533" t="inlineStr">
        <is>
          <t>low</t>
        </is>
      </c>
      <c r="G533" t="n">
        <v>214</v>
      </c>
      <c r="H533" t="n">
        <v>-3.946708061699554</v>
      </c>
      <c r="I533" t="inlineStr">
        <is>
          <t>No: may be mostly FICO</t>
        </is>
      </c>
      <c r="J533" t="n">
        <v>79</v>
      </c>
      <c r="K533">
        <f>'_pockets'!$AI$1172</f>
        <v/>
      </c>
      <c r="L533">
        <f>'_pockets'!$AJ$1172</f>
        <v/>
      </c>
      <c r="M533">
        <f>IF(AND($A533='Pockets'!$D$18,$B533='Pockets'!$C$18,OR('Pockets'!$E$18="All",AND('Pockets'!$E$18="Worse and material",$K533="Yes",$L533="Yes"),AND('Pockets'!$E$18="Worse or not sure",OR($K533="Yes",$K533="Not sure")))),1,0)</f>
        <v/>
      </c>
      <c r="N533">
        <f>$N532+$M533</f>
        <v/>
      </c>
      <c r="O533" t="inlineStr">
        <is>
          <t>three-way</t>
        </is>
      </c>
      <c r="P533" t="inlineStr">
        <is>
          <t>ranr_rate</t>
        </is>
      </c>
    </row>
    <row r="534">
      <c r="A534" t="inlineStr">
        <is>
          <t>Split by REV_DEBT</t>
        </is>
      </c>
      <c r="B534" t="inlineStr">
        <is>
          <t>Kept after losses</t>
        </is>
      </c>
      <c r="C534" t="n">
        <v>992</v>
      </c>
      <c r="D534" t="inlineStr">
        <is>
          <t>ORIG_BAL 49,152 - 59,984</t>
        </is>
      </c>
      <c r="E534" t="inlineStr">
        <is>
          <t>Broker</t>
        </is>
      </c>
      <c r="F534" t="inlineStr">
        <is>
          <t>high</t>
        </is>
      </c>
      <c r="G534" t="n">
        <v>260</v>
      </c>
      <c r="H534" t="n">
        <v>-3.591220740516375</v>
      </c>
      <c r="I534" t="inlineStr">
        <is>
          <t>No: may be mostly FICO</t>
        </is>
      </c>
      <c r="J534" t="n">
        <v>80</v>
      </c>
      <c r="K534">
        <f>'_pockets'!$AI$992</f>
        <v/>
      </c>
      <c r="L534">
        <f>'_pockets'!$AJ$992</f>
        <v/>
      </c>
      <c r="M534">
        <f>IF(AND($A534='Pockets'!$D$18,$B534='Pockets'!$C$18,OR('Pockets'!$E$18="All",AND('Pockets'!$E$18="Worse and material",$K534="Yes",$L534="Yes"),AND('Pockets'!$E$18="Worse or not sure",OR($K534="Yes",$K534="Not sure")))),1,0)</f>
        <v/>
      </c>
      <c r="N534">
        <f>$N533+$M534</f>
        <v/>
      </c>
      <c r="O534" t="inlineStr">
        <is>
          <t>three-way</t>
        </is>
      </c>
      <c r="P534" t="inlineStr">
        <is>
          <t>ranr_rate</t>
        </is>
      </c>
    </row>
    <row r="535">
      <c r="A535" t="inlineStr">
        <is>
          <t>Split by REV_DEBT</t>
        </is>
      </c>
      <c r="B535" t="inlineStr">
        <is>
          <t>Kept after losses</t>
        </is>
      </c>
      <c r="C535" t="n">
        <v>1037</v>
      </c>
      <c r="D535" t="inlineStr">
        <is>
          <t>ORIG_BAL 15,449 - 26,323</t>
        </is>
      </c>
      <c r="E535" t="inlineStr">
        <is>
          <t>ASSET_CLASS 4</t>
        </is>
      </c>
      <c r="F535" t="inlineStr">
        <is>
          <t>low</t>
        </is>
      </c>
      <c r="G535" t="n">
        <v>207</v>
      </c>
      <c r="H535" t="n">
        <v>-4.011082117651476</v>
      </c>
      <c r="I535" t="inlineStr">
        <is>
          <t>No: may be mostly FICO</t>
        </is>
      </c>
      <c r="J535" t="n">
        <v>81</v>
      </c>
      <c r="K535">
        <f>'_pockets'!$AI$1037</f>
        <v/>
      </c>
      <c r="L535">
        <f>'_pockets'!$AJ$1037</f>
        <v/>
      </c>
      <c r="M535">
        <f>IF(AND($A535='Pockets'!$D$18,$B535='Pockets'!$C$18,OR('Pockets'!$E$18="All",AND('Pockets'!$E$18="Worse and material",$K535="Yes",$L535="Yes"),AND('Pockets'!$E$18="Worse or not sure",OR($K535="Yes",$K535="Not sure")))),1,0)</f>
        <v/>
      </c>
      <c r="N535">
        <f>$N534+$M535</f>
        <v/>
      </c>
      <c r="O535" t="inlineStr">
        <is>
          <t>three-way</t>
        </is>
      </c>
      <c r="P535" t="inlineStr">
        <is>
          <t>ranr_rate</t>
        </is>
      </c>
    </row>
    <row r="536">
      <c r="A536" t="inlineStr">
        <is>
          <t>Split by REV_DEBT</t>
        </is>
      </c>
      <c r="B536" t="inlineStr">
        <is>
          <t>Kept after losses</t>
        </is>
      </c>
      <c r="C536" t="n">
        <v>1157</v>
      </c>
      <c r="D536" t="inlineStr">
        <is>
          <t>ORIG_BAL 37,951 - 49,151</t>
        </is>
      </c>
      <c r="E536" t="inlineStr">
        <is>
          <t>ASSET_CLASS 3</t>
        </is>
      </c>
      <c r="F536" t="inlineStr">
        <is>
          <t>low</t>
        </is>
      </c>
      <c r="G536" t="n">
        <v>191</v>
      </c>
      <c r="H536" t="n">
        <v>-4.171426655472364</v>
      </c>
      <c r="I536" t="inlineStr">
        <is>
          <t>No: may be mostly FICO</t>
        </is>
      </c>
      <c r="J536" t="n">
        <v>82</v>
      </c>
      <c r="K536">
        <f>'_pockets'!$AI$1157</f>
        <v/>
      </c>
      <c r="L536">
        <f>'_pockets'!$AJ$1157</f>
        <v/>
      </c>
      <c r="M536">
        <f>IF(AND($A536='Pockets'!$D$18,$B536='Pockets'!$C$18,OR('Pockets'!$E$18="All",AND('Pockets'!$E$18="Worse and material",$K536="Yes",$L536="Yes"),AND('Pockets'!$E$18="Worse or not sure",OR($K536="Yes",$K536="Not sure")))),1,0)</f>
        <v/>
      </c>
      <c r="N536">
        <f>$N535+$M536</f>
        <v/>
      </c>
      <c r="O536" t="inlineStr">
        <is>
          <t>three-way</t>
        </is>
      </c>
      <c r="P536" t="inlineStr">
        <is>
          <t>ranr_rate</t>
        </is>
      </c>
    </row>
    <row r="537">
      <c r="A537" t="inlineStr">
        <is>
          <t>Split by REV_DEBT</t>
        </is>
      </c>
      <c r="B537" t="inlineStr">
        <is>
          <t>Kept after losses</t>
        </is>
      </c>
      <c r="C537" t="n">
        <v>1017</v>
      </c>
      <c r="D537" t="inlineStr">
        <is>
          <t>ORIG_BAL 26,324 - 37,950</t>
        </is>
      </c>
      <c r="E537" t="inlineStr">
        <is>
          <t>ASSET_CLASS 4</t>
        </is>
      </c>
      <c r="F537" t="inlineStr">
        <is>
          <t>low</t>
        </is>
      </c>
      <c r="G537" t="n">
        <v>206</v>
      </c>
      <c r="H537" t="n">
        <v>-4.020547983592445</v>
      </c>
      <c r="I537" t="inlineStr">
        <is>
          <t>No: may be mostly FICO</t>
        </is>
      </c>
      <c r="J537" t="n">
        <v>83</v>
      </c>
      <c r="K537">
        <f>'_pockets'!$AI$1017</f>
        <v/>
      </c>
      <c r="L537">
        <f>'_pockets'!$AJ$1017</f>
        <v/>
      </c>
      <c r="M537">
        <f>IF(AND($A537='Pockets'!$D$18,$B537='Pockets'!$C$18,OR('Pockets'!$E$18="All",AND('Pockets'!$E$18="Worse and material",$K537="Yes",$L537="Yes"),AND('Pockets'!$E$18="Worse or not sure",OR($K537="Yes",$K537="Not sure")))),1,0)</f>
        <v/>
      </c>
      <c r="N537">
        <f>$N536+$M537</f>
        <v/>
      </c>
      <c r="O537" t="inlineStr">
        <is>
          <t>three-way</t>
        </is>
      </c>
      <c r="P537" t="inlineStr">
        <is>
          <t>ranr_rate</t>
        </is>
      </c>
    </row>
    <row r="538">
      <c r="A538" t="inlineStr">
        <is>
          <t>Split by REV_DEBT</t>
        </is>
      </c>
      <c r="B538" t="inlineStr">
        <is>
          <t>Kept after losses</t>
        </is>
      </c>
      <c r="C538" t="n">
        <v>877</v>
      </c>
      <c r="D538" t="inlineStr">
        <is>
          <t>ORIG_BAL 26,324 - 37,950</t>
        </is>
      </c>
      <c r="E538" t="inlineStr">
        <is>
          <t>Broker</t>
        </is>
      </c>
      <c r="F538" t="inlineStr">
        <is>
          <t>low</t>
        </is>
      </c>
      <c r="G538" t="n">
        <v>277</v>
      </c>
      <c r="H538" t="n">
        <v>-3.483103781342934</v>
      </c>
      <c r="I538" t="inlineStr">
        <is>
          <t>No: may be mostly FICO</t>
        </is>
      </c>
      <c r="J538" t="n">
        <v>84</v>
      </c>
      <c r="K538">
        <f>'_pockets'!$AI$877</f>
        <v/>
      </c>
      <c r="L538">
        <f>'_pockets'!$AJ$877</f>
        <v/>
      </c>
      <c r="M538">
        <f>IF(AND($A538='Pockets'!$D$18,$B538='Pockets'!$C$18,OR('Pockets'!$E$18="All",AND('Pockets'!$E$18="Worse and material",$K538="Yes",$L538="Yes"),AND('Pockets'!$E$18="Worse or not sure",OR($K538="Yes",$K538="Not sure")))),1,0)</f>
        <v/>
      </c>
      <c r="N538">
        <f>$N537+$M538</f>
        <v/>
      </c>
      <c r="O538" t="inlineStr">
        <is>
          <t>three-way</t>
        </is>
      </c>
      <c r="P538" t="inlineStr">
        <is>
          <t>ranr_rate</t>
        </is>
      </c>
    </row>
    <row r="539">
      <c r="A539" t="inlineStr">
        <is>
          <t>Split by REV_DEBT</t>
        </is>
      </c>
      <c r="B539" t="inlineStr">
        <is>
          <t>Kept after losses</t>
        </is>
      </c>
      <c r="C539" t="n">
        <v>1047</v>
      </c>
      <c r="D539" t="inlineStr">
        <is>
          <t>ORIG_BAL 5,005 - 15,448</t>
        </is>
      </c>
      <c r="E539" t="inlineStr">
        <is>
          <t>ASSET_CLASS 4</t>
        </is>
      </c>
      <c r="F539" t="inlineStr">
        <is>
          <t>low</t>
        </is>
      </c>
      <c r="G539" t="n">
        <v>213</v>
      </c>
      <c r="H539" t="n">
        <v>-3.955707734726773</v>
      </c>
      <c r="I539" t="inlineStr">
        <is>
          <t>No: may be mostly FICO</t>
        </is>
      </c>
      <c r="J539" t="n">
        <v>85</v>
      </c>
      <c r="K539">
        <f>'_pockets'!$AI$1047</f>
        <v/>
      </c>
      <c r="L539">
        <f>'_pockets'!$AJ$1047</f>
        <v/>
      </c>
      <c r="M539">
        <f>IF(AND($A539='Pockets'!$D$18,$B539='Pockets'!$C$18,OR('Pockets'!$E$18="All",AND('Pockets'!$E$18="Worse and material",$K539="Yes",$L539="Yes"),AND('Pockets'!$E$18="Worse or not sure",OR($K539="Yes",$K539="Not sure")))),1,0)</f>
        <v/>
      </c>
      <c r="N539">
        <f>$N538+$M539</f>
        <v/>
      </c>
      <c r="O539" t="inlineStr">
        <is>
          <t>three-way</t>
        </is>
      </c>
      <c r="P539" t="inlineStr">
        <is>
          <t>ranr_rate</t>
        </is>
      </c>
    </row>
    <row r="540">
      <c r="A540" t="inlineStr">
        <is>
          <t>Split by REV_DEBT</t>
        </is>
      </c>
      <c r="B540" t="inlineStr">
        <is>
          <t>Kept after losses</t>
        </is>
      </c>
      <c r="C540" t="n">
        <v>1122</v>
      </c>
      <c r="D540" t="inlineStr">
        <is>
          <t>ORIG_BAL 15,449 - 26,323</t>
        </is>
      </c>
      <c r="E540" t="inlineStr">
        <is>
          <t>ASSET_CLASS 2</t>
        </is>
      </c>
      <c r="F540" t="inlineStr">
        <is>
          <t>low</t>
        </is>
      </c>
      <c r="G540" t="n">
        <v>178</v>
      </c>
      <c r="H540" t="n">
        <v>-4.317477210129842</v>
      </c>
      <c r="I540" t="inlineStr">
        <is>
          <t>No: may be mostly FICO</t>
        </is>
      </c>
      <c r="J540" t="n">
        <v>86</v>
      </c>
      <c r="K540">
        <f>'_pockets'!$AI$1122</f>
        <v/>
      </c>
      <c r="L540">
        <f>'_pockets'!$AJ$1122</f>
        <v/>
      </c>
      <c r="M540">
        <f>IF(AND($A540='Pockets'!$D$18,$B540='Pockets'!$C$18,OR('Pockets'!$E$18="All",AND('Pockets'!$E$18="Worse and material",$K540="Yes",$L540="Yes"),AND('Pockets'!$E$18="Worse or not sure",OR($K540="Yes",$K540="Not sure")))),1,0)</f>
        <v/>
      </c>
      <c r="N540">
        <f>$N539+$M540</f>
        <v/>
      </c>
      <c r="O540" t="inlineStr">
        <is>
          <t>three-way</t>
        </is>
      </c>
      <c r="P540" t="inlineStr">
        <is>
          <t>ranr_rate</t>
        </is>
      </c>
    </row>
    <row r="541">
      <c r="A541" t="inlineStr">
        <is>
          <t>Split by REV_DEBT</t>
        </is>
      </c>
      <c r="B541" t="inlineStr">
        <is>
          <t>Kept after losses</t>
        </is>
      </c>
      <c r="C541" t="n">
        <v>1192</v>
      </c>
      <c r="D541" t="inlineStr">
        <is>
          <t>ORIG_BAL 26,324 - 37,950</t>
        </is>
      </c>
      <c r="E541" t="inlineStr">
        <is>
          <t>ASSET_CLASS 4</t>
        </is>
      </c>
      <c r="F541" t="inlineStr">
        <is>
          <t>high</t>
        </is>
      </c>
      <c r="G541" t="n">
        <v>206</v>
      </c>
      <c r="H541" t="n">
        <v>-4.020547983592445</v>
      </c>
      <c r="I541" t="inlineStr">
        <is>
          <t>No: may be mostly FICO</t>
        </is>
      </c>
      <c r="J541" t="n">
        <v>87</v>
      </c>
      <c r="K541">
        <f>'_pockets'!$AI$1192</f>
        <v/>
      </c>
      <c r="L541">
        <f>'_pockets'!$AJ$1192</f>
        <v/>
      </c>
      <c r="M541">
        <f>IF(AND($A541='Pockets'!$D$18,$B541='Pockets'!$C$18,OR('Pockets'!$E$18="All",AND('Pockets'!$E$18="Worse and material",$K541="Yes",$L541="Yes"),AND('Pockets'!$E$18="Worse or not sure",OR($K541="Yes",$K541="Not sure")))),1,0)</f>
        <v/>
      </c>
      <c r="N541">
        <f>$N540+$M541</f>
        <v/>
      </c>
      <c r="O541" t="inlineStr">
        <is>
          <t>three-way</t>
        </is>
      </c>
      <c r="P541" t="inlineStr">
        <is>
          <t>ranr_rate</t>
        </is>
      </c>
    </row>
    <row r="542">
      <c r="A542" t="inlineStr">
        <is>
          <t>Split by REV_DEBT</t>
        </is>
      </c>
      <c r="B542" t="inlineStr">
        <is>
          <t>Kept after losses</t>
        </is>
      </c>
      <c r="C542" t="n">
        <v>1092</v>
      </c>
      <c r="D542" t="inlineStr">
        <is>
          <t>ORIG_BAL 37,951 - 49,151</t>
        </is>
      </c>
      <c r="E542" t="inlineStr">
        <is>
          <t>ASSET_CLASS 3</t>
        </is>
      </c>
      <c r="F542" t="inlineStr">
        <is>
          <t>high</t>
        </is>
      </c>
      <c r="G542" t="n">
        <v>191</v>
      </c>
      <c r="H542" t="n">
        <v>-4.171426655472364</v>
      </c>
      <c r="I542" t="inlineStr">
        <is>
          <t>No: may be mostly FICO</t>
        </is>
      </c>
      <c r="J542" t="n">
        <v>88</v>
      </c>
      <c r="K542">
        <f>'_pockets'!$AI$1092</f>
        <v/>
      </c>
      <c r="L542">
        <f>'_pockets'!$AJ$1092</f>
        <v/>
      </c>
      <c r="M542">
        <f>IF(AND($A542='Pockets'!$D$18,$B542='Pockets'!$C$18,OR('Pockets'!$E$18="All",AND('Pockets'!$E$18="Worse and material",$K542="Yes",$L542="Yes"),AND('Pockets'!$E$18="Worse or not sure",OR($K542="Yes",$K542="Not sure")))),1,0)</f>
        <v/>
      </c>
      <c r="N542">
        <f>$N541+$M542</f>
        <v/>
      </c>
      <c r="O542" t="inlineStr">
        <is>
          <t>three-way</t>
        </is>
      </c>
      <c r="P542" t="inlineStr">
        <is>
          <t>ranr_rate</t>
        </is>
      </c>
    </row>
    <row r="543">
      <c r="A543" t="inlineStr">
        <is>
          <t>Split by REV_DEBT</t>
        </is>
      </c>
      <c r="B543" t="inlineStr">
        <is>
          <t>Kept after losses</t>
        </is>
      </c>
      <c r="C543" t="n">
        <v>952</v>
      </c>
      <c r="D543" t="inlineStr">
        <is>
          <t>ORIG_BAL 37,951 - 49,151</t>
        </is>
      </c>
      <c r="E543" t="inlineStr">
        <is>
          <t>Branch</t>
        </is>
      </c>
      <c r="F543" t="inlineStr">
        <is>
          <t>high</t>
        </is>
      </c>
      <c r="G543" t="n">
        <v>263</v>
      </c>
      <c r="H543" t="n">
        <v>-3.571372030860745</v>
      </c>
      <c r="I543" t="inlineStr">
        <is>
          <t>No: may be mostly FICO</t>
        </is>
      </c>
      <c r="J543" t="n">
        <v>89</v>
      </c>
      <c r="K543">
        <f>'_pockets'!$AI$952</f>
        <v/>
      </c>
      <c r="L543">
        <f>'_pockets'!$AJ$952</f>
        <v/>
      </c>
      <c r="M543">
        <f>IF(AND($A543='Pockets'!$D$18,$B543='Pockets'!$C$18,OR('Pockets'!$E$18="All",AND('Pockets'!$E$18="Worse and material",$K543="Yes",$L543="Yes"),AND('Pockets'!$E$18="Worse or not sure",OR($K543="Yes",$K543="Not sure")))),1,0)</f>
        <v/>
      </c>
      <c r="N543">
        <f>$N542+$M543</f>
        <v/>
      </c>
      <c r="O543" t="inlineStr">
        <is>
          <t>three-way</t>
        </is>
      </c>
      <c r="P543" t="inlineStr">
        <is>
          <t>ranr_rate</t>
        </is>
      </c>
    </row>
    <row r="544">
      <c r="A544" t="inlineStr">
        <is>
          <t>Split by REV_DEBT</t>
        </is>
      </c>
      <c r="B544" t="inlineStr">
        <is>
          <t>Kept after losses</t>
        </is>
      </c>
      <c r="C544" t="n">
        <v>1117</v>
      </c>
      <c r="D544" t="inlineStr">
        <is>
          <t>ORIG_BAL 5,005 - 15,448</t>
        </is>
      </c>
      <c r="E544" t="inlineStr">
        <is>
          <t>ASSET_CLASS 2</t>
        </is>
      </c>
      <c r="F544" t="inlineStr">
        <is>
          <t>low</t>
        </is>
      </c>
      <c r="G544" t="n">
        <v>202</v>
      </c>
      <c r="H544" t="n">
        <v>-4.059118649437091</v>
      </c>
      <c r="I544" t="inlineStr">
        <is>
          <t>No: may be mostly FICO</t>
        </is>
      </c>
      <c r="J544" t="n">
        <v>90</v>
      </c>
      <c r="K544">
        <f>'_pockets'!$AI$1117</f>
        <v/>
      </c>
      <c r="L544">
        <f>'_pockets'!$AJ$1117</f>
        <v/>
      </c>
      <c r="M544">
        <f>IF(AND($A544='Pockets'!$D$18,$B544='Pockets'!$C$18,OR('Pockets'!$E$18="All",AND('Pockets'!$E$18="Worse and material",$K544="Yes",$L544="Yes"),AND('Pockets'!$E$18="Worse or not sure",OR($K544="Yes",$K544="Not sure")))),1,0)</f>
        <v/>
      </c>
      <c r="N544">
        <f>$N543+$M544</f>
        <v/>
      </c>
      <c r="O544" t="inlineStr">
        <is>
          <t>three-way</t>
        </is>
      </c>
      <c r="P544" t="inlineStr">
        <is>
          <t>ranr_rate</t>
        </is>
      </c>
    </row>
    <row r="545">
      <c r="A545" t="inlineStr">
        <is>
          <t>Split by REV_DEBT</t>
        </is>
      </c>
      <c r="B545" t="inlineStr">
        <is>
          <t>Kept after losses</t>
        </is>
      </c>
      <c r="C545" t="n">
        <v>902</v>
      </c>
      <c r="D545" t="inlineStr">
        <is>
          <t>ORIG_BAL 5,005 - 15,448</t>
        </is>
      </c>
      <c r="E545" t="inlineStr">
        <is>
          <t>Broker</t>
        </is>
      </c>
      <c r="F545" t="inlineStr">
        <is>
          <t>low</t>
        </is>
      </c>
      <c r="G545" t="n">
        <v>257</v>
      </c>
      <c r="H545" t="n">
        <v>-3.611420448411321</v>
      </c>
      <c r="I545" t="inlineStr">
        <is>
          <t>No: may be mostly FICO</t>
        </is>
      </c>
      <c r="J545" t="n">
        <v>91</v>
      </c>
      <c r="K545">
        <f>'_pockets'!$AI$902</f>
        <v/>
      </c>
      <c r="L545">
        <f>'_pockets'!$AJ$902</f>
        <v/>
      </c>
      <c r="M545">
        <f>IF(AND($A545='Pockets'!$D$18,$B545='Pockets'!$C$18,OR('Pockets'!$E$18="All",AND('Pockets'!$E$18="Worse and material",$K545="Yes",$L545="Yes"),AND('Pockets'!$E$18="Worse or not sure",OR($K545="Yes",$K545="Not sure")))),1,0)</f>
        <v/>
      </c>
      <c r="N545">
        <f>$N544+$M545</f>
        <v/>
      </c>
      <c r="O545" t="inlineStr">
        <is>
          <t>three-way</t>
        </is>
      </c>
      <c r="P545" t="inlineStr">
        <is>
          <t>ranr_rate</t>
        </is>
      </c>
    </row>
    <row r="546">
      <c r="A546" t="inlineStr">
        <is>
          <t>Split by REV_DEBT</t>
        </is>
      </c>
      <c r="B546" t="inlineStr">
        <is>
          <t>Kept after losses</t>
        </is>
      </c>
      <c r="C546" t="n">
        <v>1182</v>
      </c>
      <c r="D546" t="inlineStr">
        <is>
          <t>ORIG_BAL 5,005 - 15,448</t>
        </is>
      </c>
      <c r="E546" t="inlineStr">
        <is>
          <t>ASSET_CLASS 3</t>
        </is>
      </c>
      <c r="F546" t="inlineStr">
        <is>
          <t>low</t>
        </is>
      </c>
      <c r="G546" t="n">
        <v>177</v>
      </c>
      <c r="H546" t="n">
        <v>-4.329379525258418</v>
      </c>
      <c r="I546" t="inlineStr">
        <is>
          <t>No: may be mostly FICO</t>
        </is>
      </c>
      <c r="J546" t="n">
        <v>92</v>
      </c>
      <c r="K546">
        <f>'_pockets'!$AI$1182</f>
        <v/>
      </c>
      <c r="L546">
        <f>'_pockets'!$AJ$1182</f>
        <v/>
      </c>
      <c r="M546">
        <f>IF(AND($A546='Pockets'!$D$18,$B546='Pockets'!$C$18,OR('Pockets'!$E$18="All",AND('Pockets'!$E$18="Worse and material",$K546="Yes",$L546="Yes"),AND('Pockets'!$E$18="Worse or not sure",OR($K546="Yes",$K546="Not sure")))),1,0)</f>
        <v/>
      </c>
      <c r="N546">
        <f>$N545+$M546</f>
        <v/>
      </c>
      <c r="O546" t="inlineStr">
        <is>
          <t>three-way</t>
        </is>
      </c>
      <c r="P546" t="inlineStr">
        <is>
          <t>ranr_rate</t>
        </is>
      </c>
    </row>
    <row r="547">
      <c r="A547" t="inlineStr">
        <is>
          <t>Split by REV_DEBT</t>
        </is>
      </c>
      <c r="B547" t="inlineStr">
        <is>
          <t>Kept after losses</t>
        </is>
      </c>
      <c r="C547" t="n">
        <v>1197</v>
      </c>
      <c r="D547" t="inlineStr">
        <is>
          <t>ORIG_BAL 26,324 - 37,950</t>
        </is>
      </c>
      <c r="E547" t="inlineStr">
        <is>
          <t>ASSET_CLASS 3</t>
        </is>
      </c>
      <c r="F547" t="inlineStr">
        <is>
          <t>low</t>
        </is>
      </c>
      <c r="G547" t="n">
        <v>184</v>
      </c>
      <c r="H547" t="n">
        <v>-4.248129968750006</v>
      </c>
      <c r="I547" t="inlineStr">
        <is>
          <t>No: may be mostly FICO</t>
        </is>
      </c>
      <c r="J547" t="n">
        <v>93</v>
      </c>
      <c r="K547">
        <f>'_pockets'!$AI$1197</f>
        <v/>
      </c>
      <c r="L547">
        <f>'_pockets'!$AJ$1197</f>
        <v/>
      </c>
      <c r="M547">
        <f>IF(AND($A547='Pockets'!$D$18,$B547='Pockets'!$C$18,OR('Pockets'!$E$18="All",AND('Pockets'!$E$18="Worse and material",$K547="Yes",$L547="Yes"),AND('Pockets'!$E$18="Worse or not sure",OR($K547="Yes",$K547="Not sure")))),1,0)</f>
        <v/>
      </c>
      <c r="N547">
        <f>$N546+$M547</f>
        <v/>
      </c>
      <c r="O547" t="inlineStr">
        <is>
          <t>three-way</t>
        </is>
      </c>
      <c r="P547" t="inlineStr">
        <is>
          <t>ranr_rate</t>
        </is>
      </c>
    </row>
    <row r="548">
      <c r="A548" t="inlineStr">
        <is>
          <t>Split by REV_DEBT</t>
        </is>
      </c>
      <c r="B548" t="inlineStr">
        <is>
          <t>Kept after losses</t>
        </is>
      </c>
      <c r="C548" t="n">
        <v>1177</v>
      </c>
      <c r="D548" t="inlineStr">
        <is>
          <t>ORIG_BAL 26,324 - 37,950</t>
        </is>
      </c>
      <c r="E548" t="inlineStr">
        <is>
          <t>ASSET_CLASS 2</t>
        </is>
      </c>
      <c r="F548" t="inlineStr">
        <is>
          <t>low</t>
        </is>
      </c>
      <c r="G548" t="n">
        <v>216</v>
      </c>
      <c r="H548" t="n">
        <v>-3.928898480218193</v>
      </c>
      <c r="I548" t="inlineStr">
        <is>
          <t>No: may be mostly FICO</t>
        </is>
      </c>
      <c r="J548" t="n">
        <v>94</v>
      </c>
      <c r="K548">
        <f>'_pockets'!$AI$1177</f>
        <v/>
      </c>
      <c r="L548">
        <f>'_pockets'!$AJ$1177</f>
        <v/>
      </c>
      <c r="M548">
        <f>IF(AND($A548='Pockets'!$D$18,$B548='Pockets'!$C$18,OR('Pockets'!$E$18="All",AND('Pockets'!$E$18="Worse and material",$K548="Yes",$L548="Yes"),AND('Pockets'!$E$18="Worse or not sure",OR($K548="Yes",$K548="Not sure")))),1,0)</f>
        <v/>
      </c>
      <c r="N548">
        <f>$N547+$M548</f>
        <v/>
      </c>
      <c r="O548" t="inlineStr">
        <is>
          <t>three-way</t>
        </is>
      </c>
      <c r="P548" t="inlineStr">
        <is>
          <t>ranr_rate</t>
        </is>
      </c>
    </row>
    <row r="549">
      <c r="A549" t="inlineStr">
        <is>
          <t>Split by REV_DEBT</t>
        </is>
      </c>
      <c r="B549" t="inlineStr">
        <is>
          <t>Kept after losses</t>
        </is>
      </c>
      <c r="C549" t="n">
        <v>882</v>
      </c>
      <c r="D549" t="inlineStr">
        <is>
          <t>ORIG_BAL 15,449 - 26,323</t>
        </is>
      </c>
      <c r="E549" t="inlineStr">
        <is>
          <t>Online</t>
        </is>
      </c>
      <c r="F549" t="inlineStr">
        <is>
          <t>low</t>
        </is>
      </c>
      <c r="G549" t="n">
        <v>269</v>
      </c>
      <c r="H549" t="n">
        <v>-3.532688226561486</v>
      </c>
      <c r="I549" t="inlineStr">
        <is>
          <t>No: may be mostly FICO</t>
        </is>
      </c>
      <c r="J549" t="n">
        <v>95</v>
      </c>
      <c r="K549">
        <f>'_pockets'!$AI$882</f>
        <v/>
      </c>
      <c r="L549">
        <f>'_pockets'!$AJ$882</f>
        <v/>
      </c>
      <c r="M549">
        <f>IF(AND($A549='Pockets'!$D$18,$B549='Pockets'!$C$18,OR('Pockets'!$E$18="All",AND('Pockets'!$E$18="Worse and material",$K549="Yes",$L549="Yes"),AND('Pockets'!$E$18="Worse or not sure",OR($K549="Yes",$K549="Not sure")))),1,0)</f>
        <v/>
      </c>
      <c r="N549">
        <f>$N548+$M549</f>
        <v/>
      </c>
      <c r="O549" t="inlineStr">
        <is>
          <t>three-way</t>
        </is>
      </c>
      <c r="P549" t="inlineStr">
        <is>
          <t>ranr_rate</t>
        </is>
      </c>
    </row>
    <row r="550">
      <c r="A550" t="inlineStr">
        <is>
          <t>Split by REV_DEBT</t>
        </is>
      </c>
      <c r="B550" t="inlineStr">
        <is>
          <t>Kept after losses</t>
        </is>
      </c>
      <c r="C550" t="n">
        <v>897</v>
      </c>
      <c r="D550" t="inlineStr">
        <is>
          <t>ORIG_BAL 5,005 - 15,448</t>
        </is>
      </c>
      <c r="E550" t="inlineStr">
        <is>
          <t>Online</t>
        </is>
      </c>
      <c r="F550" t="inlineStr">
        <is>
          <t>low</t>
        </is>
      </c>
      <c r="G550" t="n">
        <v>272</v>
      </c>
      <c r="H550" t="n">
        <v>-3.513834396476919</v>
      </c>
      <c r="I550" t="inlineStr">
        <is>
          <t>No: may be mostly FICO</t>
        </is>
      </c>
      <c r="J550" t="n">
        <v>96</v>
      </c>
      <c r="K550">
        <f>'_pockets'!$AI$897</f>
        <v/>
      </c>
      <c r="L550">
        <f>'_pockets'!$AJ$897</f>
        <v/>
      </c>
      <c r="M550">
        <f>IF(AND($A550='Pockets'!$D$18,$B550='Pockets'!$C$18,OR('Pockets'!$E$18="All",AND('Pockets'!$E$18="Worse and material",$K550="Yes",$L550="Yes"),AND('Pockets'!$E$18="Worse or not sure",OR($K550="Yes",$K550="Not sure")))),1,0)</f>
        <v/>
      </c>
      <c r="N550">
        <f>$N549+$M550</f>
        <v/>
      </c>
      <c r="O550" t="inlineStr">
        <is>
          <t>three-way</t>
        </is>
      </c>
      <c r="P550" t="inlineStr">
        <is>
          <t>ranr_rate</t>
        </is>
      </c>
    </row>
    <row r="551">
      <c r="A551" t="inlineStr">
        <is>
          <t>Split by REV_DEBT</t>
        </is>
      </c>
      <c r="B551" t="inlineStr">
        <is>
          <t>Kept after losses</t>
        </is>
      </c>
      <c r="C551" t="n">
        <v>937</v>
      </c>
      <c r="D551" t="inlineStr">
        <is>
          <t>ORIG_BAL 49,152 - 59,984</t>
        </is>
      </c>
      <c r="E551" t="inlineStr">
        <is>
          <t>Online</t>
        </is>
      </c>
      <c r="F551" t="inlineStr">
        <is>
          <t>low</t>
        </is>
      </c>
      <c r="G551" t="n">
        <v>283</v>
      </c>
      <c r="H551" t="n">
        <v>-3.44732215655789</v>
      </c>
      <c r="I551" t="inlineStr">
        <is>
          <t>No: may be mostly FICO</t>
        </is>
      </c>
      <c r="J551" t="n">
        <v>97</v>
      </c>
      <c r="K551">
        <f>'_pockets'!$AI$937</f>
        <v/>
      </c>
      <c r="L551">
        <f>'_pockets'!$AJ$937</f>
        <v/>
      </c>
      <c r="M551">
        <f>IF(AND($A551='Pockets'!$D$18,$B551='Pockets'!$C$18,OR('Pockets'!$E$18="All",AND('Pockets'!$E$18="Worse and material",$K551="Yes",$L551="Yes"),AND('Pockets'!$E$18="Worse or not sure",OR($K551="Yes",$K551="Not sure")))),1,0)</f>
        <v/>
      </c>
      <c r="N551">
        <f>$N550+$M551</f>
        <v/>
      </c>
      <c r="O551" t="inlineStr">
        <is>
          <t>three-way</t>
        </is>
      </c>
      <c r="P551" t="inlineStr">
        <is>
          <t>ranr_rate</t>
        </is>
      </c>
    </row>
    <row r="552">
      <c r="A552" t="inlineStr">
        <is>
          <t>Split by REV_DEBT</t>
        </is>
      </c>
      <c r="B552" t="inlineStr">
        <is>
          <t>Kept after losses</t>
        </is>
      </c>
      <c r="C552" t="n">
        <v>1042</v>
      </c>
      <c r="D552" t="inlineStr">
        <is>
          <t>ORIG_BAL 5,005 - 15,448</t>
        </is>
      </c>
      <c r="E552" t="inlineStr">
        <is>
          <t>ASSET_CLASS 1</t>
        </is>
      </c>
      <c r="F552" t="inlineStr">
        <is>
          <t>low</t>
        </is>
      </c>
      <c r="G552" t="n">
        <v>209</v>
      </c>
      <c r="H552" t="n">
        <v>-3.992356601805577</v>
      </c>
      <c r="I552" t="inlineStr">
        <is>
          <t>No: may be mostly FICO</t>
        </is>
      </c>
      <c r="J552" t="n">
        <v>98</v>
      </c>
      <c r="K552">
        <f>'_pockets'!$AI$1042</f>
        <v/>
      </c>
      <c r="L552">
        <f>'_pockets'!$AJ$1042</f>
        <v/>
      </c>
      <c r="M552">
        <f>IF(AND($A552='Pockets'!$D$18,$B552='Pockets'!$C$18,OR('Pockets'!$E$18="All",AND('Pockets'!$E$18="Worse and material",$K552="Yes",$L552="Yes"),AND('Pockets'!$E$18="Worse or not sure",OR($K552="Yes",$K552="Not sure")))),1,0)</f>
        <v/>
      </c>
      <c r="N552">
        <f>$N551+$M552</f>
        <v/>
      </c>
      <c r="O552" t="inlineStr">
        <is>
          <t>three-way</t>
        </is>
      </c>
      <c r="P552" t="inlineStr">
        <is>
          <t>ranr_rate</t>
        </is>
      </c>
    </row>
    <row r="553">
      <c r="A553" t="inlineStr">
        <is>
          <t>Split by REV_DEBT</t>
        </is>
      </c>
      <c r="B553" t="inlineStr">
        <is>
          <t>Kept after losses</t>
        </is>
      </c>
      <c r="C553" t="n">
        <v>1052</v>
      </c>
      <c r="D553" t="inlineStr">
        <is>
          <t>ORIG_BAL 15,449 - 26,323</t>
        </is>
      </c>
      <c r="E553" t="inlineStr">
        <is>
          <t>ASSET_CLASS 4</t>
        </is>
      </c>
      <c r="F553" t="inlineStr">
        <is>
          <t>high</t>
        </is>
      </c>
      <c r="G553" t="n">
        <v>206</v>
      </c>
      <c r="H553" t="n">
        <v>-4.020547983592445</v>
      </c>
      <c r="I553" t="inlineStr">
        <is>
          <t>No: may be mostly FICO</t>
        </is>
      </c>
      <c r="J553" t="n">
        <v>99</v>
      </c>
      <c r="K553">
        <f>'_pockets'!$AI$1052</f>
        <v/>
      </c>
      <c r="L553">
        <f>'_pockets'!$AJ$1052</f>
        <v/>
      </c>
      <c r="M553">
        <f>IF(AND($A553='Pockets'!$D$18,$B553='Pockets'!$C$18,OR('Pockets'!$E$18="All",AND('Pockets'!$E$18="Worse and material",$K553="Yes",$L553="Yes"),AND('Pockets'!$E$18="Worse or not sure",OR($K553="Yes",$K553="Not sure")))),1,0)</f>
        <v/>
      </c>
      <c r="N553">
        <f>$N552+$M553</f>
        <v/>
      </c>
      <c r="O553" t="inlineStr">
        <is>
          <t>three-way</t>
        </is>
      </c>
      <c r="P553" t="inlineStr">
        <is>
          <t>ranr_rate</t>
        </is>
      </c>
    </row>
    <row r="554">
      <c r="A554" t="inlineStr">
        <is>
          <t>Split by REV_DEBT</t>
        </is>
      </c>
      <c r="B554" t="inlineStr">
        <is>
          <t>Kept after losses</t>
        </is>
      </c>
      <c r="C554" t="n">
        <v>1152</v>
      </c>
      <c r="D554" t="inlineStr">
        <is>
          <t>ORIG_BAL 15,449 - 26,323</t>
        </is>
      </c>
      <c r="E554" t="inlineStr">
        <is>
          <t>ASSET_CLASS 1</t>
        </is>
      </c>
      <c r="F554" t="inlineStr">
        <is>
          <t>low</t>
        </is>
      </c>
      <c r="G554" t="n">
        <v>202</v>
      </c>
      <c r="H554" t="n">
        <v>-4.059118649437091</v>
      </c>
      <c r="I554" t="inlineStr">
        <is>
          <t>No: may be mostly FICO</t>
        </is>
      </c>
      <c r="J554" t="n">
        <v>100</v>
      </c>
      <c r="K554">
        <f>'_pockets'!$AI$1152</f>
        <v/>
      </c>
      <c r="L554">
        <f>'_pockets'!$AJ$1152</f>
        <v/>
      </c>
      <c r="M554">
        <f>IF(AND($A554='Pockets'!$D$18,$B554='Pockets'!$C$18,OR('Pockets'!$E$18="All",AND('Pockets'!$E$18="Worse and material",$K554="Yes",$L554="Yes"),AND('Pockets'!$E$18="Worse or not sure",OR($K554="Yes",$K554="Not sure")))),1,0)</f>
        <v/>
      </c>
      <c r="N554">
        <f>$N553+$M554</f>
        <v/>
      </c>
      <c r="O554" t="inlineStr">
        <is>
          <t>three-way</t>
        </is>
      </c>
      <c r="P554" t="inlineStr">
        <is>
          <t>ranr_rate</t>
        </is>
      </c>
    </row>
    <row r="555">
      <c r="A555" t="inlineStr">
        <is>
          <t>Split by REV_DEBT</t>
        </is>
      </c>
      <c r="B555" t="inlineStr">
        <is>
          <t>Kept after losses</t>
        </is>
      </c>
      <c r="C555" t="n">
        <v>932</v>
      </c>
      <c r="D555" t="inlineStr">
        <is>
          <t>ORIG_BAL 37,951 - 49,151</t>
        </is>
      </c>
      <c r="E555" t="inlineStr">
        <is>
          <t>Broker</t>
        </is>
      </c>
      <c r="F555" t="inlineStr">
        <is>
          <t>high</t>
        </is>
      </c>
      <c r="G555" t="n">
        <v>265</v>
      </c>
      <c r="H555" t="n">
        <v>-3.558329630749638</v>
      </c>
      <c r="I555" t="inlineStr">
        <is>
          <t>No: may be mostly FICO</t>
        </is>
      </c>
      <c r="J555" t="n">
        <v>101</v>
      </c>
      <c r="K555">
        <f>'_pockets'!$AI$932</f>
        <v/>
      </c>
      <c r="L555">
        <f>'_pockets'!$AJ$932</f>
        <v/>
      </c>
      <c r="M555">
        <f>IF(AND($A555='Pockets'!$D$18,$B555='Pockets'!$C$18,OR('Pockets'!$E$18="All",AND('Pockets'!$E$18="Worse and material",$K555="Yes",$L555="Yes"),AND('Pockets'!$E$18="Worse or not sure",OR($K555="Yes",$K555="Not sure")))),1,0)</f>
        <v/>
      </c>
      <c r="N555">
        <f>$N554+$M555</f>
        <v/>
      </c>
      <c r="O555" t="inlineStr">
        <is>
          <t>three-way</t>
        </is>
      </c>
      <c r="P555" t="inlineStr">
        <is>
          <t>ranr_rate</t>
        </is>
      </c>
    </row>
    <row r="556">
      <c r="A556" t="inlineStr">
        <is>
          <t>Split by REV_DEBT</t>
        </is>
      </c>
      <c r="B556" t="inlineStr">
        <is>
          <t>Kept after losses</t>
        </is>
      </c>
      <c r="C556" t="n">
        <v>1007</v>
      </c>
      <c r="D556" t="inlineStr">
        <is>
          <t>ORIG_BAL 37,951 - 49,151</t>
        </is>
      </c>
      <c r="E556" t="inlineStr">
        <is>
          <t>ASSET_CLASS 1</t>
        </is>
      </c>
      <c r="F556" t="inlineStr">
        <is>
          <t>low</t>
        </is>
      </c>
      <c r="G556" t="n">
        <v>192</v>
      </c>
      <c r="H556" t="n">
        <v>-4.160815837837669</v>
      </c>
      <c r="I556" t="inlineStr">
        <is>
          <t>No: may be mostly FICO</t>
        </is>
      </c>
      <c r="J556" t="n">
        <v>102</v>
      </c>
      <c r="K556">
        <f>'_pockets'!$AI$1007</f>
        <v/>
      </c>
      <c r="L556">
        <f>'_pockets'!$AJ$1007</f>
        <v/>
      </c>
      <c r="M556">
        <f>IF(AND($A556='Pockets'!$D$18,$B556='Pockets'!$C$18,OR('Pockets'!$E$18="All",AND('Pockets'!$E$18="Worse and material",$K556="Yes",$L556="Yes"),AND('Pockets'!$E$18="Worse or not sure",OR($K556="Yes",$K556="Not sure")))),1,0)</f>
        <v/>
      </c>
      <c r="N556">
        <f>$N555+$M556</f>
        <v/>
      </c>
      <c r="O556" t="inlineStr">
        <is>
          <t>three-way</t>
        </is>
      </c>
      <c r="P556" t="inlineStr">
        <is>
          <t>ranr_rate</t>
        </is>
      </c>
    </row>
    <row r="557">
      <c r="A557" t="inlineStr">
        <is>
          <t>Split by REV_DEBT</t>
        </is>
      </c>
      <c r="B557" t="inlineStr">
        <is>
          <t>Earned before losses</t>
        </is>
      </c>
      <c r="C557" t="n">
        <v>568</v>
      </c>
      <c r="D557" t="inlineStr">
        <is>
          <t>FICO 686 - 711</t>
        </is>
      </c>
      <c r="E557" t="inlineStr">
        <is>
          <t>Branch</t>
        </is>
      </c>
      <c r="F557" t="inlineStr">
        <is>
          <t>low</t>
        </is>
      </c>
      <c r="G557" t="n">
        <v>258</v>
      </c>
      <c r="H557" t="n">
        <v>-2.367906835162637</v>
      </c>
      <c r="I557" t="inlineStr">
        <is>
          <t>Yes</t>
        </is>
      </c>
      <c r="J557" t="n">
        <v>1</v>
      </c>
      <c r="K557">
        <f>'_pockets'!$AI$568</f>
        <v/>
      </c>
      <c r="L557">
        <f>'_pockets'!$AJ$568</f>
        <v/>
      </c>
      <c r="M557">
        <f>IF(AND($A557='Pockets'!$D$18,$B557='Pockets'!$C$18,OR('Pockets'!$E$18="All",AND('Pockets'!$E$18="Worse and material",$K557="Yes",$L557="Yes"),AND('Pockets'!$E$18="Worse or not sure",OR($K557="Yes",$K557="Not sure")))),1,0)</f>
        <v/>
      </c>
      <c r="N557">
        <f>$N556+$M557</f>
        <v/>
      </c>
      <c r="O557" t="inlineStr">
        <is>
          <t>three-way</t>
        </is>
      </c>
      <c r="P557" t="inlineStr">
        <is>
          <t>contribution_rate</t>
        </is>
      </c>
    </row>
    <row r="558">
      <c r="A558" t="inlineStr">
        <is>
          <t>Split by REV_DEBT</t>
        </is>
      </c>
      <c r="B558" t="inlineStr">
        <is>
          <t>Earned before losses</t>
        </is>
      </c>
      <c r="C558" t="n">
        <v>448</v>
      </c>
      <c r="D558" t="inlineStr">
        <is>
          <t>FICO 686 - 711</t>
        </is>
      </c>
      <c r="E558" t="inlineStr">
        <is>
          <t>Broker</t>
        </is>
      </c>
      <c r="F558" t="inlineStr">
        <is>
          <t>low</t>
        </is>
      </c>
      <c r="G558" t="n">
        <v>251</v>
      </c>
      <c r="H558" t="n">
        <v>-2.399613550730209</v>
      </c>
      <c r="I558" t="inlineStr">
        <is>
          <t>Yes</t>
        </is>
      </c>
      <c r="J558" t="n">
        <v>2</v>
      </c>
      <c r="K558">
        <f>'_pockets'!$AI$448</f>
        <v/>
      </c>
      <c r="L558">
        <f>'_pockets'!$AJ$448</f>
        <v/>
      </c>
      <c r="M558">
        <f>IF(AND($A558='Pockets'!$D$18,$B558='Pockets'!$C$18,OR('Pockets'!$E$18="All",AND('Pockets'!$E$18="Worse and material",$K558="Yes",$L558="Yes"),AND('Pockets'!$E$18="Worse or not sure",OR($K558="Yes",$K558="Not sure")))),1,0)</f>
        <v/>
      </c>
      <c r="N558">
        <f>$N557+$M558</f>
        <v/>
      </c>
      <c r="O558" t="inlineStr">
        <is>
          <t>three-way</t>
        </is>
      </c>
      <c r="P558" t="inlineStr">
        <is>
          <t>contribution_rate</t>
        </is>
      </c>
    </row>
    <row r="559">
      <c r="A559" t="inlineStr">
        <is>
          <t>Split by REV_DEBT</t>
        </is>
      </c>
      <c r="B559" t="inlineStr">
        <is>
          <t>Earned before losses</t>
        </is>
      </c>
      <c r="C559" t="n">
        <v>428</v>
      </c>
      <c r="D559" t="inlineStr">
        <is>
          <t>FICO 712 - 745</t>
        </is>
      </c>
      <c r="E559" t="inlineStr">
        <is>
          <t>Branch</t>
        </is>
      </c>
      <c r="F559" t="inlineStr">
        <is>
          <t>high</t>
        </is>
      </c>
      <c r="G559" t="n">
        <v>268</v>
      </c>
      <c r="H559" t="n">
        <v>-2.324811795742961</v>
      </c>
      <c r="I559" t="inlineStr">
        <is>
          <t>Yes</t>
        </is>
      </c>
      <c r="J559" t="n">
        <v>3</v>
      </c>
      <c r="K559">
        <f>'_pockets'!$AI$428</f>
        <v/>
      </c>
      <c r="L559">
        <f>'_pockets'!$AJ$428</f>
        <v/>
      </c>
      <c r="M559">
        <f>IF(AND($A559='Pockets'!$D$18,$B559='Pockets'!$C$18,OR('Pockets'!$E$18="All",AND('Pockets'!$E$18="Worse and material",$K559="Yes",$L559="Yes"),AND('Pockets'!$E$18="Worse or not sure",OR($K559="Yes",$K559="Not sure")))),1,0)</f>
        <v/>
      </c>
      <c r="N559">
        <f>$N558+$M559</f>
        <v/>
      </c>
      <c r="O559" t="inlineStr">
        <is>
          <t>three-way</t>
        </is>
      </c>
      <c r="P559" t="inlineStr">
        <is>
          <t>contribution_rate</t>
        </is>
      </c>
    </row>
    <row r="560">
      <c r="A560" t="inlineStr">
        <is>
          <t>Split by REV_DEBT</t>
        </is>
      </c>
      <c r="B560" t="inlineStr">
        <is>
          <t>Earned before losses</t>
        </is>
      </c>
      <c r="C560" t="n">
        <v>478</v>
      </c>
      <c r="D560" t="inlineStr">
        <is>
          <t>FICO 712 - 745</t>
        </is>
      </c>
      <c r="E560" t="inlineStr">
        <is>
          <t>Broker</t>
        </is>
      </c>
      <c r="F560" t="inlineStr">
        <is>
          <t>low</t>
        </is>
      </c>
      <c r="G560" t="n">
        <v>255</v>
      </c>
      <c r="H560" t="n">
        <v>-2.381333516845563</v>
      </c>
      <c r="I560" t="inlineStr">
        <is>
          <t>Yes</t>
        </is>
      </c>
      <c r="J560" t="n">
        <v>4</v>
      </c>
      <c r="K560">
        <f>'_pockets'!$AI$478</f>
        <v/>
      </c>
      <c r="L560">
        <f>'_pockets'!$AJ$478</f>
        <v/>
      </c>
      <c r="M560">
        <f>IF(AND($A560='Pockets'!$D$18,$B560='Pockets'!$C$18,OR('Pockets'!$E$18="All",AND('Pockets'!$E$18="Worse and material",$K560="Yes",$L560="Yes"),AND('Pockets'!$E$18="Worse or not sure",OR($K560="Yes",$K560="Not sure")))),1,0)</f>
        <v/>
      </c>
      <c r="N560">
        <f>$N559+$M560</f>
        <v/>
      </c>
      <c r="O560" t="inlineStr">
        <is>
          <t>three-way</t>
        </is>
      </c>
      <c r="P560" t="inlineStr">
        <is>
          <t>contribution_rate</t>
        </is>
      </c>
    </row>
    <row r="561">
      <c r="A561" t="inlineStr">
        <is>
          <t>Split by REV_DEBT</t>
        </is>
      </c>
      <c r="B561" t="inlineStr">
        <is>
          <t>Earned before losses</t>
        </is>
      </c>
      <c r="C561" t="n">
        <v>553</v>
      </c>
      <c r="D561" t="inlineStr">
        <is>
          <t>FICO 686 - 711</t>
        </is>
      </c>
      <c r="E561" t="inlineStr">
        <is>
          <t>Broker</t>
        </is>
      </c>
      <c r="F561" t="inlineStr">
        <is>
          <t>high</t>
        </is>
      </c>
      <c r="G561" t="n">
        <v>250</v>
      </c>
      <c r="H561" t="n">
        <v>-2.404252820034104</v>
      </c>
      <c r="I561" t="inlineStr">
        <is>
          <t>Yes</t>
        </is>
      </c>
      <c r="J561" t="n">
        <v>5</v>
      </c>
      <c r="K561">
        <f>'_pockets'!$AI$553</f>
        <v/>
      </c>
      <c r="L561">
        <f>'_pockets'!$AJ$553</f>
        <v/>
      </c>
      <c r="M561">
        <f>IF(AND($A561='Pockets'!$D$18,$B561='Pockets'!$C$18,OR('Pockets'!$E$18="All",AND('Pockets'!$E$18="Worse and material",$K561="Yes",$L561="Yes"),AND('Pockets'!$E$18="Worse or not sure",OR($K561="Yes",$K561="Not sure")))),1,0)</f>
        <v/>
      </c>
      <c r="N561">
        <f>$N560+$M561</f>
        <v/>
      </c>
      <c r="O561" t="inlineStr">
        <is>
          <t>three-way</t>
        </is>
      </c>
      <c r="P561" t="inlineStr">
        <is>
          <t>contribution_rate</t>
        </is>
      </c>
    </row>
    <row r="562">
      <c r="A562" t="inlineStr">
        <is>
          <t>Split by REV_DEBT</t>
        </is>
      </c>
      <c r="B562" t="inlineStr">
        <is>
          <t>Earned before losses</t>
        </is>
      </c>
      <c r="C562" t="n">
        <v>563</v>
      </c>
      <c r="D562" t="inlineStr">
        <is>
          <t>FICO 686 - 711</t>
        </is>
      </c>
      <c r="E562" t="inlineStr">
        <is>
          <t>Branch</t>
        </is>
      </c>
      <c r="F562" t="inlineStr">
        <is>
          <t>high</t>
        </is>
      </c>
      <c r="G562" t="n">
        <v>257</v>
      </c>
      <c r="H562" t="n">
        <v>-2.372355937133785</v>
      </c>
      <c r="I562" t="inlineStr">
        <is>
          <t>Yes</t>
        </is>
      </c>
      <c r="J562" t="n">
        <v>6</v>
      </c>
      <c r="K562">
        <f>'_pockets'!$AI$563</f>
        <v/>
      </c>
      <c r="L562">
        <f>'_pockets'!$AJ$563</f>
        <v/>
      </c>
      <c r="M562">
        <f>IF(AND($A562='Pockets'!$D$18,$B562='Pockets'!$C$18,OR('Pockets'!$E$18="All",AND('Pockets'!$E$18="Worse and material",$K562="Yes",$L562="Yes"),AND('Pockets'!$E$18="Worse or not sure",OR($K562="Yes",$K562="Not sure")))),1,0)</f>
        <v/>
      </c>
      <c r="N562">
        <f>$N561+$M562</f>
        <v/>
      </c>
      <c r="O562" t="inlineStr">
        <is>
          <t>three-way</t>
        </is>
      </c>
      <c r="P562" t="inlineStr">
        <is>
          <t>contribution_rate</t>
        </is>
      </c>
    </row>
    <row r="563">
      <c r="A563" t="inlineStr">
        <is>
          <t>Split by REV_DEBT</t>
        </is>
      </c>
      <c r="B563" t="inlineStr">
        <is>
          <t>Earned before losses</t>
        </is>
      </c>
      <c r="C563" t="n">
        <v>423</v>
      </c>
      <c r="D563" t="inlineStr">
        <is>
          <t>FICO 712 - 745</t>
        </is>
      </c>
      <c r="E563" t="inlineStr">
        <is>
          <t>Branch</t>
        </is>
      </c>
      <c r="F563" t="inlineStr">
        <is>
          <t>low</t>
        </is>
      </c>
      <c r="G563" t="n">
        <v>268</v>
      </c>
      <c r="H563" t="n">
        <v>-2.324811795742961</v>
      </c>
      <c r="I563" t="inlineStr">
        <is>
          <t>Yes</t>
        </is>
      </c>
      <c r="J563" t="n">
        <v>7</v>
      </c>
      <c r="K563">
        <f>'_pockets'!$AI$423</f>
        <v/>
      </c>
      <c r="L563">
        <f>'_pockets'!$AJ$423</f>
        <v/>
      </c>
      <c r="M563">
        <f>IF(AND($A563='Pockets'!$D$18,$B563='Pockets'!$C$18,OR('Pockets'!$E$18="All",AND('Pockets'!$E$18="Worse and material",$K563="Yes",$L563="Yes"),AND('Pockets'!$E$18="Worse or not sure",OR($K563="Yes",$K563="Not sure")))),1,0)</f>
        <v/>
      </c>
      <c r="N563">
        <f>$N562+$M563</f>
        <v/>
      </c>
      <c r="O563" t="inlineStr">
        <is>
          <t>three-way</t>
        </is>
      </c>
      <c r="P563" t="inlineStr">
        <is>
          <t>contribution_rate</t>
        </is>
      </c>
    </row>
    <row r="564">
      <c r="A564" t="inlineStr">
        <is>
          <t>Split by REV_DEBT</t>
        </is>
      </c>
      <c r="B564" t="inlineStr">
        <is>
          <t>Earned before losses</t>
        </is>
      </c>
      <c r="C564" t="n">
        <v>588</v>
      </c>
      <c r="D564" t="inlineStr">
        <is>
          <t>FICO (marked missing)</t>
        </is>
      </c>
      <c r="E564" t="inlineStr">
        <is>
          <t>Branch</t>
        </is>
      </c>
      <c r="F564" t="inlineStr">
        <is>
          <t>low</t>
        </is>
      </c>
      <c r="G564" t="n">
        <v>26</v>
      </c>
      <c r="H564" t="n">
        <v>-7.349784838070694</v>
      </c>
      <c r="I564" t="inlineStr">
        <is>
          <t>Yes</t>
        </is>
      </c>
      <c r="J564" t="n">
        <v>8</v>
      </c>
      <c r="K564">
        <f>'_pockets'!$AI$588</f>
        <v/>
      </c>
      <c r="L564">
        <f>'_pockets'!$AJ$588</f>
        <v/>
      </c>
      <c r="M564">
        <f>IF(AND($A564='Pockets'!$D$18,$B564='Pockets'!$C$18,OR('Pockets'!$E$18="All",AND('Pockets'!$E$18="Worse and material",$K564="Yes",$L564="Yes"),AND('Pockets'!$E$18="Worse or not sure",OR($K564="Yes",$K564="Not sure")))),1,0)</f>
        <v/>
      </c>
      <c r="N564">
        <f>$N563+$M564</f>
        <v/>
      </c>
      <c r="O564" t="inlineStr">
        <is>
          <t>three-way</t>
        </is>
      </c>
      <c r="P564" t="inlineStr">
        <is>
          <t>contribution_rate</t>
        </is>
      </c>
    </row>
    <row r="565">
      <c r="A565" t="inlineStr">
        <is>
          <t>Split by REV_DEBT</t>
        </is>
      </c>
      <c r="B565" t="inlineStr">
        <is>
          <t>Earned before losses</t>
        </is>
      </c>
      <c r="C565" t="n">
        <v>433</v>
      </c>
      <c r="D565" t="inlineStr">
        <is>
          <t>FICO 496 - 653</t>
        </is>
      </c>
      <c r="E565" t="inlineStr">
        <is>
          <t>Branch</t>
        </is>
      </c>
      <c r="F565" t="inlineStr">
        <is>
          <t>low</t>
        </is>
      </c>
      <c r="G565" t="n">
        <v>251</v>
      </c>
      <c r="H565" t="n">
        <v>-2.399613550730209</v>
      </c>
      <c r="I565" t="inlineStr">
        <is>
          <t>Yes</t>
        </is>
      </c>
      <c r="J565" t="n">
        <v>9</v>
      </c>
      <c r="K565">
        <f>'_pockets'!$AI$433</f>
        <v/>
      </c>
      <c r="L565">
        <f>'_pockets'!$AJ$433</f>
        <v/>
      </c>
      <c r="M565">
        <f>IF(AND($A565='Pockets'!$D$18,$B565='Pockets'!$C$18,OR('Pockets'!$E$18="All",AND('Pockets'!$E$18="Worse and material",$K565="Yes",$L565="Yes"),AND('Pockets'!$E$18="Worse or not sure",OR($K565="Yes",$K565="Not sure")))),1,0)</f>
        <v/>
      </c>
      <c r="N565">
        <f>$N564+$M565</f>
        <v/>
      </c>
      <c r="O565" t="inlineStr">
        <is>
          <t>three-way</t>
        </is>
      </c>
      <c r="P565" t="inlineStr">
        <is>
          <t>contribution_rate</t>
        </is>
      </c>
    </row>
    <row r="566">
      <c r="A566" t="inlineStr">
        <is>
          <t>Split by REV_DEBT</t>
        </is>
      </c>
      <c r="B566" t="inlineStr">
        <is>
          <t>Earned before losses</t>
        </is>
      </c>
      <c r="C566" t="n">
        <v>653</v>
      </c>
      <c r="D566" t="inlineStr">
        <is>
          <t>FICO 496 - 653</t>
        </is>
      </c>
      <c r="E566" t="inlineStr">
        <is>
          <t>ASSET_CLASS 4</t>
        </is>
      </c>
      <c r="F566" t="inlineStr">
        <is>
          <t>low</t>
        </is>
      </c>
      <c r="G566" t="n">
        <v>196</v>
      </c>
      <c r="H566" t="n">
        <v>-2.705913664673004</v>
      </c>
      <c r="I566" t="inlineStr">
        <is>
          <t>Yes</t>
        </is>
      </c>
      <c r="J566" t="n">
        <v>10</v>
      </c>
      <c r="K566">
        <f>'_pockets'!$AI$653</f>
        <v/>
      </c>
      <c r="L566">
        <f>'_pockets'!$AJ$653</f>
        <v/>
      </c>
      <c r="M566">
        <f>IF(AND($A566='Pockets'!$D$18,$B566='Pockets'!$C$18,OR('Pockets'!$E$18="All",AND('Pockets'!$E$18="Worse and material",$K566="Yes",$L566="Yes"),AND('Pockets'!$E$18="Worse or not sure",OR($K566="Yes",$K566="Not sure")))),1,0)</f>
        <v/>
      </c>
      <c r="N566">
        <f>$N565+$M566</f>
        <v/>
      </c>
      <c r="O566" t="inlineStr">
        <is>
          <t>three-way</t>
        </is>
      </c>
      <c r="P566" t="inlineStr">
        <is>
          <t>contribution_rate</t>
        </is>
      </c>
    </row>
    <row r="567">
      <c r="A567" t="inlineStr">
        <is>
          <t>Split by REV_DEBT</t>
        </is>
      </c>
      <c r="B567" t="inlineStr">
        <is>
          <t>Earned before losses</t>
        </is>
      </c>
      <c r="C567" t="n">
        <v>503</v>
      </c>
      <c r="D567" t="inlineStr">
        <is>
          <t>FICO 654 - 685</t>
        </is>
      </c>
      <c r="E567" t="inlineStr">
        <is>
          <t>Branch</t>
        </is>
      </c>
      <c r="F567" t="inlineStr">
        <is>
          <t>low</t>
        </is>
      </c>
      <c r="G567" t="n">
        <v>252</v>
      </c>
      <c r="H567" t="n">
        <v>-2.395002261085906</v>
      </c>
      <c r="I567" t="inlineStr">
        <is>
          <t>Yes</t>
        </is>
      </c>
      <c r="J567" t="n">
        <v>11</v>
      </c>
      <c r="K567">
        <f>'_pockets'!$AI$503</f>
        <v/>
      </c>
      <c r="L567">
        <f>'_pockets'!$AJ$503</f>
        <v/>
      </c>
      <c r="M567">
        <f>IF(AND($A567='Pockets'!$D$18,$B567='Pockets'!$C$18,OR('Pockets'!$E$18="All",AND('Pockets'!$E$18="Worse and material",$K567="Yes",$L567="Yes"),AND('Pockets'!$E$18="Worse or not sure",OR($K567="Yes",$K567="Not sure")))),1,0)</f>
        <v/>
      </c>
      <c r="N567">
        <f>$N566+$M567</f>
        <v/>
      </c>
      <c r="O567" t="inlineStr">
        <is>
          <t>three-way</t>
        </is>
      </c>
      <c r="P567" t="inlineStr">
        <is>
          <t>contribution_rate</t>
        </is>
      </c>
    </row>
    <row r="568">
      <c r="A568" t="inlineStr">
        <is>
          <t>Split by REV_DEBT</t>
        </is>
      </c>
      <c r="B568" t="inlineStr">
        <is>
          <t>Earned before losses</t>
        </is>
      </c>
      <c r="C568" t="n">
        <v>523</v>
      </c>
      <c r="D568" t="inlineStr">
        <is>
          <t>FICO 654 - 685</t>
        </is>
      </c>
      <c r="E568" t="inlineStr">
        <is>
          <t>Broker</t>
        </is>
      </c>
      <c r="F568" t="inlineStr">
        <is>
          <t>low</t>
        </is>
      </c>
      <c r="G568" t="n">
        <v>266</v>
      </c>
      <c r="H568" t="n">
        <v>-2.333233501000778</v>
      </c>
      <c r="I568" t="inlineStr">
        <is>
          <t>Yes</t>
        </is>
      </c>
      <c r="J568" t="n">
        <v>12</v>
      </c>
      <c r="K568">
        <f>'_pockets'!$AI$523</f>
        <v/>
      </c>
      <c r="L568">
        <f>'_pockets'!$AJ$523</f>
        <v/>
      </c>
      <c r="M568">
        <f>IF(AND($A568='Pockets'!$D$18,$B568='Pockets'!$C$18,OR('Pockets'!$E$18="All",AND('Pockets'!$E$18="Worse and material",$K568="Yes",$L568="Yes"),AND('Pockets'!$E$18="Worse or not sure",OR($K568="Yes",$K568="Not sure")))),1,0)</f>
        <v/>
      </c>
      <c r="N568">
        <f>$N567+$M568</f>
        <v/>
      </c>
      <c r="O568" t="inlineStr">
        <is>
          <t>three-way</t>
        </is>
      </c>
      <c r="P568" t="inlineStr">
        <is>
          <t>contribution_rate</t>
        </is>
      </c>
    </row>
    <row r="569">
      <c r="A569" t="inlineStr">
        <is>
          <t>Split by REV_DEBT</t>
        </is>
      </c>
      <c r="B569" t="inlineStr">
        <is>
          <t>Earned before losses</t>
        </is>
      </c>
      <c r="C569" t="n">
        <v>528</v>
      </c>
      <c r="D569" t="inlineStr">
        <is>
          <t>FICO 712 - 745</t>
        </is>
      </c>
      <c r="E569" t="inlineStr">
        <is>
          <t>Broker</t>
        </is>
      </c>
      <c r="F569" t="inlineStr">
        <is>
          <t>high</t>
        </is>
      </c>
      <c r="G569" t="n">
        <v>254</v>
      </c>
      <c r="H569" t="n">
        <v>-2.385862515669908</v>
      </c>
      <c r="I569" t="inlineStr">
        <is>
          <t>Yes</t>
        </is>
      </c>
      <c r="J569" t="n">
        <v>13</v>
      </c>
      <c r="K569">
        <f>'_pockets'!$AI$528</f>
        <v/>
      </c>
      <c r="L569">
        <f>'_pockets'!$AJ$528</f>
        <v/>
      </c>
      <c r="M569">
        <f>IF(AND($A569='Pockets'!$D$18,$B569='Pockets'!$C$18,OR('Pockets'!$E$18="All",AND('Pockets'!$E$18="Worse and material",$K569="Yes",$L569="Yes"),AND('Pockets'!$E$18="Worse or not sure",OR($K569="Yes",$K569="Not sure")))),1,0)</f>
        <v/>
      </c>
      <c r="N569">
        <f>$N568+$M569</f>
        <v/>
      </c>
      <c r="O569" t="inlineStr">
        <is>
          <t>three-way</t>
        </is>
      </c>
      <c r="P569" t="inlineStr">
        <is>
          <t>contribution_rate</t>
        </is>
      </c>
    </row>
    <row r="570">
      <c r="A570" t="inlineStr">
        <is>
          <t>Split by REV_DEBT</t>
        </is>
      </c>
      <c r="B570" t="inlineStr">
        <is>
          <t>Earned before losses</t>
        </is>
      </c>
      <c r="C570" t="n">
        <v>533</v>
      </c>
      <c r="D570" t="inlineStr">
        <is>
          <t>FICO 654 - 685</t>
        </is>
      </c>
      <c r="E570" t="inlineStr">
        <is>
          <t>Broker</t>
        </is>
      </c>
      <c r="F570" t="inlineStr">
        <is>
          <t>high</t>
        </is>
      </c>
      <c r="G570" t="n">
        <v>265</v>
      </c>
      <c r="H570" t="n">
        <v>-2.337480531658646</v>
      </c>
      <c r="I570" t="inlineStr">
        <is>
          <t>Yes</t>
        </is>
      </c>
      <c r="J570" t="n">
        <v>14</v>
      </c>
      <c r="K570">
        <f>'_pockets'!$AI$533</f>
        <v/>
      </c>
      <c r="L570">
        <f>'_pockets'!$AJ$533</f>
        <v/>
      </c>
      <c r="M570">
        <f>IF(AND($A570='Pockets'!$D$18,$B570='Pockets'!$C$18,OR('Pockets'!$E$18="All",AND('Pockets'!$E$18="Worse and material",$K570="Yes",$L570="Yes"),AND('Pockets'!$E$18="Worse or not sure",OR($K570="Yes",$K570="Not sure")))),1,0)</f>
        <v/>
      </c>
      <c r="N570">
        <f>$N569+$M570</f>
        <v/>
      </c>
      <c r="O570" t="inlineStr">
        <is>
          <t>three-way</t>
        </is>
      </c>
      <c r="P570" t="inlineStr">
        <is>
          <t>contribution_rate</t>
        </is>
      </c>
    </row>
    <row r="571">
      <c r="A571" t="inlineStr">
        <is>
          <t>Split by REV_DEBT</t>
        </is>
      </c>
      <c r="B571" t="inlineStr">
        <is>
          <t>Earned before losses</t>
        </is>
      </c>
      <c r="C571" t="n">
        <v>783</v>
      </c>
      <c r="D571" t="inlineStr">
        <is>
          <t>FICO 496 - 653</t>
        </is>
      </c>
      <c r="E571" t="inlineStr">
        <is>
          <t>ASSET_CLASS 2</t>
        </is>
      </c>
      <c r="F571" t="inlineStr">
        <is>
          <t>high</t>
        </is>
      </c>
      <c r="G571" t="n">
        <v>197</v>
      </c>
      <c r="H571" t="n">
        <v>-2.699210113297153</v>
      </c>
      <c r="I571" t="inlineStr">
        <is>
          <t>Yes</t>
        </is>
      </c>
      <c r="J571" t="n">
        <v>15</v>
      </c>
      <c r="K571">
        <f>'_pockets'!$AI$783</f>
        <v/>
      </c>
      <c r="L571">
        <f>'_pockets'!$AJ$783</f>
        <v/>
      </c>
      <c r="M571">
        <f>IF(AND($A571='Pockets'!$D$18,$B571='Pockets'!$C$18,OR('Pockets'!$E$18="All",AND('Pockets'!$E$18="Worse and material",$K571="Yes",$L571="Yes"),AND('Pockets'!$E$18="Worse or not sure",OR($K571="Yes",$K571="Not sure")))),1,0)</f>
        <v/>
      </c>
      <c r="N571">
        <f>$N570+$M571</f>
        <v/>
      </c>
      <c r="O571" t="inlineStr">
        <is>
          <t>three-way</t>
        </is>
      </c>
      <c r="P571" t="inlineStr">
        <is>
          <t>contribution_rate</t>
        </is>
      </c>
    </row>
    <row r="572">
      <c r="A572" t="inlineStr">
        <is>
          <t>Split by REV_DEBT</t>
        </is>
      </c>
      <c r="B572" t="inlineStr">
        <is>
          <t>Earned before losses</t>
        </is>
      </c>
      <c r="C572" t="n">
        <v>558</v>
      </c>
      <c r="D572" t="inlineStr">
        <is>
          <t>FICO 496 - 653</t>
        </is>
      </c>
      <c r="E572" t="inlineStr">
        <is>
          <t>Online</t>
        </is>
      </c>
      <c r="F572" t="inlineStr">
        <is>
          <t>high</t>
        </is>
      </c>
      <c r="G572" t="n">
        <v>265</v>
      </c>
      <c r="H572" t="n">
        <v>-2.337480531658646</v>
      </c>
      <c r="I572" t="inlineStr">
        <is>
          <t>Yes</t>
        </is>
      </c>
      <c r="J572" t="n">
        <v>16</v>
      </c>
      <c r="K572">
        <f>'_pockets'!$AI$558</f>
        <v/>
      </c>
      <c r="L572">
        <f>'_pockets'!$AJ$558</f>
        <v/>
      </c>
      <c r="M572">
        <f>IF(AND($A572='Pockets'!$D$18,$B572='Pockets'!$C$18,OR('Pockets'!$E$18="All",AND('Pockets'!$E$18="Worse and material",$K572="Yes",$L572="Yes"),AND('Pockets'!$E$18="Worse or not sure",OR($K572="Yes",$K572="Not sure")))),1,0)</f>
        <v/>
      </c>
      <c r="N572">
        <f>$N571+$M572</f>
        <v/>
      </c>
      <c r="O572" t="inlineStr">
        <is>
          <t>three-way</t>
        </is>
      </c>
      <c r="P572" t="inlineStr">
        <is>
          <t>contribution_rate</t>
        </is>
      </c>
    </row>
    <row r="573">
      <c r="A573" t="inlineStr">
        <is>
          <t>Split by REV_DEBT</t>
        </is>
      </c>
      <c r="B573" t="inlineStr">
        <is>
          <t>Earned before losses</t>
        </is>
      </c>
      <c r="C573" t="n">
        <v>693</v>
      </c>
      <c r="D573" t="inlineStr">
        <is>
          <t>FICO 496 - 653</t>
        </is>
      </c>
      <c r="E573" t="inlineStr">
        <is>
          <t>ASSET_CLASS 3</t>
        </is>
      </c>
      <c r="F573" t="inlineStr">
        <is>
          <t>high</t>
        </is>
      </c>
      <c r="G573" t="n">
        <v>175</v>
      </c>
      <c r="H573" t="n">
        <v>-2.859823660997956</v>
      </c>
      <c r="I573" t="inlineStr">
        <is>
          <t>Yes</t>
        </is>
      </c>
      <c r="J573" t="n">
        <v>17</v>
      </c>
      <c r="K573">
        <f>'_pockets'!$AI$693</f>
        <v/>
      </c>
      <c r="L573">
        <f>'_pockets'!$AJ$693</f>
        <v/>
      </c>
      <c r="M573">
        <f>IF(AND($A573='Pockets'!$D$18,$B573='Pockets'!$C$18,OR('Pockets'!$E$18="All",AND('Pockets'!$E$18="Worse and material",$K573="Yes",$L573="Yes"),AND('Pockets'!$E$18="Worse or not sure",OR($K573="Yes",$K573="Not sure")))),1,0)</f>
        <v/>
      </c>
      <c r="N573">
        <f>$N572+$M573</f>
        <v/>
      </c>
      <c r="O573" t="inlineStr">
        <is>
          <t>three-way</t>
        </is>
      </c>
      <c r="P573" t="inlineStr">
        <is>
          <t>contribution_rate</t>
        </is>
      </c>
    </row>
    <row r="574">
      <c r="A574" t="inlineStr">
        <is>
          <t>Split by REV_DEBT</t>
        </is>
      </c>
      <c r="B574" t="inlineStr">
        <is>
          <t>Earned before losses</t>
        </is>
      </c>
      <c r="C574" t="n">
        <v>473</v>
      </c>
      <c r="D574" t="inlineStr">
        <is>
          <t>FICO 654 - 685</t>
        </is>
      </c>
      <c r="E574" t="inlineStr">
        <is>
          <t>Branch</t>
        </is>
      </c>
      <c r="F574" t="inlineStr">
        <is>
          <t>high</t>
        </is>
      </c>
      <c r="G574" t="n">
        <v>251</v>
      </c>
      <c r="H574" t="n">
        <v>-2.399613550730209</v>
      </c>
      <c r="I574" t="inlineStr">
        <is>
          <t>Yes</t>
        </is>
      </c>
      <c r="J574" t="n">
        <v>18</v>
      </c>
      <c r="K574">
        <f>'_pockets'!$AI$473</f>
        <v/>
      </c>
      <c r="L574">
        <f>'_pockets'!$AJ$473</f>
        <v/>
      </c>
      <c r="M574">
        <f>IF(AND($A574='Pockets'!$D$18,$B574='Pockets'!$C$18,OR('Pockets'!$E$18="All",AND('Pockets'!$E$18="Worse and material",$K574="Yes",$L574="Yes"),AND('Pockets'!$E$18="Worse or not sure",OR($K574="Yes",$K574="Not sure")))),1,0)</f>
        <v/>
      </c>
      <c r="N574">
        <f>$N573+$M574</f>
        <v/>
      </c>
      <c r="O574" t="inlineStr">
        <is>
          <t>three-way</t>
        </is>
      </c>
      <c r="P574" t="inlineStr">
        <is>
          <t>contribution_rate</t>
        </is>
      </c>
    </row>
    <row r="575">
      <c r="A575" t="inlineStr">
        <is>
          <t>Split by REV_DEBT</t>
        </is>
      </c>
      <c r="B575" t="inlineStr">
        <is>
          <t>Earned before losses</t>
        </is>
      </c>
      <c r="C575" t="n">
        <v>728</v>
      </c>
      <c r="D575" t="inlineStr">
        <is>
          <t>FICO 712 - 745</t>
        </is>
      </c>
      <c r="E575" t="inlineStr">
        <is>
          <t>ASSET_CLASS 2</t>
        </is>
      </c>
      <c r="F575" t="inlineStr">
        <is>
          <t>low</t>
        </is>
      </c>
      <c r="G575" t="n">
        <v>216</v>
      </c>
      <c r="H575" t="n">
        <v>-2.580907595119466</v>
      </c>
      <c r="I575" t="inlineStr">
        <is>
          <t>Yes</t>
        </is>
      </c>
      <c r="J575" t="n">
        <v>19</v>
      </c>
      <c r="K575">
        <f>'_pockets'!$AI$728</f>
        <v/>
      </c>
      <c r="L575">
        <f>'_pockets'!$AJ$728</f>
        <v/>
      </c>
      <c r="M575">
        <f>IF(AND($A575='Pockets'!$D$18,$B575='Pockets'!$C$18,OR('Pockets'!$E$18="All",AND('Pockets'!$E$18="Worse and material",$K575="Yes",$L575="Yes"),AND('Pockets'!$E$18="Worse or not sure",OR($K575="Yes",$K575="Not sure")))),1,0)</f>
        <v/>
      </c>
      <c r="N575">
        <f>$N574+$M575</f>
        <v/>
      </c>
      <c r="O575" t="inlineStr">
        <is>
          <t>three-way</t>
        </is>
      </c>
      <c r="P575" t="inlineStr">
        <is>
          <t>contribution_rate</t>
        </is>
      </c>
    </row>
    <row r="576">
      <c r="A576" t="inlineStr">
        <is>
          <t>Split by REV_DEBT</t>
        </is>
      </c>
      <c r="B576" t="inlineStr">
        <is>
          <t>Earned before losses</t>
        </is>
      </c>
      <c r="C576" t="n">
        <v>808</v>
      </c>
      <c r="D576" t="inlineStr">
        <is>
          <t>FICO 654 - 685</t>
        </is>
      </c>
      <c r="E576" t="inlineStr">
        <is>
          <t>ASSET_CLASS 4</t>
        </is>
      </c>
      <c r="F576" t="inlineStr">
        <is>
          <t>low</t>
        </is>
      </c>
      <c r="G576" t="n">
        <v>205</v>
      </c>
      <c r="H576" t="n">
        <v>-2.647376295161963</v>
      </c>
      <c r="I576" t="inlineStr">
        <is>
          <t>Yes</t>
        </is>
      </c>
      <c r="J576" t="n">
        <v>20</v>
      </c>
      <c r="K576">
        <f>'_pockets'!$AI$808</f>
        <v/>
      </c>
      <c r="L576">
        <f>'_pockets'!$AJ$808</f>
        <v/>
      </c>
      <c r="M576">
        <f>IF(AND($A576='Pockets'!$D$18,$B576='Pockets'!$C$18,OR('Pockets'!$E$18="All",AND('Pockets'!$E$18="Worse and material",$K576="Yes",$L576="Yes"),AND('Pockets'!$E$18="Worse or not sure",OR($K576="Yes",$K576="Not sure")))),1,0)</f>
        <v/>
      </c>
      <c r="N576">
        <f>$N575+$M576</f>
        <v/>
      </c>
      <c r="O576" t="inlineStr">
        <is>
          <t>three-way</t>
        </is>
      </c>
      <c r="P576" t="inlineStr">
        <is>
          <t>contribution_rate</t>
        </is>
      </c>
    </row>
    <row r="577">
      <c r="A577" t="inlineStr">
        <is>
          <t>Split by REV_DEBT</t>
        </is>
      </c>
      <c r="B577" t="inlineStr">
        <is>
          <t>Earned before losses</t>
        </is>
      </c>
      <c r="C577" t="n">
        <v>803</v>
      </c>
      <c r="D577" t="inlineStr">
        <is>
          <t>FICO 686 - 711</t>
        </is>
      </c>
      <c r="E577" t="inlineStr">
        <is>
          <t>ASSET_CLASS 3</t>
        </is>
      </c>
      <c r="F577" t="inlineStr">
        <is>
          <t>low</t>
        </is>
      </c>
      <c r="G577" t="n">
        <v>194</v>
      </c>
      <c r="H577" t="n">
        <v>-2.719477369659122</v>
      </c>
      <c r="I577" t="inlineStr">
        <is>
          <t>Yes</t>
        </is>
      </c>
      <c r="J577" t="n">
        <v>21</v>
      </c>
      <c r="K577">
        <f>'_pockets'!$AI$803</f>
        <v/>
      </c>
      <c r="L577">
        <f>'_pockets'!$AJ$803</f>
        <v/>
      </c>
      <c r="M577">
        <f>IF(AND($A577='Pockets'!$D$18,$B577='Pockets'!$C$18,OR('Pockets'!$E$18="All",AND('Pockets'!$E$18="Worse and material",$K577="Yes",$L577="Yes"),AND('Pockets'!$E$18="Worse or not sure",OR($K577="Yes",$K577="Not sure")))),1,0)</f>
        <v/>
      </c>
      <c r="N577">
        <f>$N576+$M577</f>
        <v/>
      </c>
      <c r="O577" t="inlineStr">
        <is>
          <t>three-way</t>
        </is>
      </c>
      <c r="P577" t="inlineStr">
        <is>
          <t>contribution_rate</t>
        </is>
      </c>
    </row>
    <row r="578">
      <c r="A578" t="inlineStr">
        <is>
          <t>Split by REV_DEBT</t>
        </is>
      </c>
      <c r="B578" t="inlineStr">
        <is>
          <t>Earned before losses</t>
        </is>
      </c>
      <c r="C578" t="n">
        <v>618</v>
      </c>
      <c r="D578" t="inlineStr">
        <is>
          <t>FICO 496 - 653</t>
        </is>
      </c>
      <c r="E578" t="inlineStr">
        <is>
          <t>ASSET_CLASS 2</t>
        </is>
      </c>
      <c r="F578" t="inlineStr">
        <is>
          <t>low</t>
        </is>
      </c>
      <c r="G578" t="n">
        <v>197</v>
      </c>
      <c r="H578" t="n">
        <v>-2.699210113297153</v>
      </c>
      <c r="I578" t="inlineStr">
        <is>
          <t>Yes</t>
        </is>
      </c>
      <c r="J578" t="n">
        <v>22</v>
      </c>
      <c r="K578">
        <f>'_pockets'!$AI$618</f>
        <v/>
      </c>
      <c r="L578">
        <f>'_pockets'!$AJ$618</f>
        <v/>
      </c>
      <c r="M578">
        <f>IF(AND($A578='Pockets'!$D$18,$B578='Pockets'!$C$18,OR('Pockets'!$E$18="All",AND('Pockets'!$E$18="Worse and material",$K578="Yes",$L578="Yes"),AND('Pockets'!$E$18="Worse or not sure",OR($K578="Yes",$K578="Not sure")))),1,0)</f>
        <v/>
      </c>
      <c r="N578">
        <f>$N577+$M578</f>
        <v/>
      </c>
      <c r="O578" t="inlineStr">
        <is>
          <t>three-way</t>
        </is>
      </c>
      <c r="P578" t="inlineStr">
        <is>
          <t>contribution_rate</t>
        </is>
      </c>
    </row>
    <row r="579">
      <c r="A579" t="inlineStr">
        <is>
          <t>Split by REV_DEBT</t>
        </is>
      </c>
      <c r="B579" t="inlineStr">
        <is>
          <t>Earned before losses</t>
        </is>
      </c>
      <c r="C579" t="n">
        <v>748</v>
      </c>
      <c r="D579" t="inlineStr">
        <is>
          <t>FICO (marked missing)</t>
        </is>
      </c>
      <c r="E579" t="inlineStr">
        <is>
          <t>ASSET_CLASS 3</t>
        </is>
      </c>
      <c r="F579" t="inlineStr">
        <is>
          <t>low</t>
        </is>
      </c>
      <c r="G579" t="n">
        <v>22</v>
      </c>
      <c r="H579" t="n">
        <v>-7.988054723482414</v>
      </c>
      <c r="I579" t="inlineStr">
        <is>
          <t>Yes</t>
        </is>
      </c>
      <c r="J579" t="n">
        <v>23</v>
      </c>
      <c r="K579">
        <f>'_pockets'!$AI$748</f>
        <v/>
      </c>
      <c r="L579">
        <f>'_pockets'!$AJ$748</f>
        <v/>
      </c>
      <c r="M579">
        <f>IF(AND($A579='Pockets'!$D$18,$B579='Pockets'!$C$18,OR('Pockets'!$E$18="All",AND('Pockets'!$E$18="Worse and material",$K579="Yes",$L579="Yes"),AND('Pockets'!$E$18="Worse or not sure",OR($K579="Yes",$K579="Not sure")))),1,0)</f>
        <v/>
      </c>
      <c r="N579">
        <f>$N578+$M579</f>
        <v/>
      </c>
      <c r="O579" t="inlineStr">
        <is>
          <t>three-way</t>
        </is>
      </c>
      <c r="P579" t="inlineStr">
        <is>
          <t>contribution_rate</t>
        </is>
      </c>
    </row>
    <row r="580">
      <c r="A580" t="inlineStr">
        <is>
          <t>Split by REV_DEBT</t>
        </is>
      </c>
      <c r="B580" t="inlineStr">
        <is>
          <t>Earned before losses</t>
        </is>
      </c>
      <c r="C580" t="n">
        <v>778</v>
      </c>
      <c r="D580" t="inlineStr">
        <is>
          <t>FICO 686 - 711</t>
        </is>
      </c>
      <c r="E580" t="inlineStr">
        <is>
          <t>ASSET_CLASS 3</t>
        </is>
      </c>
      <c r="F580" t="inlineStr">
        <is>
          <t>high</t>
        </is>
      </c>
      <c r="G580" t="n">
        <v>194</v>
      </c>
      <c r="H580" t="n">
        <v>-2.719477369659122</v>
      </c>
      <c r="I580" t="inlineStr">
        <is>
          <t>Yes</t>
        </is>
      </c>
      <c r="J580" t="n">
        <v>24</v>
      </c>
      <c r="K580">
        <f>'_pockets'!$AI$778</f>
        <v/>
      </c>
      <c r="L580">
        <f>'_pockets'!$AJ$778</f>
        <v/>
      </c>
      <c r="M580">
        <f>IF(AND($A580='Pockets'!$D$18,$B580='Pockets'!$C$18,OR('Pockets'!$E$18="All",AND('Pockets'!$E$18="Worse and material",$K580="Yes",$L580="Yes"),AND('Pockets'!$E$18="Worse or not sure",OR($K580="Yes",$K580="Not sure")))),1,0)</f>
        <v/>
      </c>
      <c r="N580">
        <f>$N579+$M580</f>
        <v/>
      </c>
      <c r="O580" t="inlineStr">
        <is>
          <t>three-way</t>
        </is>
      </c>
      <c r="P580" t="inlineStr">
        <is>
          <t>contribution_rate</t>
        </is>
      </c>
    </row>
    <row r="581">
      <c r="A581" t="inlineStr">
        <is>
          <t>Split by REV_DEBT</t>
        </is>
      </c>
      <c r="B581" t="inlineStr">
        <is>
          <t>Earned before losses</t>
        </is>
      </c>
      <c r="C581" t="n">
        <v>753</v>
      </c>
      <c r="D581" t="inlineStr">
        <is>
          <t>FICO 712 - 745</t>
        </is>
      </c>
      <c r="E581" t="inlineStr">
        <is>
          <t>ASSET_CLASS 3</t>
        </is>
      </c>
      <c r="F581" t="inlineStr">
        <is>
          <t>low</t>
        </is>
      </c>
      <c r="G581" t="n">
        <v>196</v>
      </c>
      <c r="H581" t="n">
        <v>-2.705913664673004</v>
      </c>
      <c r="I581" t="inlineStr">
        <is>
          <t>Yes</t>
        </is>
      </c>
      <c r="J581" t="n">
        <v>25</v>
      </c>
      <c r="K581">
        <f>'_pockets'!$AI$753</f>
        <v/>
      </c>
      <c r="L581">
        <f>'_pockets'!$AJ$753</f>
        <v/>
      </c>
      <c r="M581">
        <f>IF(AND($A581='Pockets'!$D$18,$B581='Pockets'!$C$18,OR('Pockets'!$E$18="All",AND('Pockets'!$E$18="Worse and material",$K581="Yes",$L581="Yes"),AND('Pockets'!$E$18="Worse or not sure",OR($K581="Yes",$K581="Not sure")))),1,0)</f>
        <v/>
      </c>
      <c r="N581">
        <f>$N580+$M581</f>
        <v/>
      </c>
      <c r="O581" t="inlineStr">
        <is>
          <t>three-way</t>
        </is>
      </c>
      <c r="P581" t="inlineStr">
        <is>
          <t>contribution_rate</t>
        </is>
      </c>
    </row>
    <row r="582">
      <c r="A582" t="inlineStr">
        <is>
          <t>Split by REV_DEBT</t>
        </is>
      </c>
      <c r="B582" t="inlineStr">
        <is>
          <t>Earned before losses</t>
        </is>
      </c>
      <c r="C582" t="n">
        <v>458</v>
      </c>
      <c r="D582" t="inlineStr">
        <is>
          <t>FICO 746 - 921</t>
        </is>
      </c>
      <c r="E582" t="inlineStr">
        <is>
          <t>Broker</t>
        </is>
      </c>
      <c r="F582" t="inlineStr">
        <is>
          <t>low</t>
        </is>
      </c>
      <c r="G582" t="n">
        <v>268</v>
      </c>
      <c r="H582" t="n">
        <v>-2.324811795742961</v>
      </c>
      <c r="I582" t="inlineStr">
        <is>
          <t>Yes</t>
        </is>
      </c>
      <c r="J582" t="n">
        <v>26</v>
      </c>
      <c r="K582">
        <f>'_pockets'!$AI$458</f>
        <v/>
      </c>
      <c r="L582">
        <f>'_pockets'!$AJ$458</f>
        <v/>
      </c>
      <c r="M582">
        <f>IF(AND($A582='Pockets'!$D$18,$B582='Pockets'!$C$18,OR('Pockets'!$E$18="All",AND('Pockets'!$E$18="Worse and material",$K582="Yes",$L582="Yes"),AND('Pockets'!$E$18="Worse or not sure",OR($K582="Yes",$K582="Not sure")))),1,0)</f>
        <v/>
      </c>
      <c r="N582">
        <f>$N581+$M582</f>
        <v/>
      </c>
      <c r="O582" t="inlineStr">
        <is>
          <t>three-way</t>
        </is>
      </c>
      <c r="P582" t="inlineStr">
        <is>
          <t>contribution_rate</t>
        </is>
      </c>
    </row>
    <row r="583">
      <c r="A583" t="inlineStr">
        <is>
          <t>Split by REV_DEBT</t>
        </is>
      </c>
      <c r="B583" t="inlineStr">
        <is>
          <t>Earned before losses</t>
        </is>
      </c>
      <c r="C583" t="n">
        <v>538</v>
      </c>
      <c r="D583" t="inlineStr">
        <is>
          <t>FICO (marked missing)</t>
        </is>
      </c>
      <c r="E583" t="inlineStr">
        <is>
          <t>Online</t>
        </is>
      </c>
      <c r="F583" t="inlineStr">
        <is>
          <t>low</t>
        </is>
      </c>
      <c r="G583" t="n">
        <v>28</v>
      </c>
      <c r="H583" t="n">
        <v>-7.083318465853147</v>
      </c>
      <c r="I583" t="inlineStr">
        <is>
          <t>Yes</t>
        </is>
      </c>
      <c r="J583" t="n">
        <v>27</v>
      </c>
      <c r="K583">
        <f>'_pockets'!$AI$538</f>
        <v/>
      </c>
      <c r="L583">
        <f>'_pockets'!$AJ$538</f>
        <v/>
      </c>
      <c r="M583">
        <f>IF(AND($A583='Pockets'!$D$18,$B583='Pockets'!$C$18,OR('Pockets'!$E$18="All",AND('Pockets'!$E$18="Worse and material",$K583="Yes",$L583="Yes"),AND('Pockets'!$E$18="Worse or not sure",OR($K583="Yes",$K583="Not sure")))),1,0)</f>
        <v/>
      </c>
      <c r="N583">
        <f>$N582+$M583</f>
        <v/>
      </c>
      <c r="O583" t="inlineStr">
        <is>
          <t>three-way</t>
        </is>
      </c>
      <c r="P583" t="inlineStr">
        <is>
          <t>contribution_rate</t>
        </is>
      </c>
    </row>
    <row r="584">
      <c r="A584" t="inlineStr">
        <is>
          <t>Split by REV_DEBT</t>
        </is>
      </c>
      <c r="B584" t="inlineStr">
        <is>
          <t>Earned before losses</t>
        </is>
      </c>
      <c r="C584" t="n">
        <v>488</v>
      </c>
      <c r="D584" t="inlineStr">
        <is>
          <t>FICO 746 - 921</t>
        </is>
      </c>
      <c r="E584" t="inlineStr">
        <is>
          <t>Online</t>
        </is>
      </c>
      <c r="F584" t="inlineStr">
        <is>
          <t>low</t>
        </is>
      </c>
      <c r="G584" t="n">
        <v>259</v>
      </c>
      <c r="H584" t="n">
        <v>-2.363483850272235</v>
      </c>
      <c r="I584" t="inlineStr">
        <is>
          <t>Yes</t>
        </is>
      </c>
      <c r="J584" t="n">
        <v>28</v>
      </c>
      <c r="K584">
        <f>'_pockets'!$AI$488</f>
        <v/>
      </c>
      <c r="L584">
        <f>'_pockets'!$AJ$488</f>
        <v/>
      </c>
      <c r="M584">
        <f>IF(AND($A584='Pockets'!$D$18,$B584='Pockets'!$C$18,OR('Pockets'!$E$18="All",AND('Pockets'!$E$18="Worse and material",$K584="Yes",$L584="Yes"),AND('Pockets'!$E$18="Worse or not sure",OR($K584="Yes",$K584="Not sure")))),1,0)</f>
        <v/>
      </c>
      <c r="N584">
        <f>$N583+$M584</f>
        <v/>
      </c>
      <c r="O584" t="inlineStr">
        <is>
          <t>three-way</t>
        </is>
      </c>
      <c r="P584" t="inlineStr">
        <is>
          <t>contribution_rate</t>
        </is>
      </c>
    </row>
    <row r="585">
      <c r="A585" t="inlineStr">
        <is>
          <t>Split by REV_DEBT</t>
        </is>
      </c>
      <c r="B585" t="inlineStr">
        <is>
          <t>Earned before losses</t>
        </is>
      </c>
      <c r="C585" t="n">
        <v>613</v>
      </c>
      <c r="D585" t="inlineStr">
        <is>
          <t>FICO 712 - 745</t>
        </is>
      </c>
      <c r="E585" t="inlineStr">
        <is>
          <t>ASSET_CLASS 2</t>
        </is>
      </c>
      <c r="F585" t="inlineStr">
        <is>
          <t>high</t>
        </is>
      </c>
      <c r="G585" t="n">
        <v>214</v>
      </c>
      <c r="H585" t="n">
        <v>-2.592606730693413</v>
      </c>
      <c r="I585" t="inlineStr">
        <is>
          <t>Yes</t>
        </is>
      </c>
      <c r="J585" t="n">
        <v>29</v>
      </c>
      <c r="K585">
        <f>'_pockets'!$AI$613</f>
        <v/>
      </c>
      <c r="L585">
        <f>'_pockets'!$AJ$613</f>
        <v/>
      </c>
      <c r="M585">
        <f>IF(AND($A585='Pockets'!$D$18,$B585='Pockets'!$C$18,OR('Pockets'!$E$18="All",AND('Pockets'!$E$18="Worse and material",$K585="Yes",$L585="Yes"),AND('Pockets'!$E$18="Worse or not sure",OR($K585="Yes",$K585="Not sure")))),1,0)</f>
        <v/>
      </c>
      <c r="N585">
        <f>$N584+$M585</f>
        <v/>
      </c>
      <c r="O585" t="inlineStr">
        <is>
          <t>three-way</t>
        </is>
      </c>
      <c r="P585" t="inlineStr">
        <is>
          <t>contribution_rate</t>
        </is>
      </c>
    </row>
    <row r="586">
      <c r="A586" t="inlineStr">
        <is>
          <t>Split by REV_DEBT</t>
        </is>
      </c>
      <c r="B586" t="inlineStr">
        <is>
          <t>Earned before losses</t>
        </is>
      </c>
      <c r="C586" t="n">
        <v>683</v>
      </c>
      <c r="D586" t="inlineStr">
        <is>
          <t>FICO 654 - 685</t>
        </is>
      </c>
      <c r="E586" t="inlineStr">
        <is>
          <t>ASSET_CLASS 1</t>
        </is>
      </c>
      <c r="F586" t="inlineStr">
        <is>
          <t>high</t>
        </is>
      </c>
      <c r="G586" t="n">
        <v>198</v>
      </c>
      <c r="H586" t="n">
        <v>-2.692557881313351</v>
      </c>
      <c r="I586" t="inlineStr">
        <is>
          <t>Yes</t>
        </is>
      </c>
      <c r="J586" t="n">
        <v>30</v>
      </c>
      <c r="K586">
        <f>'_pockets'!$AI$683</f>
        <v/>
      </c>
      <c r="L586">
        <f>'_pockets'!$AJ$683</f>
        <v/>
      </c>
      <c r="M586">
        <f>IF(AND($A586='Pockets'!$D$18,$B586='Pockets'!$C$18,OR('Pockets'!$E$18="All",AND('Pockets'!$E$18="Worse and material",$K586="Yes",$L586="Yes"),AND('Pockets'!$E$18="Worse or not sure",OR($K586="Yes",$K586="Not sure")))),1,0)</f>
        <v/>
      </c>
      <c r="N586">
        <f>$N585+$M586</f>
        <v/>
      </c>
      <c r="O586" t="inlineStr">
        <is>
          <t>three-way</t>
        </is>
      </c>
      <c r="P586" t="inlineStr">
        <is>
          <t>contribution_rate</t>
        </is>
      </c>
    </row>
    <row r="587">
      <c r="A587" t="inlineStr">
        <is>
          <t>Split by REV_DEBT</t>
        </is>
      </c>
      <c r="B587" t="inlineStr">
        <is>
          <t>Earned before losses</t>
        </is>
      </c>
      <c r="C587" t="n">
        <v>628</v>
      </c>
      <c r="D587" t="inlineStr">
        <is>
          <t>FICO 746 - 921</t>
        </is>
      </c>
      <c r="E587" t="inlineStr">
        <is>
          <t>ASSET_CLASS 2</t>
        </is>
      </c>
      <c r="F587" t="inlineStr">
        <is>
          <t>high</t>
        </is>
      </c>
      <c r="G587" t="n">
        <v>199</v>
      </c>
      <c r="H587" t="n">
        <v>-2.685956322269449</v>
      </c>
      <c r="I587" t="inlineStr">
        <is>
          <t>Yes</t>
        </is>
      </c>
      <c r="J587" t="n">
        <v>31</v>
      </c>
      <c r="K587">
        <f>'_pockets'!$AI$628</f>
        <v/>
      </c>
      <c r="L587">
        <f>'_pockets'!$AJ$628</f>
        <v/>
      </c>
      <c r="M587">
        <f>IF(AND($A587='Pockets'!$D$18,$B587='Pockets'!$C$18,OR('Pockets'!$E$18="All",AND('Pockets'!$E$18="Worse and material",$K587="Yes",$L587="Yes"),AND('Pockets'!$E$18="Worse or not sure",OR($K587="Yes",$K587="Not sure")))),1,0)</f>
        <v/>
      </c>
      <c r="N587">
        <f>$N586+$M587</f>
        <v/>
      </c>
      <c r="O587" t="inlineStr">
        <is>
          <t>three-way</t>
        </is>
      </c>
      <c r="P587" t="inlineStr">
        <is>
          <t>contribution_rate</t>
        </is>
      </c>
    </row>
    <row r="588">
      <c r="A588" t="inlineStr">
        <is>
          <t>Split by REV_DEBT</t>
        </is>
      </c>
      <c r="B588" t="inlineStr">
        <is>
          <t>Earned before losses</t>
        </is>
      </c>
      <c r="C588" t="n">
        <v>638</v>
      </c>
      <c r="D588" t="inlineStr">
        <is>
          <t>FICO 686 - 711</t>
        </is>
      </c>
      <c r="E588" t="inlineStr">
        <is>
          <t>ASSET_CLASS 1</t>
        </is>
      </c>
      <c r="F588" t="inlineStr">
        <is>
          <t>low</t>
        </is>
      </c>
      <c r="G588" t="n">
        <v>186</v>
      </c>
      <c r="H588" t="n">
        <v>-2.77592261519848</v>
      </c>
      <c r="I588" t="inlineStr">
        <is>
          <t>Yes</t>
        </is>
      </c>
      <c r="J588" t="n">
        <v>32</v>
      </c>
      <c r="K588">
        <f>'_pockets'!$AI$638</f>
        <v/>
      </c>
      <c r="L588">
        <f>'_pockets'!$AJ$638</f>
        <v/>
      </c>
      <c r="M588">
        <f>IF(AND($A588='Pockets'!$D$18,$B588='Pockets'!$C$18,OR('Pockets'!$E$18="All",AND('Pockets'!$E$18="Worse and material",$K588="Yes",$L588="Yes"),AND('Pockets'!$E$18="Worse or not sure",OR($K588="Yes",$K588="Not sure")))),1,0)</f>
        <v/>
      </c>
      <c r="N588">
        <f>$N587+$M588</f>
        <v/>
      </c>
      <c r="O588" t="inlineStr">
        <is>
          <t>three-way</t>
        </is>
      </c>
      <c r="P588" t="inlineStr">
        <is>
          <t>contribution_rate</t>
        </is>
      </c>
    </row>
    <row r="589">
      <c r="A589" t="inlineStr">
        <is>
          <t>Split by REV_DEBT</t>
        </is>
      </c>
      <c r="B589" t="inlineStr">
        <is>
          <t>Earned before losses</t>
        </is>
      </c>
      <c r="C589" t="n">
        <v>678</v>
      </c>
      <c r="D589" t="inlineStr">
        <is>
          <t>FICO 746 - 921</t>
        </is>
      </c>
      <c r="E589" t="inlineStr">
        <is>
          <t>ASSET_CLASS 4</t>
        </is>
      </c>
      <c r="F589" t="inlineStr">
        <is>
          <t>low</t>
        </is>
      </c>
      <c r="G589" t="n">
        <v>187</v>
      </c>
      <c r="H589" t="n">
        <v>-2.768667624538487</v>
      </c>
      <c r="I589" t="inlineStr">
        <is>
          <t>Yes</t>
        </is>
      </c>
      <c r="J589" t="n">
        <v>33</v>
      </c>
      <c r="K589">
        <f>'_pockets'!$AI$678</f>
        <v/>
      </c>
      <c r="L589">
        <f>'_pockets'!$AJ$678</f>
        <v/>
      </c>
      <c r="M589">
        <f>IF(AND($A589='Pockets'!$D$18,$B589='Pockets'!$C$18,OR('Pockets'!$E$18="All",AND('Pockets'!$E$18="Worse and material",$K589="Yes",$L589="Yes"),AND('Pockets'!$E$18="Worse or not sure",OR($K589="Yes",$K589="Not sure")))),1,0)</f>
        <v/>
      </c>
      <c r="N589">
        <f>$N588+$M589</f>
        <v/>
      </c>
      <c r="O589" t="inlineStr">
        <is>
          <t>three-way</t>
        </is>
      </c>
      <c r="P589" t="inlineStr">
        <is>
          <t>contribution_rate</t>
        </is>
      </c>
    </row>
    <row r="590">
      <c r="A590" t="inlineStr">
        <is>
          <t>Split by REV_DEBT</t>
        </is>
      </c>
      <c r="B590" t="inlineStr">
        <is>
          <t>Earned before losses</t>
        </is>
      </c>
      <c r="C590" t="n">
        <v>738</v>
      </c>
      <c r="D590" t="inlineStr">
        <is>
          <t>FICO 686 - 711</t>
        </is>
      </c>
      <c r="E590" t="inlineStr">
        <is>
          <t>ASSET_CLASS 2</t>
        </is>
      </c>
      <c r="F590" t="inlineStr">
        <is>
          <t>low</t>
        </is>
      </c>
      <c r="G590" t="n">
        <v>198</v>
      </c>
      <c r="H590" t="n">
        <v>-2.692557881313351</v>
      </c>
      <c r="I590" t="inlineStr">
        <is>
          <t>Yes</t>
        </is>
      </c>
      <c r="J590" t="n">
        <v>34</v>
      </c>
      <c r="K590">
        <f>'_pockets'!$AI$738</f>
        <v/>
      </c>
      <c r="L590">
        <f>'_pockets'!$AJ$738</f>
        <v/>
      </c>
      <c r="M590">
        <f>IF(AND($A590='Pockets'!$D$18,$B590='Pockets'!$C$18,OR('Pockets'!$E$18="All",AND('Pockets'!$E$18="Worse and material",$K590="Yes",$L590="Yes"),AND('Pockets'!$E$18="Worse or not sure",OR($K590="Yes",$K590="Not sure")))),1,0)</f>
        <v/>
      </c>
      <c r="N590">
        <f>$N589+$M590</f>
        <v/>
      </c>
      <c r="O590" t="inlineStr">
        <is>
          <t>three-way</t>
        </is>
      </c>
      <c r="P590" t="inlineStr">
        <is>
          <t>contribution_rate</t>
        </is>
      </c>
    </row>
    <row r="591">
      <c r="A591" t="inlineStr">
        <is>
          <t>Split by REV_DEBT</t>
        </is>
      </c>
      <c r="B591" t="inlineStr">
        <is>
          <t>Earned before losses</t>
        </is>
      </c>
      <c r="C591" t="n">
        <v>698</v>
      </c>
      <c r="D591" t="inlineStr">
        <is>
          <t>FICO 654 - 685</t>
        </is>
      </c>
      <c r="E591" t="inlineStr">
        <is>
          <t>ASSET_CLASS 3</t>
        </is>
      </c>
      <c r="F591" t="inlineStr">
        <is>
          <t>low</t>
        </is>
      </c>
      <c r="G591" t="n">
        <v>189</v>
      </c>
      <c r="H591" t="n">
        <v>-2.754332273822399</v>
      </c>
      <c r="I591" t="inlineStr">
        <is>
          <t>Yes</t>
        </is>
      </c>
      <c r="J591" t="n">
        <v>35</v>
      </c>
      <c r="K591">
        <f>'_pockets'!$AI$698</f>
        <v/>
      </c>
      <c r="L591">
        <f>'_pockets'!$AJ$698</f>
        <v/>
      </c>
      <c r="M591">
        <f>IF(AND($A591='Pockets'!$D$18,$B591='Pockets'!$C$18,OR('Pockets'!$E$18="All",AND('Pockets'!$E$18="Worse and material",$K591="Yes",$L591="Yes"),AND('Pockets'!$E$18="Worse or not sure",OR($K591="Yes",$K591="Not sure")))),1,0)</f>
        <v/>
      </c>
      <c r="N591">
        <f>$N590+$M591</f>
        <v/>
      </c>
      <c r="O591" t="inlineStr">
        <is>
          <t>three-way</t>
        </is>
      </c>
      <c r="P591" t="inlineStr">
        <is>
          <t>contribution_rate</t>
        </is>
      </c>
    </row>
    <row r="592">
      <c r="A592" t="inlineStr">
        <is>
          <t>Split by REV_DEBT</t>
        </is>
      </c>
      <c r="B592" t="inlineStr">
        <is>
          <t>Earned before losses</t>
        </is>
      </c>
      <c r="C592" t="n">
        <v>583</v>
      </c>
      <c r="D592" t="inlineStr">
        <is>
          <t>FICO (marked missing)</t>
        </is>
      </c>
      <c r="E592" t="inlineStr">
        <is>
          <t>Broker</t>
        </is>
      </c>
      <c r="F592" t="inlineStr">
        <is>
          <t>low</t>
        </is>
      </c>
      <c r="G592" t="n">
        <v>27</v>
      </c>
      <c r="H592" t="n">
        <v>-7.212845968057126</v>
      </c>
      <c r="I592" t="inlineStr">
        <is>
          <t>Yes</t>
        </is>
      </c>
      <c r="J592" t="n">
        <v>36</v>
      </c>
      <c r="K592">
        <f>'_pockets'!$AI$583</f>
        <v/>
      </c>
      <c r="L592">
        <f>'_pockets'!$AJ$583</f>
        <v/>
      </c>
      <c r="M592">
        <f>IF(AND($A592='Pockets'!$D$18,$B592='Pockets'!$C$18,OR('Pockets'!$E$18="All",AND('Pockets'!$E$18="Worse and material",$K592="Yes",$L592="Yes"),AND('Pockets'!$E$18="Worse or not sure",OR($K592="Yes",$K592="Not sure")))),1,0)</f>
        <v/>
      </c>
      <c r="N592">
        <f>$N591+$M592</f>
        <v/>
      </c>
      <c r="O592" t="inlineStr">
        <is>
          <t>three-way</t>
        </is>
      </c>
      <c r="P592" t="inlineStr">
        <is>
          <t>contribution_rate</t>
        </is>
      </c>
    </row>
    <row r="593">
      <c r="A593" t="inlineStr">
        <is>
          <t>Split by REV_DEBT</t>
        </is>
      </c>
      <c r="B593" t="inlineStr">
        <is>
          <t>Earned before losses</t>
        </is>
      </c>
      <c r="C593" t="n">
        <v>823</v>
      </c>
      <c r="D593" t="inlineStr">
        <is>
          <t>FICO (marked missing)</t>
        </is>
      </c>
      <c r="E593" t="inlineStr">
        <is>
          <t>ASSET_CLASS 1</t>
        </is>
      </c>
      <c r="F593" t="inlineStr">
        <is>
          <t>low</t>
        </is>
      </c>
      <c r="G593" t="n">
        <v>21</v>
      </c>
      <c r="H593" t="n">
        <v>-8.175522179603087</v>
      </c>
      <c r="I593" t="inlineStr">
        <is>
          <t>Yes</t>
        </is>
      </c>
      <c r="J593" t="n">
        <v>37</v>
      </c>
      <c r="K593">
        <f>'_pockets'!$AI$823</f>
        <v/>
      </c>
      <c r="L593">
        <f>'_pockets'!$AJ$823</f>
        <v/>
      </c>
      <c r="M593">
        <f>IF(AND($A593='Pockets'!$D$18,$B593='Pockets'!$C$18,OR('Pockets'!$E$18="All",AND('Pockets'!$E$18="Worse and material",$K593="Yes",$L593="Yes"),AND('Pockets'!$E$18="Worse or not sure",OR($K593="Yes",$K593="Not sure")))),1,0)</f>
        <v/>
      </c>
      <c r="N593">
        <f>$N592+$M593</f>
        <v/>
      </c>
      <c r="O593" t="inlineStr">
        <is>
          <t>three-way</t>
        </is>
      </c>
      <c r="P593" t="inlineStr">
        <is>
          <t>contribution_rate</t>
        </is>
      </c>
    </row>
    <row r="594">
      <c r="A594" t="inlineStr">
        <is>
          <t>Split by REV_DEBT</t>
        </is>
      </c>
      <c r="B594" t="inlineStr">
        <is>
          <t>Earned before losses</t>
        </is>
      </c>
      <c r="C594" t="n">
        <v>608</v>
      </c>
      <c r="D594" t="inlineStr">
        <is>
          <t>FICO 712 - 745</t>
        </is>
      </c>
      <c r="E594" t="inlineStr">
        <is>
          <t>ASSET_CLASS 1</t>
        </is>
      </c>
      <c r="F594" t="inlineStr">
        <is>
          <t>low</t>
        </is>
      </c>
      <c r="G594" t="n">
        <v>180</v>
      </c>
      <c r="H594" t="n">
        <v>-2.820725722144742</v>
      </c>
      <c r="I594" t="inlineStr">
        <is>
          <t>Yes</t>
        </is>
      </c>
      <c r="J594" t="n">
        <v>38</v>
      </c>
      <c r="K594">
        <f>'_pockets'!$AI$608</f>
        <v/>
      </c>
      <c r="L594">
        <f>'_pockets'!$AJ$608</f>
        <v/>
      </c>
      <c r="M594">
        <f>IF(AND($A594='Pockets'!$D$18,$B594='Pockets'!$C$18,OR('Pockets'!$E$18="All",AND('Pockets'!$E$18="Worse and material",$K594="Yes",$L594="Yes"),AND('Pockets'!$E$18="Worse or not sure",OR($K594="Yes",$K594="Not sure")))),1,0)</f>
        <v/>
      </c>
      <c r="N594">
        <f>$N593+$M594</f>
        <v/>
      </c>
      <c r="O594" t="inlineStr">
        <is>
          <t>three-way</t>
        </is>
      </c>
      <c r="P594" t="inlineStr">
        <is>
          <t>contribution_rate</t>
        </is>
      </c>
    </row>
    <row r="595">
      <c r="A595" t="inlineStr">
        <is>
          <t>Split by REV_DEBT</t>
        </is>
      </c>
      <c r="B595" t="inlineStr">
        <is>
          <t>Earned before losses</t>
        </is>
      </c>
      <c r="C595" t="n">
        <v>763</v>
      </c>
      <c r="D595" t="inlineStr">
        <is>
          <t>FICO 746 - 921</t>
        </is>
      </c>
      <c r="E595" t="inlineStr">
        <is>
          <t>ASSET_CLASS 3</t>
        </is>
      </c>
      <c r="F595" t="inlineStr">
        <is>
          <t>low</t>
        </is>
      </c>
      <c r="G595" t="n">
        <v>193</v>
      </c>
      <c r="H595" t="n">
        <v>-2.726338875237242</v>
      </c>
      <c r="I595" t="inlineStr">
        <is>
          <t>Yes</t>
        </is>
      </c>
      <c r="J595" t="n">
        <v>39</v>
      </c>
      <c r="K595">
        <f>'_pockets'!$AI$763</f>
        <v/>
      </c>
      <c r="L595">
        <f>'_pockets'!$AJ$763</f>
        <v/>
      </c>
      <c r="M595">
        <f>IF(AND($A595='Pockets'!$D$18,$B595='Pockets'!$C$18,OR('Pockets'!$E$18="All",AND('Pockets'!$E$18="Worse and material",$K595="Yes",$L595="Yes"),AND('Pockets'!$E$18="Worse or not sure",OR($K595="Yes",$K595="Not sure")))),1,0)</f>
        <v/>
      </c>
      <c r="N595">
        <f>$N594+$M595</f>
        <v/>
      </c>
      <c r="O595" t="inlineStr">
        <is>
          <t>three-way</t>
        </is>
      </c>
      <c r="P595" t="inlineStr">
        <is>
          <t>contribution_rate</t>
        </is>
      </c>
    </row>
    <row r="596">
      <c r="A596" t="inlineStr">
        <is>
          <t>Split by REV_DEBT</t>
        </is>
      </c>
      <c r="B596" t="inlineStr">
        <is>
          <t>Earned before losses</t>
        </is>
      </c>
      <c r="C596" t="n">
        <v>723</v>
      </c>
      <c r="D596" t="inlineStr">
        <is>
          <t>FICO 746 - 921</t>
        </is>
      </c>
      <c r="E596" t="inlineStr">
        <is>
          <t>ASSET_CLASS 2</t>
        </is>
      </c>
      <c r="F596" t="inlineStr">
        <is>
          <t>low</t>
        </is>
      </c>
      <c r="G596" t="n">
        <v>200</v>
      </c>
      <c r="H596" t="n">
        <v>-2.679404801048149</v>
      </c>
      <c r="I596" t="inlineStr">
        <is>
          <t>Yes</t>
        </is>
      </c>
      <c r="J596" t="n">
        <v>40</v>
      </c>
      <c r="K596">
        <f>'_pockets'!$AI$723</f>
        <v/>
      </c>
      <c r="L596">
        <f>'_pockets'!$AJ$723</f>
        <v/>
      </c>
      <c r="M596">
        <f>IF(AND($A596='Pockets'!$D$18,$B596='Pockets'!$C$18,OR('Pockets'!$E$18="All",AND('Pockets'!$E$18="Worse and material",$K596="Yes",$L596="Yes"),AND('Pockets'!$E$18="Worse or not sure",OR($K596="Yes",$K596="Not sure")))),1,0)</f>
        <v/>
      </c>
      <c r="N596">
        <f>$N595+$M596</f>
        <v/>
      </c>
      <c r="O596" t="inlineStr">
        <is>
          <t>three-way</t>
        </is>
      </c>
      <c r="P596" t="inlineStr">
        <is>
          <t>contribution_rate</t>
        </is>
      </c>
    </row>
    <row r="597">
      <c r="A597" t="inlineStr">
        <is>
          <t>Split by REV_DEBT</t>
        </is>
      </c>
      <c r="B597" t="inlineStr">
        <is>
          <t>Earned before losses</t>
        </is>
      </c>
      <c r="C597" t="n">
        <v>648</v>
      </c>
      <c r="D597" t="inlineStr">
        <is>
          <t>FICO 746 - 921</t>
        </is>
      </c>
      <c r="E597" t="inlineStr">
        <is>
          <t>ASSET_CLASS 1</t>
        </is>
      </c>
      <c r="F597" t="inlineStr">
        <is>
          <t>low</t>
        </is>
      </c>
      <c r="G597" t="n">
        <v>207</v>
      </c>
      <c r="H597" t="n">
        <v>-2.634894127695313</v>
      </c>
      <c r="I597" t="inlineStr">
        <is>
          <t>Yes</t>
        </is>
      </c>
      <c r="J597" t="n">
        <v>41</v>
      </c>
      <c r="K597">
        <f>'_pockets'!$AI$648</f>
        <v/>
      </c>
      <c r="L597">
        <f>'_pockets'!$AJ$648</f>
        <v/>
      </c>
      <c r="M597">
        <f>IF(AND($A597='Pockets'!$D$18,$B597='Pockets'!$C$18,OR('Pockets'!$E$18="All",AND('Pockets'!$E$18="Worse and material",$K597="Yes",$L597="Yes"),AND('Pockets'!$E$18="Worse or not sure",OR($K597="Yes",$K597="Not sure")))),1,0)</f>
        <v/>
      </c>
      <c r="N597">
        <f>$N596+$M597</f>
        <v/>
      </c>
      <c r="O597" t="inlineStr">
        <is>
          <t>three-way</t>
        </is>
      </c>
      <c r="P597" t="inlineStr">
        <is>
          <t>contribution_rate</t>
        </is>
      </c>
    </row>
    <row r="598">
      <c r="A598" t="inlineStr">
        <is>
          <t>Split by REV_DEBT</t>
        </is>
      </c>
      <c r="B598" t="inlineStr">
        <is>
          <t>Earned before losses</t>
        </is>
      </c>
      <c r="C598" t="n">
        <v>833</v>
      </c>
      <c r="D598" t="inlineStr">
        <is>
          <t>FICO (marked missing)</t>
        </is>
      </c>
      <c r="E598" t="inlineStr">
        <is>
          <t>ASSET_CLASS 4</t>
        </is>
      </c>
      <c r="F598" t="inlineStr">
        <is>
          <t>low</t>
        </is>
      </c>
      <c r="G598" t="n">
        <v>20</v>
      </c>
      <c r="H598" t="n">
        <v>-8.376892277164776</v>
      </c>
      <c r="I598" t="inlineStr">
        <is>
          <t>Yes</t>
        </is>
      </c>
      <c r="J598" t="n">
        <v>42</v>
      </c>
      <c r="K598">
        <f>'_pockets'!$AI$833</f>
        <v/>
      </c>
      <c r="L598">
        <f>'_pockets'!$AJ$833</f>
        <v/>
      </c>
      <c r="M598">
        <f>IF(AND($A598='Pockets'!$D$18,$B598='Pockets'!$C$18,OR('Pockets'!$E$18="All",AND('Pockets'!$E$18="Worse and material",$K598="Yes",$L598="Yes"),AND('Pockets'!$E$18="Worse or not sure",OR($K598="Yes",$K598="Not sure")))),1,0)</f>
        <v/>
      </c>
      <c r="N598">
        <f>$N597+$M598</f>
        <v/>
      </c>
      <c r="O598" t="inlineStr">
        <is>
          <t>three-way</t>
        </is>
      </c>
      <c r="P598" t="inlineStr">
        <is>
          <t>contribution_rate</t>
        </is>
      </c>
    </row>
    <row r="599">
      <c r="A599" t="inlineStr">
        <is>
          <t>Split by REV_DEBT</t>
        </is>
      </c>
      <c r="B599" t="inlineStr">
        <is>
          <t>Earned before losses</t>
        </is>
      </c>
      <c r="C599" t="n">
        <v>463</v>
      </c>
      <c r="D599" t="inlineStr">
        <is>
          <t>FICO 746 - 921</t>
        </is>
      </c>
      <c r="E599" t="inlineStr">
        <is>
          <t>Online</t>
        </is>
      </c>
      <c r="F599" t="inlineStr">
        <is>
          <t>high</t>
        </is>
      </c>
      <c r="G599" t="n">
        <v>258</v>
      </c>
      <c r="H599" t="n">
        <v>-2.367906835162637</v>
      </c>
      <c r="I599" t="inlineStr">
        <is>
          <t>Yes</t>
        </is>
      </c>
      <c r="J599" t="n">
        <v>43</v>
      </c>
      <c r="K599">
        <f>'_pockets'!$AI$463</f>
        <v/>
      </c>
      <c r="L599">
        <f>'_pockets'!$AJ$463</f>
        <v/>
      </c>
      <c r="M599">
        <f>IF(AND($A599='Pockets'!$D$18,$B599='Pockets'!$C$18,OR('Pockets'!$E$18="All",AND('Pockets'!$E$18="Worse and material",$K599="Yes",$L599="Yes"),AND('Pockets'!$E$18="Worse or not sure",OR($K599="Yes",$K599="Not sure")))),1,0)</f>
        <v/>
      </c>
      <c r="N599">
        <f>$N598+$M599</f>
        <v/>
      </c>
      <c r="O599" t="inlineStr">
        <is>
          <t>three-way</t>
        </is>
      </c>
      <c r="P599" t="inlineStr">
        <is>
          <t>contribution_rate</t>
        </is>
      </c>
    </row>
    <row r="600">
      <c r="A600" t="inlineStr">
        <is>
          <t>Split by REV_DEBT</t>
        </is>
      </c>
      <c r="B600" t="inlineStr">
        <is>
          <t>Earned before losses</t>
        </is>
      </c>
      <c r="C600" t="n">
        <v>828</v>
      </c>
      <c r="D600" t="inlineStr">
        <is>
          <t>FICO (marked missing)</t>
        </is>
      </c>
      <c r="E600" t="inlineStr">
        <is>
          <t>ASSET_CLASS 2</t>
        </is>
      </c>
      <c r="F600" t="inlineStr">
        <is>
          <t>low</t>
        </is>
      </c>
      <c r="G600" t="n">
        <v>18</v>
      </c>
      <c r="H600" t="n">
        <v>-8.828913181797466</v>
      </c>
      <c r="I600" t="inlineStr">
        <is>
          <t>Yes</t>
        </is>
      </c>
      <c r="J600" t="n">
        <v>44</v>
      </c>
      <c r="K600">
        <f>'_pockets'!$AI$828</f>
        <v/>
      </c>
      <c r="L600">
        <f>'_pockets'!$AJ$828</f>
        <v/>
      </c>
      <c r="M600">
        <f>IF(AND($A600='Pockets'!$D$18,$B600='Pockets'!$C$18,OR('Pockets'!$E$18="All",AND('Pockets'!$E$18="Worse and material",$K600="Yes",$L600="Yes"),AND('Pockets'!$E$18="Worse or not sure",OR($K600="Yes",$K600="Not sure")))),1,0)</f>
        <v/>
      </c>
      <c r="N600">
        <f>$N599+$M600</f>
        <v/>
      </c>
      <c r="O600" t="inlineStr">
        <is>
          <t>three-way</t>
        </is>
      </c>
      <c r="P600" t="inlineStr">
        <is>
          <t>contribution_rate</t>
        </is>
      </c>
    </row>
    <row r="601">
      <c r="A601" t="inlineStr">
        <is>
          <t>Split by REV_DEBT</t>
        </is>
      </c>
      <c r="B601" t="inlineStr">
        <is>
          <t>Earned before losses</t>
        </is>
      </c>
      <c r="C601" t="n">
        <v>788</v>
      </c>
      <c r="D601" t="inlineStr">
        <is>
          <t>FICO 686 - 711</t>
        </is>
      </c>
      <c r="E601" t="inlineStr">
        <is>
          <t>ASSET_CLASS 2</t>
        </is>
      </c>
      <c r="F601" t="inlineStr">
        <is>
          <t>high</t>
        </is>
      </c>
      <c r="G601" t="n">
        <v>197</v>
      </c>
      <c r="H601" t="n">
        <v>-2.699210113297153</v>
      </c>
      <c r="I601" t="inlineStr">
        <is>
          <t>Yes</t>
        </is>
      </c>
      <c r="J601" t="n">
        <v>45</v>
      </c>
      <c r="K601">
        <f>'_pockets'!$AI$788</f>
        <v/>
      </c>
      <c r="L601">
        <f>'_pockets'!$AJ$788</f>
        <v/>
      </c>
      <c r="M601">
        <f>IF(AND($A601='Pockets'!$D$18,$B601='Pockets'!$C$18,OR('Pockets'!$E$18="All",AND('Pockets'!$E$18="Worse and material",$K601="Yes",$L601="Yes"),AND('Pockets'!$E$18="Worse or not sure",OR($K601="Yes",$K601="Not sure")))),1,0)</f>
        <v/>
      </c>
      <c r="N601">
        <f>$N600+$M601</f>
        <v/>
      </c>
      <c r="O601" t="inlineStr">
        <is>
          <t>three-way</t>
        </is>
      </c>
      <c r="P601" t="inlineStr">
        <is>
          <t>contribution_rate</t>
        </is>
      </c>
    </row>
    <row r="602">
      <c r="A602" t="inlineStr">
        <is>
          <t>Split by REV_DEBT</t>
        </is>
      </c>
      <c r="B602" t="inlineStr">
        <is>
          <t>Earned before losses</t>
        </is>
      </c>
      <c r="C602" t="n">
        <v>718</v>
      </c>
      <c r="D602" t="inlineStr">
        <is>
          <t>FICO 654 - 685</t>
        </is>
      </c>
      <c r="E602" t="inlineStr">
        <is>
          <t>ASSET_CLASS 4</t>
        </is>
      </c>
      <c r="F602" t="inlineStr">
        <is>
          <t>high</t>
        </is>
      </c>
      <c r="G602" t="n">
        <v>205</v>
      </c>
      <c r="H602" t="n">
        <v>-2.647376295161963</v>
      </c>
      <c r="I602" t="inlineStr">
        <is>
          <t>Yes</t>
        </is>
      </c>
      <c r="J602" t="n">
        <v>46</v>
      </c>
      <c r="K602">
        <f>'_pockets'!$AI$718</f>
        <v/>
      </c>
      <c r="L602">
        <f>'_pockets'!$AJ$718</f>
        <v/>
      </c>
      <c r="M602">
        <f>IF(AND($A602='Pockets'!$D$18,$B602='Pockets'!$C$18,OR('Pockets'!$E$18="All",AND('Pockets'!$E$18="Worse and material",$K602="Yes",$L602="Yes"),AND('Pockets'!$E$18="Worse or not sure",OR($K602="Yes",$K602="Not sure")))),1,0)</f>
        <v/>
      </c>
      <c r="N602">
        <f>$N601+$M602</f>
        <v/>
      </c>
      <c r="O602" t="inlineStr">
        <is>
          <t>three-way</t>
        </is>
      </c>
      <c r="P602" t="inlineStr">
        <is>
          <t>contribution_rate</t>
        </is>
      </c>
    </row>
    <row r="603">
      <c r="A603" t="inlineStr">
        <is>
          <t>Split by REV_DEBT</t>
        </is>
      </c>
      <c r="B603" t="inlineStr">
        <is>
          <t>Earned before losses</t>
        </is>
      </c>
      <c r="C603" t="n">
        <v>838</v>
      </c>
      <c r="D603" t="inlineStr">
        <is>
          <t>FICO (marked missing)</t>
        </is>
      </c>
      <c r="E603" t="inlineStr">
        <is>
          <t>ASSET_CLASS 2</t>
        </is>
      </c>
      <c r="F603" t="inlineStr">
        <is>
          <t>high</t>
        </is>
      </c>
      <c r="G603" t="n">
        <v>18</v>
      </c>
      <c r="H603" t="n">
        <v>-8.828913181797466</v>
      </c>
      <c r="I603" t="inlineStr">
        <is>
          <t>Yes</t>
        </is>
      </c>
      <c r="J603" t="n">
        <v>47</v>
      </c>
      <c r="K603">
        <f>'_pockets'!$AI$838</f>
        <v/>
      </c>
      <c r="L603">
        <f>'_pockets'!$AJ$838</f>
        <v/>
      </c>
      <c r="M603">
        <f>IF(AND($A603='Pockets'!$D$18,$B603='Pockets'!$C$18,OR('Pockets'!$E$18="All",AND('Pockets'!$E$18="Worse and material",$K603="Yes",$L603="Yes"),AND('Pockets'!$E$18="Worse or not sure",OR($K603="Yes",$K603="Not sure")))),1,0)</f>
        <v/>
      </c>
      <c r="N603">
        <f>$N602+$M603</f>
        <v/>
      </c>
      <c r="O603" t="inlineStr">
        <is>
          <t>three-way</t>
        </is>
      </c>
      <c r="P603" t="inlineStr">
        <is>
          <t>contribution_rate</t>
        </is>
      </c>
    </row>
    <row r="604">
      <c r="A604" t="inlineStr">
        <is>
          <t>Split by REV_DEBT</t>
        </is>
      </c>
      <c r="B604" t="inlineStr">
        <is>
          <t>Earned before losses</t>
        </is>
      </c>
      <c r="C604" t="n">
        <v>418</v>
      </c>
      <c r="D604" t="inlineStr">
        <is>
          <t>FICO (blank)</t>
        </is>
      </c>
      <c r="E604" t="inlineStr">
        <is>
          <t>Broker</t>
        </is>
      </c>
      <c r="F604" t="inlineStr">
        <is>
          <t>low</t>
        </is>
      </c>
      <c r="G604" t="n">
        <v>1</v>
      </c>
      <c r="I604" t="inlineStr">
        <is>
          <t>Yes</t>
        </is>
      </c>
      <c r="J604" t="n">
        <v>48</v>
      </c>
      <c r="K604">
        <f>'_pockets'!$AI$418</f>
        <v/>
      </c>
      <c r="L604">
        <f>'_pockets'!$AJ$418</f>
        <v/>
      </c>
      <c r="M604">
        <f>IF(AND($A604='Pockets'!$D$18,$B604='Pockets'!$C$18,OR('Pockets'!$E$18="All",AND('Pockets'!$E$18="Worse and material",$K604="Yes",$L604="Yes"),AND('Pockets'!$E$18="Worse or not sure",OR($K604="Yes",$K604="Not sure")))),1,0)</f>
        <v/>
      </c>
      <c r="N604">
        <f>$N603+$M604</f>
        <v/>
      </c>
      <c r="O604" t="inlineStr">
        <is>
          <t>three-way</t>
        </is>
      </c>
      <c r="P604" t="inlineStr">
        <is>
          <t>contribution_rate</t>
        </is>
      </c>
    </row>
    <row r="605">
      <c r="A605" t="inlineStr">
        <is>
          <t>Split by REV_DEBT</t>
        </is>
      </c>
      <c r="B605" t="inlineStr">
        <is>
          <t>Earned before losses</t>
        </is>
      </c>
      <c r="C605" t="n">
        <v>603</v>
      </c>
      <c r="D605" t="inlineStr">
        <is>
          <t>FICO (blank)</t>
        </is>
      </c>
      <c r="E605" t="inlineStr">
        <is>
          <t>ASSET_CLASS 2</t>
        </is>
      </c>
      <c r="F605" t="inlineStr">
        <is>
          <t>low</t>
        </is>
      </c>
      <c r="G605" t="n">
        <v>1</v>
      </c>
      <c r="I605" t="inlineStr">
        <is>
          <t>Yes</t>
        </is>
      </c>
      <c r="J605" t="n">
        <v>49</v>
      </c>
      <c r="K605">
        <f>'_pockets'!$AI$603</f>
        <v/>
      </c>
      <c r="L605">
        <f>'_pockets'!$AJ$603</f>
        <v/>
      </c>
      <c r="M605">
        <f>IF(AND($A605='Pockets'!$D$18,$B605='Pockets'!$C$18,OR('Pockets'!$E$18="All",AND('Pockets'!$E$18="Worse and material",$K605="Yes",$L605="Yes"),AND('Pockets'!$E$18="Worse or not sure",OR($K605="Yes",$K605="Not sure")))),1,0)</f>
        <v/>
      </c>
      <c r="N605">
        <f>$N604+$M605</f>
        <v/>
      </c>
      <c r="O605" t="inlineStr">
        <is>
          <t>three-way</t>
        </is>
      </c>
      <c r="P605" t="inlineStr">
        <is>
          <t>contribution_rate</t>
        </is>
      </c>
    </row>
    <row r="606">
      <c r="A606" t="inlineStr">
        <is>
          <t>Split by REV_DEBT</t>
        </is>
      </c>
      <c r="B606" t="inlineStr">
        <is>
          <t>Earned before losses</t>
        </is>
      </c>
      <c r="C606" t="n">
        <v>548</v>
      </c>
      <c r="D606" t="inlineStr">
        <is>
          <t>FICO 746 - 921</t>
        </is>
      </c>
      <c r="E606" t="inlineStr">
        <is>
          <t>Branch</t>
        </is>
      </c>
      <c r="F606" t="inlineStr">
        <is>
          <t>high</t>
        </is>
      </c>
      <c r="G606" t="n">
        <v>259</v>
      </c>
      <c r="H606" t="n">
        <v>-2.363483850272235</v>
      </c>
      <c r="I606" t="inlineStr">
        <is>
          <t>Yes</t>
        </is>
      </c>
      <c r="J606" t="n">
        <v>50</v>
      </c>
      <c r="K606">
        <f>'_pockets'!$AI$548</f>
        <v/>
      </c>
      <c r="L606">
        <f>'_pockets'!$AJ$548</f>
        <v/>
      </c>
      <c r="M606">
        <f>IF(AND($A606='Pockets'!$D$18,$B606='Pockets'!$C$18,OR('Pockets'!$E$18="All",AND('Pockets'!$E$18="Worse and material",$K606="Yes",$L606="Yes"),AND('Pockets'!$E$18="Worse or not sure",OR($K606="Yes",$K606="Not sure")))),1,0)</f>
        <v/>
      </c>
      <c r="N606">
        <f>$N605+$M606</f>
        <v/>
      </c>
      <c r="O606" t="inlineStr">
        <is>
          <t>three-way</t>
        </is>
      </c>
      <c r="P606" t="inlineStr">
        <is>
          <t>contribution_rate</t>
        </is>
      </c>
    </row>
    <row r="607">
      <c r="A607" t="inlineStr">
        <is>
          <t>Split by REV_DEBT</t>
        </is>
      </c>
      <c r="B607" t="inlineStr">
        <is>
          <t>Earned before losses</t>
        </is>
      </c>
      <c r="C607" t="n">
        <v>438</v>
      </c>
      <c r="D607" t="inlineStr">
        <is>
          <t>FICO 746 - 921</t>
        </is>
      </c>
      <c r="E607" t="inlineStr">
        <is>
          <t>Branch</t>
        </is>
      </c>
      <c r="F607" t="inlineStr">
        <is>
          <t>low</t>
        </is>
      </c>
      <c r="G607" t="n">
        <v>259</v>
      </c>
      <c r="H607" t="n">
        <v>-2.363483850272235</v>
      </c>
      <c r="I607" t="inlineStr">
        <is>
          <t>Yes</t>
        </is>
      </c>
      <c r="J607" t="n">
        <v>51</v>
      </c>
      <c r="K607">
        <f>'_pockets'!$AI$438</f>
        <v/>
      </c>
      <c r="L607">
        <f>'_pockets'!$AJ$438</f>
        <v/>
      </c>
      <c r="M607">
        <f>IF(AND($A607='Pockets'!$D$18,$B607='Pockets'!$C$18,OR('Pockets'!$E$18="All",AND('Pockets'!$E$18="Worse and material",$K607="Yes",$L607="Yes"),AND('Pockets'!$E$18="Worse or not sure",OR($K607="Yes",$K607="Not sure")))),1,0)</f>
        <v/>
      </c>
      <c r="N607">
        <f>$N606+$M607</f>
        <v/>
      </c>
      <c r="O607" t="inlineStr">
        <is>
          <t>three-way</t>
        </is>
      </c>
      <c r="P607" t="inlineStr">
        <is>
          <t>contribution_rate</t>
        </is>
      </c>
    </row>
    <row r="608">
      <c r="A608" t="inlineStr">
        <is>
          <t>Split by REV_DEBT</t>
        </is>
      </c>
      <c r="B608" t="inlineStr">
        <is>
          <t>Earned before losses</t>
        </is>
      </c>
      <c r="C608" t="n">
        <v>543</v>
      </c>
      <c r="D608" t="inlineStr">
        <is>
          <t>FICO 746 - 921</t>
        </is>
      </c>
      <c r="E608" t="inlineStr">
        <is>
          <t>Broker</t>
        </is>
      </c>
      <c r="F608" t="inlineStr">
        <is>
          <t>high</t>
        </is>
      </c>
      <c r="G608" t="n">
        <v>268</v>
      </c>
      <c r="H608" t="n">
        <v>-2.324811795742961</v>
      </c>
      <c r="I608" t="inlineStr">
        <is>
          <t>Yes</t>
        </is>
      </c>
      <c r="J608" t="n">
        <v>52</v>
      </c>
      <c r="K608">
        <f>'_pockets'!$AI$543</f>
        <v/>
      </c>
      <c r="L608">
        <f>'_pockets'!$AJ$543</f>
        <v/>
      </c>
      <c r="M608">
        <f>IF(AND($A608='Pockets'!$D$18,$B608='Pockets'!$C$18,OR('Pockets'!$E$18="All",AND('Pockets'!$E$18="Worse and material",$K608="Yes",$L608="Yes"),AND('Pockets'!$E$18="Worse or not sure",OR($K608="Yes",$K608="Not sure")))),1,0)</f>
        <v/>
      </c>
      <c r="N608">
        <f>$N607+$M608</f>
        <v/>
      </c>
      <c r="O608" t="inlineStr">
        <is>
          <t>three-way</t>
        </is>
      </c>
      <c r="P608" t="inlineStr">
        <is>
          <t>contribution_rate</t>
        </is>
      </c>
    </row>
    <row r="609">
      <c r="A609" t="inlineStr">
        <is>
          <t>Split by REV_DEBT</t>
        </is>
      </c>
      <c r="B609" t="inlineStr">
        <is>
          <t>Earned before losses</t>
        </is>
      </c>
      <c r="C609" t="n">
        <v>658</v>
      </c>
      <c r="D609" t="inlineStr">
        <is>
          <t>FICO 746 - 921</t>
        </is>
      </c>
      <c r="E609" t="inlineStr">
        <is>
          <t>ASSET_CLASS 1</t>
        </is>
      </c>
      <c r="F609" t="inlineStr">
        <is>
          <t>high</t>
        </is>
      </c>
      <c r="G609" t="n">
        <v>207</v>
      </c>
      <c r="H609" t="n">
        <v>-2.634894127695313</v>
      </c>
      <c r="I609" t="inlineStr">
        <is>
          <t>Yes</t>
        </is>
      </c>
      <c r="J609" t="n">
        <v>53</v>
      </c>
      <c r="K609">
        <f>'_pockets'!$AI$658</f>
        <v/>
      </c>
      <c r="L609">
        <f>'_pockets'!$AJ$658</f>
        <v/>
      </c>
      <c r="M609">
        <f>IF(AND($A609='Pockets'!$D$18,$B609='Pockets'!$C$18,OR('Pockets'!$E$18="All",AND('Pockets'!$E$18="Worse and material",$K609="Yes",$L609="Yes"),AND('Pockets'!$E$18="Worse or not sure",OR($K609="Yes",$K609="Not sure")))),1,0)</f>
        <v/>
      </c>
      <c r="N609">
        <f>$N608+$M609</f>
        <v/>
      </c>
      <c r="O609" t="inlineStr">
        <is>
          <t>three-way</t>
        </is>
      </c>
      <c r="P609" t="inlineStr">
        <is>
          <t>contribution_rate</t>
        </is>
      </c>
    </row>
    <row r="610">
      <c r="A610" t="inlineStr">
        <is>
          <t>Split by REV_DEBT</t>
        </is>
      </c>
      <c r="B610" t="inlineStr">
        <is>
          <t>Earned before losses</t>
        </is>
      </c>
      <c r="C610" t="n">
        <v>703</v>
      </c>
      <c r="D610" t="inlineStr">
        <is>
          <t>FICO 746 - 921</t>
        </is>
      </c>
      <c r="E610" t="inlineStr">
        <is>
          <t>ASSET_CLASS 3</t>
        </is>
      </c>
      <c r="F610" t="inlineStr">
        <is>
          <t>high</t>
        </is>
      </c>
      <c r="G610" t="n">
        <v>192</v>
      </c>
      <c r="H610" t="n">
        <v>-2.733254404703814</v>
      </c>
      <c r="I610" t="inlineStr">
        <is>
          <t>Yes</t>
        </is>
      </c>
      <c r="J610" t="n">
        <v>54</v>
      </c>
      <c r="K610">
        <f>'_pockets'!$AI$703</f>
        <v/>
      </c>
      <c r="L610">
        <f>'_pockets'!$AJ$703</f>
        <v/>
      </c>
      <c r="M610">
        <f>IF(AND($A610='Pockets'!$D$18,$B610='Pockets'!$C$18,OR('Pockets'!$E$18="All",AND('Pockets'!$E$18="Worse and material",$K610="Yes",$L610="Yes"),AND('Pockets'!$E$18="Worse or not sure",OR($K610="Yes",$K610="Not sure")))),1,0)</f>
        <v/>
      </c>
      <c r="N610">
        <f>$N609+$M610</f>
        <v/>
      </c>
      <c r="O610" t="inlineStr">
        <is>
          <t>three-way</t>
        </is>
      </c>
      <c r="P610" t="inlineStr">
        <is>
          <t>contribution_rate</t>
        </is>
      </c>
    </row>
    <row r="611">
      <c r="A611" t="inlineStr">
        <is>
          <t>Split by REV_DEBT</t>
        </is>
      </c>
      <c r="B611" t="inlineStr">
        <is>
          <t>Earned before losses</t>
        </is>
      </c>
      <c r="C611" t="n">
        <v>758</v>
      </c>
      <c r="D611" t="inlineStr">
        <is>
          <t>FICO 746 - 921</t>
        </is>
      </c>
      <c r="E611" t="inlineStr">
        <is>
          <t>ASSET_CLASS 4</t>
        </is>
      </c>
      <c r="F611" t="inlineStr">
        <is>
          <t>high</t>
        </is>
      </c>
      <c r="G611" t="n">
        <v>186</v>
      </c>
      <c r="H611" t="n">
        <v>-2.77592261519848</v>
      </c>
      <c r="I611" t="inlineStr">
        <is>
          <t>Yes</t>
        </is>
      </c>
      <c r="J611" t="n">
        <v>55</v>
      </c>
      <c r="K611">
        <f>'_pockets'!$AI$758</f>
        <v/>
      </c>
      <c r="L611">
        <f>'_pockets'!$AJ$758</f>
        <v/>
      </c>
      <c r="M611">
        <f>IF(AND($A611='Pockets'!$D$18,$B611='Pockets'!$C$18,OR('Pockets'!$E$18="All",AND('Pockets'!$E$18="Worse and material",$K611="Yes",$L611="Yes"),AND('Pockets'!$E$18="Worse or not sure",OR($K611="Yes",$K611="Not sure")))),1,0)</f>
        <v/>
      </c>
      <c r="N611">
        <f>$N610+$M611</f>
        <v/>
      </c>
      <c r="O611" t="inlineStr">
        <is>
          <t>three-way</t>
        </is>
      </c>
      <c r="P611" t="inlineStr">
        <is>
          <t>contribution_rate</t>
        </is>
      </c>
    </row>
    <row r="612">
      <c r="A612" t="inlineStr">
        <is>
          <t>Split by REV_DEBT</t>
        </is>
      </c>
      <c r="B612" t="inlineStr">
        <is>
          <t>Earned before losses</t>
        </is>
      </c>
      <c r="C612" t="n">
        <v>768</v>
      </c>
      <c r="D612" t="inlineStr">
        <is>
          <t>FICO 712 - 745</t>
        </is>
      </c>
      <c r="E612" t="inlineStr">
        <is>
          <t>ASSET_CLASS 3</t>
        </is>
      </c>
      <c r="F612" t="inlineStr">
        <is>
          <t>high</t>
        </is>
      </c>
      <c r="G612" t="n">
        <v>196</v>
      </c>
      <c r="H612" t="n">
        <v>-2.705913664673004</v>
      </c>
      <c r="I612" t="inlineStr">
        <is>
          <t>Yes</t>
        </is>
      </c>
      <c r="J612" t="n">
        <v>56</v>
      </c>
      <c r="K612">
        <f>'_pockets'!$AI$768</f>
        <v/>
      </c>
      <c r="L612">
        <f>'_pockets'!$AJ$768</f>
        <v/>
      </c>
      <c r="M612">
        <f>IF(AND($A612='Pockets'!$D$18,$B612='Pockets'!$C$18,OR('Pockets'!$E$18="All",AND('Pockets'!$E$18="Worse and material",$K612="Yes",$L612="Yes"),AND('Pockets'!$E$18="Worse or not sure",OR($K612="Yes",$K612="Not sure")))),1,0)</f>
        <v/>
      </c>
      <c r="N612">
        <f>$N611+$M612</f>
        <v/>
      </c>
      <c r="O612" t="inlineStr">
        <is>
          <t>three-way</t>
        </is>
      </c>
      <c r="P612" t="inlineStr">
        <is>
          <t>contribution_rate</t>
        </is>
      </c>
    </row>
    <row r="613">
      <c r="A613" t="inlineStr">
        <is>
          <t>Split by REV_DEBT</t>
        </is>
      </c>
      <c r="B613" t="inlineStr">
        <is>
          <t>Earned before losses</t>
        </is>
      </c>
      <c r="C613" t="n">
        <v>743</v>
      </c>
      <c r="D613" t="inlineStr">
        <is>
          <t>FICO 712 - 745</t>
        </is>
      </c>
      <c r="E613" t="inlineStr">
        <is>
          <t>ASSET_CLASS 1</t>
        </is>
      </c>
      <c r="F613" t="inlineStr">
        <is>
          <t>high</t>
        </is>
      </c>
      <c r="G613" t="n">
        <v>180</v>
      </c>
      <c r="H613" t="n">
        <v>-2.820725722144742</v>
      </c>
      <c r="I613" t="inlineStr">
        <is>
          <t>Yes</t>
        </is>
      </c>
      <c r="J613" t="n">
        <v>57</v>
      </c>
      <c r="K613">
        <f>'_pockets'!$AI$743</f>
        <v/>
      </c>
      <c r="L613">
        <f>'_pockets'!$AJ$743</f>
        <v/>
      </c>
      <c r="M613">
        <f>IF(AND($A613='Pockets'!$D$18,$B613='Pockets'!$C$18,OR('Pockets'!$E$18="All",AND('Pockets'!$E$18="Worse and material",$K613="Yes",$L613="Yes"),AND('Pockets'!$E$18="Worse or not sure",OR($K613="Yes",$K613="Not sure")))),1,0)</f>
        <v/>
      </c>
      <c r="N613">
        <f>$N612+$M613</f>
        <v/>
      </c>
      <c r="O613" t="inlineStr">
        <is>
          <t>three-way</t>
        </is>
      </c>
      <c r="P613" t="inlineStr">
        <is>
          <t>contribution_rate</t>
        </is>
      </c>
    </row>
    <row r="614">
      <c r="A614" t="inlineStr">
        <is>
          <t>Split by REV_DEBT</t>
        </is>
      </c>
      <c r="B614" t="inlineStr">
        <is>
          <t>Earned before losses</t>
        </is>
      </c>
      <c r="C614" t="n">
        <v>643</v>
      </c>
      <c r="D614" t="inlineStr">
        <is>
          <t>FICO 712 - 745</t>
        </is>
      </c>
      <c r="E614" t="inlineStr">
        <is>
          <t>ASSET_CLASS 4</t>
        </is>
      </c>
      <c r="F614" t="inlineStr">
        <is>
          <t>low</t>
        </is>
      </c>
      <c r="G614" t="n">
        <v>214</v>
      </c>
      <c r="H614" t="n">
        <v>-2.592606730693413</v>
      </c>
      <c r="I614" t="inlineStr">
        <is>
          <t>Yes</t>
        </is>
      </c>
      <c r="J614" t="n">
        <v>58</v>
      </c>
      <c r="K614">
        <f>'_pockets'!$AI$643</f>
        <v/>
      </c>
      <c r="L614">
        <f>'_pockets'!$AJ$643</f>
        <v/>
      </c>
      <c r="M614">
        <f>IF(AND($A614='Pockets'!$D$18,$B614='Pockets'!$C$18,OR('Pockets'!$E$18="All",AND('Pockets'!$E$18="Worse and material",$K614="Yes",$L614="Yes"),AND('Pockets'!$E$18="Worse or not sure",OR($K614="Yes",$K614="Not sure")))),1,0)</f>
        <v/>
      </c>
      <c r="N614">
        <f>$N613+$M614</f>
        <v/>
      </c>
      <c r="O614" t="inlineStr">
        <is>
          <t>three-way</t>
        </is>
      </c>
      <c r="P614" t="inlineStr">
        <is>
          <t>contribution_rate</t>
        </is>
      </c>
    </row>
    <row r="615">
      <c r="A615" t="inlineStr">
        <is>
          <t>Split by REV_DEBT</t>
        </is>
      </c>
      <c r="B615" t="inlineStr">
        <is>
          <t>Earned before losses</t>
        </is>
      </c>
      <c r="C615" t="n">
        <v>623</v>
      </c>
      <c r="D615" t="inlineStr">
        <is>
          <t>FICO 712 - 745</t>
        </is>
      </c>
      <c r="E615" t="inlineStr">
        <is>
          <t>ASSET_CLASS 4</t>
        </is>
      </c>
      <c r="F615" t="inlineStr">
        <is>
          <t>high</t>
        </is>
      </c>
      <c r="G615" t="n">
        <v>213</v>
      </c>
      <c r="H615" t="n">
        <v>-2.598518626858829</v>
      </c>
      <c r="I615" t="inlineStr">
        <is>
          <t>Yes</t>
        </is>
      </c>
      <c r="J615" t="n">
        <v>59</v>
      </c>
      <c r="K615">
        <f>'_pockets'!$AI$623</f>
        <v/>
      </c>
      <c r="L615">
        <f>'_pockets'!$AJ$623</f>
        <v/>
      </c>
      <c r="M615">
        <f>IF(AND($A615='Pockets'!$D$18,$B615='Pockets'!$C$18,OR('Pockets'!$E$18="All",AND('Pockets'!$E$18="Worse and material",$K615="Yes",$L615="Yes"),AND('Pockets'!$E$18="Worse or not sure",OR($K615="Yes",$K615="Not sure")))),1,0)</f>
        <v/>
      </c>
      <c r="N615">
        <f>$N614+$M615</f>
        <v/>
      </c>
      <c r="O615" t="inlineStr">
        <is>
          <t>three-way</t>
        </is>
      </c>
      <c r="P615" t="inlineStr">
        <is>
          <t>contribution_rate</t>
        </is>
      </c>
    </row>
    <row r="616">
      <c r="A616" t="inlineStr">
        <is>
          <t>Split by REV_DEBT</t>
        </is>
      </c>
      <c r="B616" t="inlineStr">
        <is>
          <t>Earned before losses</t>
        </is>
      </c>
      <c r="C616" t="n">
        <v>468</v>
      </c>
      <c r="D616" t="inlineStr">
        <is>
          <t>FICO 712 - 745</t>
        </is>
      </c>
      <c r="E616" t="inlineStr">
        <is>
          <t>Online</t>
        </is>
      </c>
      <c r="F616" t="inlineStr">
        <is>
          <t>high</t>
        </is>
      </c>
      <c r="G616" t="n">
        <v>282</v>
      </c>
      <c r="H616" t="n">
        <v>-2.268424247288259</v>
      </c>
      <c r="I616" t="inlineStr">
        <is>
          <t>Yes</t>
        </is>
      </c>
      <c r="J616" t="n">
        <v>60</v>
      </c>
      <c r="K616">
        <f>'_pockets'!$AI$468</f>
        <v/>
      </c>
      <c r="L616">
        <f>'_pockets'!$AJ$468</f>
        <v/>
      </c>
      <c r="M616">
        <f>IF(AND($A616='Pockets'!$D$18,$B616='Pockets'!$C$18,OR('Pockets'!$E$18="All",AND('Pockets'!$E$18="Worse and material",$K616="Yes",$L616="Yes"),AND('Pockets'!$E$18="Worse or not sure",OR($K616="Yes",$K616="Not sure")))),1,0)</f>
        <v/>
      </c>
      <c r="N616">
        <f>$N615+$M616</f>
        <v/>
      </c>
      <c r="O616" t="inlineStr">
        <is>
          <t>three-way</t>
        </is>
      </c>
      <c r="P616" t="inlineStr">
        <is>
          <t>contribution_rate</t>
        </is>
      </c>
    </row>
    <row r="617">
      <c r="A617" t="inlineStr">
        <is>
          <t>Split by REV_DEBT</t>
        </is>
      </c>
      <c r="B617" t="inlineStr">
        <is>
          <t>Earned before losses</t>
        </is>
      </c>
      <c r="C617" t="n">
        <v>453</v>
      </c>
      <c r="D617" t="inlineStr">
        <is>
          <t>FICO 712 - 745</t>
        </is>
      </c>
      <c r="E617" t="inlineStr">
        <is>
          <t>Online</t>
        </is>
      </c>
      <c r="F617" t="inlineStr">
        <is>
          <t>low</t>
        </is>
      </c>
      <c r="G617" t="n">
        <v>282</v>
      </c>
      <c r="H617" t="n">
        <v>-2.268424247288259</v>
      </c>
      <c r="I617" t="inlineStr">
        <is>
          <t>Yes</t>
        </is>
      </c>
      <c r="J617" t="n">
        <v>61</v>
      </c>
      <c r="K617">
        <f>'_pockets'!$AI$453</f>
        <v/>
      </c>
      <c r="L617">
        <f>'_pockets'!$AJ$453</f>
        <v/>
      </c>
      <c r="M617">
        <f>IF(AND($A617='Pockets'!$D$18,$B617='Pockets'!$C$18,OR('Pockets'!$E$18="All",AND('Pockets'!$E$18="Worse and material",$K617="Yes",$L617="Yes"),AND('Pockets'!$E$18="Worse or not sure",OR($K617="Yes",$K617="Not sure")))),1,0)</f>
        <v/>
      </c>
      <c r="N617">
        <f>$N616+$M617</f>
        <v/>
      </c>
      <c r="O617" t="inlineStr">
        <is>
          <t>three-way</t>
        </is>
      </c>
      <c r="P617" t="inlineStr">
        <is>
          <t>contribution_rate</t>
        </is>
      </c>
    </row>
    <row r="618">
      <c r="A618" t="inlineStr">
        <is>
          <t>Split by REV_DEBT</t>
        </is>
      </c>
      <c r="B618" t="inlineStr">
        <is>
          <t>Earned before losses</t>
        </is>
      </c>
      <c r="C618" t="n">
        <v>973</v>
      </c>
      <c r="D618" t="inlineStr">
        <is>
          <t>ORIG_BAL 49,152 - 59,984</t>
        </is>
      </c>
      <c r="E618" t="inlineStr">
        <is>
          <t>Broker</t>
        </is>
      </c>
      <c r="F618" t="inlineStr">
        <is>
          <t>low</t>
        </is>
      </c>
      <c r="G618" t="n">
        <v>260</v>
      </c>
      <c r="H618" t="n">
        <v>-2.359086730649074</v>
      </c>
      <c r="I618" t="inlineStr">
        <is>
          <t>No: may be mostly FICO</t>
        </is>
      </c>
      <c r="J618" t="n">
        <v>62</v>
      </c>
      <c r="K618">
        <f>'_pockets'!$AI$973</f>
        <v/>
      </c>
      <c r="L618">
        <f>'_pockets'!$AJ$973</f>
        <v/>
      </c>
      <c r="M618">
        <f>IF(AND($A618='Pockets'!$D$18,$B618='Pockets'!$C$18,OR('Pockets'!$E$18="All",AND('Pockets'!$E$18="Worse and material",$K618="Yes",$L618="Yes"),AND('Pockets'!$E$18="Worse or not sure",OR($K618="Yes",$K618="Not sure")))),1,0)</f>
        <v/>
      </c>
      <c r="N618">
        <f>$N617+$M618</f>
        <v/>
      </c>
      <c r="O618" t="inlineStr">
        <is>
          <t>three-way</t>
        </is>
      </c>
      <c r="P618" t="inlineStr">
        <is>
          <t>contribution_rate</t>
        </is>
      </c>
    </row>
    <row r="619">
      <c r="A619" t="inlineStr">
        <is>
          <t>Split by REV_DEBT</t>
        </is>
      </c>
      <c r="B619" t="inlineStr">
        <is>
          <t>Earned before losses</t>
        </is>
      </c>
      <c r="C619" t="n">
        <v>853</v>
      </c>
      <c r="D619" t="inlineStr">
        <is>
          <t>ORIG_BAL 37,951 - 49,151</t>
        </is>
      </c>
      <c r="E619" t="inlineStr">
        <is>
          <t>Branch</t>
        </is>
      </c>
      <c r="F619" t="inlineStr">
        <is>
          <t>low</t>
        </is>
      </c>
      <c r="G619" t="n">
        <v>262</v>
      </c>
      <c r="H619" t="n">
        <v>-2.350369096807564</v>
      </c>
      <c r="I619" t="inlineStr">
        <is>
          <t>No: may be mostly FICO</t>
        </is>
      </c>
      <c r="J619" t="n">
        <v>63</v>
      </c>
      <c r="K619">
        <f>'_pockets'!$AI$853</f>
        <v/>
      </c>
      <c r="L619">
        <f>'_pockets'!$AJ$853</f>
        <v/>
      </c>
      <c r="M619">
        <f>IF(AND($A619='Pockets'!$D$18,$B619='Pockets'!$C$18,OR('Pockets'!$E$18="All",AND('Pockets'!$E$18="Worse and material",$K619="Yes",$L619="Yes"),AND('Pockets'!$E$18="Worse or not sure",OR($K619="Yes",$K619="Not sure")))),1,0)</f>
        <v/>
      </c>
      <c r="N619">
        <f>$N618+$M619</f>
        <v/>
      </c>
      <c r="O619" t="inlineStr">
        <is>
          <t>three-way</t>
        </is>
      </c>
      <c r="P619" t="inlineStr">
        <is>
          <t>contribution_rate</t>
        </is>
      </c>
    </row>
    <row r="620">
      <c r="A620" t="inlineStr">
        <is>
          <t>Split by REV_DEBT</t>
        </is>
      </c>
      <c r="B620" t="inlineStr">
        <is>
          <t>Earned before losses</t>
        </is>
      </c>
      <c r="C620" t="n">
        <v>928</v>
      </c>
      <c r="D620" t="inlineStr">
        <is>
          <t>ORIG_BAL 49,152 - 59,984</t>
        </is>
      </c>
      <c r="E620" t="inlineStr">
        <is>
          <t>Branch</t>
        </is>
      </c>
      <c r="F620" t="inlineStr">
        <is>
          <t>low</t>
        </is>
      </c>
      <c r="G620" t="n">
        <v>258</v>
      </c>
      <c r="H620" t="n">
        <v>-2.367906835162637</v>
      </c>
      <c r="I620" t="inlineStr">
        <is>
          <t>No: may be mostly FICO</t>
        </is>
      </c>
      <c r="J620" t="n">
        <v>64</v>
      </c>
      <c r="K620">
        <f>'_pockets'!$AI$928</f>
        <v/>
      </c>
      <c r="L620">
        <f>'_pockets'!$AJ$928</f>
        <v/>
      </c>
      <c r="M620">
        <f>IF(AND($A620='Pockets'!$D$18,$B620='Pockets'!$C$18,OR('Pockets'!$E$18="All",AND('Pockets'!$E$18="Worse and material",$K620="Yes",$L620="Yes"),AND('Pockets'!$E$18="Worse or not sure",OR($K620="Yes",$K620="Not sure")))),1,0)</f>
        <v/>
      </c>
      <c r="N620">
        <f>$N619+$M620</f>
        <v/>
      </c>
      <c r="O620" t="inlineStr">
        <is>
          <t>three-way</t>
        </is>
      </c>
      <c r="P620" t="inlineStr">
        <is>
          <t>contribution_rate</t>
        </is>
      </c>
    </row>
    <row r="621">
      <c r="A621" t="inlineStr">
        <is>
          <t>Split by REV_DEBT</t>
        </is>
      </c>
      <c r="B621" t="inlineStr">
        <is>
          <t>Earned before losses</t>
        </is>
      </c>
      <c r="C621" t="n">
        <v>1113</v>
      </c>
      <c r="D621" t="inlineStr">
        <is>
          <t>ORIG_BAL 49,152 - 59,984</t>
        </is>
      </c>
      <c r="E621" t="inlineStr">
        <is>
          <t>ASSET_CLASS 2</t>
        </is>
      </c>
      <c r="F621" t="inlineStr">
        <is>
          <t>low</t>
        </is>
      </c>
      <c r="G621" t="n">
        <v>199</v>
      </c>
      <c r="H621" t="n">
        <v>-2.685956322269449</v>
      </c>
      <c r="I621" t="inlineStr">
        <is>
          <t>No: may be mostly FICO</t>
        </is>
      </c>
      <c r="J621" t="n">
        <v>65</v>
      </c>
      <c r="K621">
        <f>'_pockets'!$AI$1113</f>
        <v/>
      </c>
      <c r="L621">
        <f>'_pockets'!$AJ$1113</f>
        <v/>
      </c>
      <c r="M621">
        <f>IF(AND($A621='Pockets'!$D$18,$B621='Pockets'!$C$18,OR('Pockets'!$E$18="All",AND('Pockets'!$E$18="Worse and material",$K621="Yes",$L621="Yes"),AND('Pockets'!$E$18="Worse or not sure",OR($K621="Yes",$K621="Not sure")))),1,0)</f>
        <v/>
      </c>
      <c r="N621">
        <f>$N620+$M621</f>
        <v/>
      </c>
      <c r="O621" t="inlineStr">
        <is>
          <t>three-way</t>
        </is>
      </c>
      <c r="P621" t="inlineStr">
        <is>
          <t>contribution_rate</t>
        </is>
      </c>
    </row>
    <row r="622">
      <c r="A622" t="inlineStr">
        <is>
          <t>Split by REV_DEBT</t>
        </is>
      </c>
      <c r="B622" t="inlineStr">
        <is>
          <t>Earned before losses</t>
        </is>
      </c>
      <c r="C622" t="n">
        <v>888</v>
      </c>
      <c r="D622" t="inlineStr">
        <is>
          <t>ORIG_BAL 37,951 - 49,151</t>
        </is>
      </c>
      <c r="E622" t="inlineStr">
        <is>
          <t>Broker</t>
        </is>
      </c>
      <c r="F622" t="inlineStr">
        <is>
          <t>low</t>
        </is>
      </c>
      <c r="G622" t="n">
        <v>266</v>
      </c>
      <c r="H622" t="n">
        <v>-2.333233501000778</v>
      </c>
      <c r="I622" t="inlineStr">
        <is>
          <t>No: may be mostly FICO</t>
        </is>
      </c>
      <c r="J622" t="n">
        <v>66</v>
      </c>
      <c r="K622">
        <f>'_pockets'!$AI$888</f>
        <v/>
      </c>
      <c r="L622">
        <f>'_pockets'!$AJ$888</f>
        <v/>
      </c>
      <c r="M622">
        <f>IF(AND($A622='Pockets'!$D$18,$B622='Pockets'!$C$18,OR('Pockets'!$E$18="All",AND('Pockets'!$E$18="Worse and material",$K622="Yes",$L622="Yes"),AND('Pockets'!$E$18="Worse or not sure",OR($K622="Yes",$K622="Not sure")))),1,0)</f>
        <v/>
      </c>
      <c r="N622">
        <f>$N621+$M622</f>
        <v/>
      </c>
      <c r="O622" t="inlineStr">
        <is>
          <t>three-way</t>
        </is>
      </c>
      <c r="P622" t="inlineStr">
        <is>
          <t>contribution_rate</t>
        </is>
      </c>
    </row>
    <row r="623">
      <c r="A623" t="inlineStr">
        <is>
          <t>Split by REV_DEBT</t>
        </is>
      </c>
      <c r="B623" t="inlineStr">
        <is>
          <t>Earned before losses</t>
        </is>
      </c>
      <c r="C623" t="n">
        <v>1023</v>
      </c>
      <c r="D623" t="inlineStr">
        <is>
          <t>ORIG_BAL 37,951 - 49,151</t>
        </is>
      </c>
      <c r="E623" t="inlineStr">
        <is>
          <t>ASSET_CLASS 2</t>
        </is>
      </c>
      <c r="F623" t="inlineStr">
        <is>
          <t>low</t>
        </is>
      </c>
      <c r="G623" t="n">
        <v>210</v>
      </c>
      <c r="H623" t="n">
        <v>-2.61650955889408</v>
      </c>
      <c r="I623" t="inlineStr">
        <is>
          <t>No: may be mostly FICO</t>
        </is>
      </c>
      <c r="J623" t="n">
        <v>67</v>
      </c>
      <c r="K623">
        <f>'_pockets'!$AI$1023</f>
        <v/>
      </c>
      <c r="L623">
        <f>'_pockets'!$AJ$1023</f>
        <v/>
      </c>
      <c r="M623">
        <f>IF(AND($A623='Pockets'!$D$18,$B623='Pockets'!$C$18,OR('Pockets'!$E$18="All",AND('Pockets'!$E$18="Worse and material",$K623="Yes",$L623="Yes"),AND('Pockets'!$E$18="Worse or not sure",OR($K623="Yes",$K623="Not sure")))),1,0)</f>
        <v/>
      </c>
      <c r="N623">
        <f>$N622+$M623</f>
        <v/>
      </c>
      <c r="O623" t="inlineStr">
        <is>
          <t>three-way</t>
        </is>
      </c>
      <c r="P623" t="inlineStr">
        <is>
          <t>contribution_rate</t>
        </is>
      </c>
    </row>
    <row r="624">
      <c r="A624" t="inlineStr">
        <is>
          <t>Split by REV_DEBT</t>
        </is>
      </c>
      <c r="B624" t="inlineStr">
        <is>
          <t>Earned before losses</t>
        </is>
      </c>
      <c r="C624" t="n">
        <v>1088</v>
      </c>
      <c r="D624" t="inlineStr">
        <is>
          <t>ORIG_BAL 49,152 - 59,984</t>
        </is>
      </c>
      <c r="E624" t="inlineStr">
        <is>
          <t>ASSET_CLASS 3</t>
        </is>
      </c>
      <c r="F624" t="inlineStr">
        <is>
          <t>low</t>
        </is>
      </c>
      <c r="G624" t="n">
        <v>203</v>
      </c>
      <c r="H624" t="n">
        <v>-2.660044277880048</v>
      </c>
      <c r="I624" t="inlineStr">
        <is>
          <t>No: may be mostly FICO</t>
        </is>
      </c>
      <c r="J624" t="n">
        <v>68</v>
      </c>
      <c r="K624">
        <f>'_pockets'!$AI$1088</f>
        <v/>
      </c>
      <c r="L624">
        <f>'_pockets'!$AJ$1088</f>
        <v/>
      </c>
      <c r="M624">
        <f>IF(AND($A624='Pockets'!$D$18,$B624='Pockets'!$C$18,OR('Pockets'!$E$18="All",AND('Pockets'!$E$18="Worse and material",$K624="Yes",$L624="Yes"),AND('Pockets'!$E$18="Worse or not sure",OR($K624="Yes",$K624="Not sure")))),1,0)</f>
        <v/>
      </c>
      <c r="N624">
        <f>$N623+$M624</f>
        <v/>
      </c>
      <c r="O624" t="inlineStr">
        <is>
          <t>three-way</t>
        </is>
      </c>
      <c r="P624" t="inlineStr">
        <is>
          <t>contribution_rate</t>
        </is>
      </c>
    </row>
    <row r="625">
      <c r="A625" t="inlineStr">
        <is>
          <t>Split by REV_DEBT</t>
        </is>
      </c>
      <c r="B625" t="inlineStr">
        <is>
          <t>Earned before losses</t>
        </is>
      </c>
      <c r="C625" t="n">
        <v>868</v>
      </c>
      <c r="D625" t="inlineStr">
        <is>
          <t>ORIG_BAL 26,324 - 37,950</t>
        </is>
      </c>
      <c r="E625" t="inlineStr">
        <is>
          <t>Branch</t>
        </is>
      </c>
      <c r="F625" t="inlineStr">
        <is>
          <t>low</t>
        </is>
      </c>
      <c r="G625" t="n">
        <v>259</v>
      </c>
      <c r="H625" t="n">
        <v>-2.363483850272235</v>
      </c>
      <c r="I625" t="inlineStr">
        <is>
          <t>No: may be mostly FICO</t>
        </is>
      </c>
      <c r="J625" t="n">
        <v>69</v>
      </c>
      <c r="K625">
        <f>'_pockets'!$AI$868</f>
        <v/>
      </c>
      <c r="L625">
        <f>'_pockets'!$AJ$868</f>
        <v/>
      </c>
      <c r="M625">
        <f>IF(AND($A625='Pockets'!$D$18,$B625='Pockets'!$C$18,OR('Pockets'!$E$18="All",AND('Pockets'!$E$18="Worse and material",$K625="Yes",$L625="Yes"),AND('Pockets'!$E$18="Worse or not sure",OR($K625="Yes",$K625="Not sure")))),1,0)</f>
        <v/>
      </c>
      <c r="N625">
        <f>$N624+$M625</f>
        <v/>
      </c>
      <c r="O625" t="inlineStr">
        <is>
          <t>three-way</t>
        </is>
      </c>
      <c r="P625" t="inlineStr">
        <is>
          <t>contribution_rate</t>
        </is>
      </c>
    </row>
    <row r="626">
      <c r="A626" t="inlineStr">
        <is>
          <t>Split by REV_DEBT</t>
        </is>
      </c>
      <c r="B626" t="inlineStr">
        <is>
          <t>Earned before losses</t>
        </is>
      </c>
      <c r="C626" t="n">
        <v>1098</v>
      </c>
      <c r="D626" t="inlineStr">
        <is>
          <t>ORIG_BAL 49,152 - 59,984</t>
        </is>
      </c>
      <c r="E626" t="inlineStr">
        <is>
          <t>ASSET_CLASS 4</t>
        </is>
      </c>
      <c r="F626" t="inlineStr">
        <is>
          <t>low</t>
        </is>
      </c>
      <c r="G626" t="n">
        <v>192</v>
      </c>
      <c r="H626" t="n">
        <v>-2.733254404703814</v>
      </c>
      <c r="I626" t="inlineStr">
        <is>
          <t>No: may be mostly FICO</t>
        </is>
      </c>
      <c r="J626" t="n">
        <v>70</v>
      </c>
      <c r="K626">
        <f>'_pockets'!$AI$1098</f>
        <v/>
      </c>
      <c r="L626">
        <f>'_pockets'!$AJ$1098</f>
        <v/>
      </c>
      <c r="M626">
        <f>IF(AND($A626='Pockets'!$D$18,$B626='Pockets'!$C$18,OR('Pockets'!$E$18="All",AND('Pockets'!$E$18="Worse and material",$K626="Yes",$L626="Yes"),AND('Pockets'!$E$18="Worse or not sure",OR($K626="Yes",$K626="Not sure")))),1,0)</f>
        <v/>
      </c>
      <c r="N626">
        <f>$N625+$M626</f>
        <v/>
      </c>
      <c r="O626" t="inlineStr">
        <is>
          <t>three-way</t>
        </is>
      </c>
      <c r="P626" t="inlineStr">
        <is>
          <t>contribution_rate</t>
        </is>
      </c>
    </row>
    <row r="627">
      <c r="A627" t="inlineStr">
        <is>
          <t>Split by REV_DEBT</t>
        </is>
      </c>
      <c r="B627" t="inlineStr">
        <is>
          <t>Earned before losses</t>
        </is>
      </c>
      <c r="C627" t="n">
        <v>878</v>
      </c>
      <c r="D627" t="inlineStr">
        <is>
          <t>ORIG_BAL 26,324 - 37,950</t>
        </is>
      </c>
      <c r="E627" t="inlineStr">
        <is>
          <t>Broker</t>
        </is>
      </c>
      <c r="F627" t="inlineStr">
        <is>
          <t>low</t>
        </is>
      </c>
      <c r="G627" t="n">
        <v>277</v>
      </c>
      <c r="H627" t="n">
        <v>-2.288064609400932</v>
      </c>
      <c r="I627" t="inlineStr">
        <is>
          <t>No: may be mostly FICO</t>
        </is>
      </c>
      <c r="J627" t="n">
        <v>71</v>
      </c>
      <c r="K627">
        <f>'_pockets'!$AI$878</f>
        <v/>
      </c>
      <c r="L627">
        <f>'_pockets'!$AJ$878</f>
        <v/>
      </c>
      <c r="M627">
        <f>IF(AND($A627='Pockets'!$D$18,$B627='Pockets'!$C$18,OR('Pockets'!$E$18="All",AND('Pockets'!$E$18="Worse and material",$K627="Yes",$L627="Yes"),AND('Pockets'!$E$18="Worse or not sure",OR($K627="Yes",$K627="Not sure")))),1,0)</f>
        <v/>
      </c>
      <c r="N627">
        <f>$N626+$M627</f>
        <v/>
      </c>
      <c r="O627" t="inlineStr">
        <is>
          <t>three-way</t>
        </is>
      </c>
      <c r="P627" t="inlineStr">
        <is>
          <t>contribution_rate</t>
        </is>
      </c>
    </row>
    <row r="628">
      <c r="A628" t="inlineStr">
        <is>
          <t>Split by REV_DEBT</t>
        </is>
      </c>
      <c r="B628" t="inlineStr">
        <is>
          <t>Earned before losses</t>
        </is>
      </c>
      <c r="C628" t="n">
        <v>1008</v>
      </c>
      <c r="D628" t="inlineStr">
        <is>
          <t>ORIG_BAL 37,951 - 49,151</t>
        </is>
      </c>
      <c r="E628" t="inlineStr">
        <is>
          <t>ASSET_CLASS 1</t>
        </is>
      </c>
      <c r="F628" t="inlineStr">
        <is>
          <t>low</t>
        </is>
      </c>
      <c r="G628" t="n">
        <v>191</v>
      </c>
      <c r="H628" t="n">
        <v>-2.740224665257163</v>
      </c>
      <c r="I628" t="inlineStr">
        <is>
          <t>No: may be mostly FICO</t>
        </is>
      </c>
      <c r="J628" t="n">
        <v>72</v>
      </c>
      <c r="K628">
        <f>'_pockets'!$AI$1008</f>
        <v/>
      </c>
      <c r="L628">
        <f>'_pockets'!$AJ$1008</f>
        <v/>
      </c>
      <c r="M628">
        <f>IF(AND($A628='Pockets'!$D$18,$B628='Pockets'!$C$18,OR('Pockets'!$E$18="All",AND('Pockets'!$E$18="Worse and material",$K628="Yes",$L628="Yes"),AND('Pockets'!$E$18="Worse or not sure",OR($K628="Yes",$K628="Not sure")))),1,0)</f>
        <v/>
      </c>
      <c r="N628">
        <f>$N627+$M628</f>
        <v/>
      </c>
      <c r="O628" t="inlineStr">
        <is>
          <t>three-way</t>
        </is>
      </c>
      <c r="P628" t="inlineStr">
        <is>
          <t>contribution_rate</t>
        </is>
      </c>
    </row>
    <row r="629">
      <c r="A629" t="inlineStr">
        <is>
          <t>Split by REV_DEBT</t>
        </is>
      </c>
      <c r="B629" t="inlineStr">
        <is>
          <t>Earned before losses</t>
        </is>
      </c>
      <c r="C629" t="n">
        <v>1073</v>
      </c>
      <c r="D629" t="inlineStr">
        <is>
          <t>ORIG_BAL 49,152 - 59,984</t>
        </is>
      </c>
      <c r="E629" t="inlineStr">
        <is>
          <t>ASSET_CLASS 1</t>
        </is>
      </c>
      <c r="F629" t="inlineStr">
        <is>
          <t>low</t>
        </is>
      </c>
      <c r="G629" t="n">
        <v>207</v>
      </c>
      <c r="H629" t="n">
        <v>-2.634894127695313</v>
      </c>
      <c r="I629" t="inlineStr">
        <is>
          <t>No: may be mostly FICO</t>
        </is>
      </c>
      <c r="J629" t="n">
        <v>73</v>
      </c>
      <c r="K629">
        <f>'_pockets'!$AI$1073</f>
        <v/>
      </c>
      <c r="L629">
        <f>'_pockets'!$AJ$1073</f>
        <v/>
      </c>
      <c r="M629">
        <f>IF(AND($A629='Pockets'!$D$18,$B629='Pockets'!$C$18,OR('Pockets'!$E$18="All",AND('Pockets'!$E$18="Worse and material",$K629="Yes",$L629="Yes"),AND('Pockets'!$E$18="Worse or not sure",OR($K629="Yes",$K629="Not sure")))),1,0)</f>
        <v/>
      </c>
      <c r="N629">
        <f>$N628+$M629</f>
        <v/>
      </c>
      <c r="O629" t="inlineStr">
        <is>
          <t>three-way</t>
        </is>
      </c>
      <c r="P629" t="inlineStr">
        <is>
          <t>contribution_rate</t>
        </is>
      </c>
    </row>
    <row r="630">
      <c r="A630" t="inlineStr">
        <is>
          <t>Split by REV_DEBT</t>
        </is>
      </c>
      <c r="B630" t="inlineStr">
        <is>
          <t>Earned before losses</t>
        </is>
      </c>
      <c r="C630" t="n">
        <v>893</v>
      </c>
      <c r="D630" t="inlineStr">
        <is>
          <t>ORIG_BAL 15,449 - 26,323</t>
        </is>
      </c>
      <c r="E630" t="inlineStr">
        <is>
          <t>Broker</t>
        </is>
      </c>
      <c r="F630" t="inlineStr">
        <is>
          <t>low</t>
        </is>
      </c>
      <c r="G630" t="n">
        <v>269</v>
      </c>
      <c r="H630" t="n">
        <v>-2.320636671468686</v>
      </c>
      <c r="I630" t="inlineStr">
        <is>
          <t>No: may be mostly FICO</t>
        </is>
      </c>
      <c r="J630" t="n">
        <v>74</v>
      </c>
      <c r="K630">
        <f>'_pockets'!$AI$893</f>
        <v/>
      </c>
      <c r="L630">
        <f>'_pockets'!$AJ$893</f>
        <v/>
      </c>
      <c r="M630">
        <f>IF(AND($A630='Pockets'!$D$18,$B630='Pockets'!$C$18,OR('Pockets'!$E$18="All",AND('Pockets'!$E$18="Worse and material",$K630="Yes",$L630="Yes"),AND('Pockets'!$E$18="Worse or not sure",OR($K630="Yes",$K630="Not sure")))),1,0)</f>
        <v/>
      </c>
      <c r="N630">
        <f>$N629+$M630</f>
        <v/>
      </c>
      <c r="O630" t="inlineStr">
        <is>
          <t>three-way</t>
        </is>
      </c>
      <c r="P630" t="inlineStr">
        <is>
          <t>contribution_rate</t>
        </is>
      </c>
    </row>
    <row r="631">
      <c r="A631" t="inlineStr">
        <is>
          <t>Split by REV_DEBT</t>
        </is>
      </c>
      <c r="B631" t="inlineStr">
        <is>
          <t>Earned before losses</t>
        </is>
      </c>
      <c r="C631" t="n">
        <v>988</v>
      </c>
      <c r="D631" t="inlineStr">
        <is>
          <t>ORIG_BAL 15,449 - 26,323</t>
        </is>
      </c>
      <c r="E631" t="inlineStr">
        <is>
          <t>Branch</t>
        </is>
      </c>
      <c r="F631" t="inlineStr">
        <is>
          <t>low</t>
        </is>
      </c>
      <c r="G631" t="n">
        <v>263</v>
      </c>
      <c r="H631" t="n">
        <v>-2.346048095645966</v>
      </c>
      <c r="I631" t="inlineStr">
        <is>
          <t>No: may be mostly FICO</t>
        </is>
      </c>
      <c r="J631" t="n">
        <v>75</v>
      </c>
      <c r="K631">
        <f>'_pockets'!$AI$988</f>
        <v/>
      </c>
      <c r="L631">
        <f>'_pockets'!$AJ$988</f>
        <v/>
      </c>
      <c r="M631">
        <f>IF(AND($A631='Pockets'!$D$18,$B631='Pockets'!$C$18,OR('Pockets'!$E$18="All",AND('Pockets'!$E$18="Worse and material",$K631="Yes",$L631="Yes"),AND('Pockets'!$E$18="Worse or not sure",OR($K631="Yes",$K631="Not sure")))),1,0)</f>
        <v/>
      </c>
      <c r="N631">
        <f>$N630+$M631</f>
        <v/>
      </c>
      <c r="O631" t="inlineStr">
        <is>
          <t>three-way</t>
        </is>
      </c>
      <c r="P631" t="inlineStr">
        <is>
          <t>contribution_rate</t>
        </is>
      </c>
    </row>
    <row r="632">
      <c r="A632" t="inlineStr">
        <is>
          <t>Split by REV_DEBT</t>
        </is>
      </c>
      <c r="B632" t="inlineStr">
        <is>
          <t>Earned before losses</t>
        </is>
      </c>
      <c r="C632" t="n">
        <v>1158</v>
      </c>
      <c r="D632" t="inlineStr">
        <is>
          <t>ORIG_BAL 37,951 - 49,151</t>
        </is>
      </c>
      <c r="E632" t="inlineStr">
        <is>
          <t>ASSET_CLASS 3</t>
        </is>
      </c>
      <c r="F632" t="inlineStr">
        <is>
          <t>low</t>
        </is>
      </c>
      <c r="G632" t="n">
        <v>191</v>
      </c>
      <c r="H632" t="n">
        <v>-2.740224665257163</v>
      </c>
      <c r="I632" t="inlineStr">
        <is>
          <t>No: may be mostly FICO</t>
        </is>
      </c>
      <c r="J632" t="n">
        <v>76</v>
      </c>
      <c r="K632">
        <f>'_pockets'!$AI$1158</f>
        <v/>
      </c>
      <c r="L632">
        <f>'_pockets'!$AJ$1158</f>
        <v/>
      </c>
      <c r="M632">
        <f>IF(AND($A632='Pockets'!$D$18,$B632='Pockets'!$C$18,OR('Pockets'!$E$18="All",AND('Pockets'!$E$18="Worse and material",$K632="Yes",$L632="Yes"),AND('Pockets'!$E$18="Worse or not sure",OR($K632="Yes",$K632="Not sure")))),1,0)</f>
        <v/>
      </c>
      <c r="N632">
        <f>$N631+$M632</f>
        <v/>
      </c>
      <c r="O632" t="inlineStr">
        <is>
          <t>three-way</t>
        </is>
      </c>
      <c r="P632" t="inlineStr">
        <is>
          <t>contribution_rate</t>
        </is>
      </c>
    </row>
    <row r="633">
      <c r="A633" t="inlineStr">
        <is>
          <t>Split by REV_DEBT</t>
        </is>
      </c>
      <c r="B633" t="inlineStr">
        <is>
          <t>Earned before losses</t>
        </is>
      </c>
      <c r="C633" t="n">
        <v>1133</v>
      </c>
      <c r="D633" t="inlineStr">
        <is>
          <t>ORIG_BAL 37,951 - 49,151</t>
        </is>
      </c>
      <c r="E633" t="inlineStr">
        <is>
          <t>ASSET_CLASS 4</t>
        </is>
      </c>
      <c r="F633" t="inlineStr">
        <is>
          <t>low</t>
        </is>
      </c>
      <c r="G633" t="n">
        <v>207</v>
      </c>
      <c r="H633" t="n">
        <v>-2.634894127695313</v>
      </c>
      <c r="I633" t="inlineStr">
        <is>
          <t>No: may be mostly FICO</t>
        </is>
      </c>
      <c r="J633" t="n">
        <v>77</v>
      </c>
      <c r="K633">
        <f>'_pockets'!$AI$1133</f>
        <v/>
      </c>
      <c r="L633">
        <f>'_pockets'!$AJ$1133</f>
        <v/>
      </c>
      <c r="M633">
        <f>IF(AND($A633='Pockets'!$D$18,$B633='Pockets'!$C$18,OR('Pockets'!$E$18="All",AND('Pockets'!$E$18="Worse and material",$K633="Yes",$L633="Yes"),AND('Pockets'!$E$18="Worse or not sure",OR($K633="Yes",$K633="Not sure")))),1,0)</f>
        <v/>
      </c>
      <c r="N633">
        <f>$N632+$M633</f>
        <v/>
      </c>
      <c r="O633" t="inlineStr">
        <is>
          <t>three-way</t>
        </is>
      </c>
      <c r="P633" t="inlineStr">
        <is>
          <t>contribution_rate</t>
        </is>
      </c>
    </row>
    <row r="634">
      <c r="A634" t="inlineStr">
        <is>
          <t>Split by REV_DEBT</t>
        </is>
      </c>
      <c r="B634" t="inlineStr">
        <is>
          <t>Earned before losses</t>
        </is>
      </c>
      <c r="C634" t="n">
        <v>938</v>
      </c>
      <c r="D634" t="inlineStr">
        <is>
          <t>ORIG_BAL 49,152 - 59,984</t>
        </is>
      </c>
      <c r="E634" t="inlineStr">
        <is>
          <t>Online</t>
        </is>
      </c>
      <c r="F634" t="inlineStr">
        <is>
          <t>low</t>
        </is>
      </c>
      <c r="G634" t="n">
        <v>283</v>
      </c>
      <c r="H634" t="n">
        <v>-2.264559633011965</v>
      </c>
      <c r="I634" t="inlineStr">
        <is>
          <t>No: may be mostly FICO</t>
        </is>
      </c>
      <c r="J634" t="n">
        <v>78</v>
      </c>
      <c r="K634">
        <f>'_pockets'!$AI$938</f>
        <v/>
      </c>
      <c r="L634">
        <f>'_pockets'!$AJ$938</f>
        <v/>
      </c>
      <c r="M634">
        <f>IF(AND($A634='Pockets'!$D$18,$B634='Pockets'!$C$18,OR('Pockets'!$E$18="All",AND('Pockets'!$E$18="Worse and material",$K634="Yes",$L634="Yes"),AND('Pockets'!$E$18="Worse or not sure",OR($K634="Yes",$K634="Not sure")))),1,0)</f>
        <v/>
      </c>
      <c r="N634">
        <f>$N633+$M634</f>
        <v/>
      </c>
      <c r="O634" t="inlineStr">
        <is>
          <t>three-way</t>
        </is>
      </c>
      <c r="P634" t="inlineStr">
        <is>
          <t>contribution_rate</t>
        </is>
      </c>
    </row>
    <row r="635">
      <c r="A635" t="inlineStr">
        <is>
          <t>Split by REV_DEBT</t>
        </is>
      </c>
      <c r="B635" t="inlineStr">
        <is>
          <t>Earned before losses</t>
        </is>
      </c>
      <c r="C635" t="n">
        <v>1033</v>
      </c>
      <c r="D635" t="inlineStr">
        <is>
          <t>ORIG_BAL 26,324 - 37,950</t>
        </is>
      </c>
      <c r="E635" t="inlineStr">
        <is>
          <t>ASSET_CLASS 1</t>
        </is>
      </c>
      <c r="F635" t="inlineStr">
        <is>
          <t>low</t>
        </is>
      </c>
      <c r="G635" t="n">
        <v>194</v>
      </c>
      <c r="H635" t="n">
        <v>-2.719477369659122</v>
      </c>
      <c r="I635" t="inlineStr">
        <is>
          <t>No: may be mostly FICO</t>
        </is>
      </c>
      <c r="J635" t="n">
        <v>79</v>
      </c>
      <c r="K635">
        <f>'_pockets'!$AI$1033</f>
        <v/>
      </c>
      <c r="L635">
        <f>'_pockets'!$AJ$1033</f>
        <v/>
      </c>
      <c r="M635">
        <f>IF(AND($A635='Pockets'!$D$18,$B635='Pockets'!$C$18,OR('Pockets'!$E$18="All",AND('Pockets'!$E$18="Worse and material",$K635="Yes",$L635="Yes"),AND('Pockets'!$E$18="Worse or not sure",OR($K635="Yes",$K635="Not sure")))),1,0)</f>
        <v/>
      </c>
      <c r="N635">
        <f>$N634+$M635</f>
        <v/>
      </c>
      <c r="O635" t="inlineStr">
        <is>
          <t>three-way</t>
        </is>
      </c>
      <c r="P635" t="inlineStr">
        <is>
          <t>contribution_rate</t>
        </is>
      </c>
    </row>
    <row r="636">
      <c r="A636" t="inlineStr">
        <is>
          <t>Split by REV_DEBT</t>
        </is>
      </c>
      <c r="B636" t="inlineStr">
        <is>
          <t>Earned before losses</t>
        </is>
      </c>
      <c r="C636" t="n">
        <v>968</v>
      </c>
      <c r="D636" t="inlineStr">
        <is>
          <t>ORIG_BAL 37,951 - 49,151</t>
        </is>
      </c>
      <c r="E636" t="inlineStr">
        <is>
          <t>Online</t>
        </is>
      </c>
      <c r="F636" t="inlineStr">
        <is>
          <t>low</t>
        </is>
      </c>
      <c r="G636" t="n">
        <v>272</v>
      </c>
      <c r="H636" t="n">
        <v>-2.308251574942028</v>
      </c>
      <c r="I636" t="inlineStr">
        <is>
          <t>No: may be mostly FICO</t>
        </is>
      </c>
      <c r="J636" t="n">
        <v>80</v>
      </c>
      <c r="K636">
        <f>'_pockets'!$AI$968</f>
        <v/>
      </c>
      <c r="L636">
        <f>'_pockets'!$AJ$968</f>
        <v/>
      </c>
      <c r="M636">
        <f>IF(AND($A636='Pockets'!$D$18,$B636='Pockets'!$C$18,OR('Pockets'!$E$18="All",AND('Pockets'!$E$18="Worse and material",$K636="Yes",$L636="Yes"),AND('Pockets'!$E$18="Worse or not sure",OR($K636="Yes",$K636="Not sure")))),1,0)</f>
        <v/>
      </c>
      <c r="N636">
        <f>$N635+$M636</f>
        <v/>
      </c>
      <c r="O636" t="inlineStr">
        <is>
          <t>three-way</t>
        </is>
      </c>
      <c r="P636" t="inlineStr">
        <is>
          <t>contribution_rate</t>
        </is>
      </c>
    </row>
    <row r="637">
      <c r="A637" t="inlineStr">
        <is>
          <t>Split by REV_DEBT</t>
        </is>
      </c>
      <c r="B637" t="inlineStr">
        <is>
          <t>Earned before losses</t>
        </is>
      </c>
      <c r="C637" t="n">
        <v>1178</v>
      </c>
      <c r="D637" t="inlineStr">
        <is>
          <t>ORIG_BAL 26,324 - 37,950</t>
        </is>
      </c>
      <c r="E637" t="inlineStr">
        <is>
          <t>ASSET_CLASS 2</t>
        </is>
      </c>
      <c r="F637" t="inlineStr">
        <is>
          <t>low</t>
        </is>
      </c>
      <c r="G637" t="n">
        <v>216</v>
      </c>
      <c r="H637" t="n">
        <v>-2.580907595119466</v>
      </c>
      <c r="I637" t="inlineStr">
        <is>
          <t>No: may be mostly FICO</t>
        </is>
      </c>
      <c r="J637" t="n">
        <v>81</v>
      </c>
      <c r="K637">
        <f>'_pockets'!$AI$1178</f>
        <v/>
      </c>
      <c r="L637">
        <f>'_pockets'!$AJ$1178</f>
        <v/>
      </c>
      <c r="M637">
        <f>IF(AND($A637='Pockets'!$D$18,$B637='Pockets'!$C$18,OR('Pockets'!$E$18="All",AND('Pockets'!$E$18="Worse and material",$K637="Yes",$L637="Yes"),AND('Pockets'!$E$18="Worse or not sure",OR($K637="Yes",$K637="Not sure")))),1,0)</f>
        <v/>
      </c>
      <c r="N637">
        <f>$N636+$M637</f>
        <v/>
      </c>
      <c r="O637" t="inlineStr">
        <is>
          <t>three-way</t>
        </is>
      </c>
      <c r="P637" t="inlineStr">
        <is>
          <t>contribution_rate</t>
        </is>
      </c>
    </row>
    <row r="638">
      <c r="A638" t="inlineStr">
        <is>
          <t>Split by REV_DEBT</t>
        </is>
      </c>
      <c r="B638" t="inlineStr">
        <is>
          <t>Earned before losses</t>
        </is>
      </c>
      <c r="C638" t="n">
        <v>1198</v>
      </c>
      <c r="D638" t="inlineStr">
        <is>
          <t>ORIG_BAL 26,324 - 37,950</t>
        </is>
      </c>
      <c r="E638" t="inlineStr">
        <is>
          <t>ASSET_CLASS 3</t>
        </is>
      </c>
      <c r="F638" t="inlineStr">
        <is>
          <t>low</t>
        </is>
      </c>
      <c r="G638" t="n">
        <v>184</v>
      </c>
      <c r="H638" t="n">
        <v>-2.790611178199036</v>
      </c>
      <c r="I638" t="inlineStr">
        <is>
          <t>No: may be mostly FICO</t>
        </is>
      </c>
      <c r="J638" t="n">
        <v>82</v>
      </c>
      <c r="K638">
        <f>'_pockets'!$AI$1198</f>
        <v/>
      </c>
      <c r="L638">
        <f>'_pockets'!$AJ$1198</f>
        <v/>
      </c>
      <c r="M638">
        <f>IF(AND($A638='Pockets'!$D$18,$B638='Pockets'!$C$18,OR('Pockets'!$E$18="All",AND('Pockets'!$E$18="Worse and material",$K638="Yes",$L638="Yes"),AND('Pockets'!$E$18="Worse or not sure",OR($K638="Yes",$K638="Not sure")))),1,0)</f>
        <v/>
      </c>
      <c r="N638">
        <f>$N637+$M638</f>
        <v/>
      </c>
      <c r="O638" t="inlineStr">
        <is>
          <t>three-way</t>
        </is>
      </c>
      <c r="P638" t="inlineStr">
        <is>
          <t>contribution_rate</t>
        </is>
      </c>
    </row>
    <row r="639">
      <c r="A639" t="inlineStr">
        <is>
          <t>Split by REV_DEBT</t>
        </is>
      </c>
      <c r="B639" t="inlineStr">
        <is>
          <t>Earned before losses</t>
        </is>
      </c>
      <c r="C639" t="n">
        <v>1018</v>
      </c>
      <c r="D639" t="inlineStr">
        <is>
          <t>ORIG_BAL 26,324 - 37,950</t>
        </is>
      </c>
      <c r="E639" t="inlineStr">
        <is>
          <t>ASSET_CLASS 4</t>
        </is>
      </c>
      <c r="F639" t="inlineStr">
        <is>
          <t>low</t>
        </is>
      </c>
      <c r="G639" t="n">
        <v>206</v>
      </c>
      <c r="H639" t="n">
        <v>-2.641112266992605</v>
      </c>
      <c r="I639" t="inlineStr">
        <is>
          <t>No: may be mostly FICO</t>
        </is>
      </c>
      <c r="J639" t="n">
        <v>83</v>
      </c>
      <c r="K639">
        <f>'_pockets'!$AI$1018</f>
        <v/>
      </c>
      <c r="L639">
        <f>'_pockets'!$AJ$1018</f>
        <v/>
      </c>
      <c r="M639">
        <f>IF(AND($A639='Pockets'!$D$18,$B639='Pockets'!$C$18,OR('Pockets'!$E$18="All",AND('Pockets'!$E$18="Worse and material",$K639="Yes",$L639="Yes"),AND('Pockets'!$E$18="Worse or not sure",OR($K639="Yes",$K639="Not sure")))),1,0)</f>
        <v/>
      </c>
      <c r="N639">
        <f>$N638+$M639</f>
        <v/>
      </c>
      <c r="O639" t="inlineStr">
        <is>
          <t>three-way</t>
        </is>
      </c>
      <c r="P639" t="inlineStr">
        <is>
          <t>contribution_rate</t>
        </is>
      </c>
    </row>
    <row r="640">
      <c r="A640" t="inlineStr">
        <is>
          <t>Split by REV_DEBT</t>
        </is>
      </c>
      <c r="B640" t="inlineStr">
        <is>
          <t>Earned before losses</t>
        </is>
      </c>
      <c r="C640" t="n">
        <v>1123</v>
      </c>
      <c r="D640" t="inlineStr">
        <is>
          <t>ORIG_BAL 15,449 - 26,323</t>
        </is>
      </c>
      <c r="E640" t="inlineStr">
        <is>
          <t>ASSET_CLASS 2</t>
        </is>
      </c>
      <c r="F640" t="inlineStr">
        <is>
          <t>low</t>
        </is>
      </c>
      <c r="G640" t="n">
        <v>178</v>
      </c>
      <c r="H640" t="n">
        <v>-2.836165480197717</v>
      </c>
      <c r="I640" t="inlineStr">
        <is>
          <t>No: may be mostly FICO</t>
        </is>
      </c>
      <c r="J640" t="n">
        <v>84</v>
      </c>
      <c r="K640">
        <f>'_pockets'!$AI$1123</f>
        <v/>
      </c>
      <c r="L640">
        <f>'_pockets'!$AJ$1123</f>
        <v/>
      </c>
      <c r="M640">
        <f>IF(AND($A640='Pockets'!$D$18,$B640='Pockets'!$C$18,OR('Pockets'!$E$18="All",AND('Pockets'!$E$18="Worse and material",$K640="Yes",$L640="Yes"),AND('Pockets'!$E$18="Worse or not sure",OR($K640="Yes",$K640="Not sure")))),1,0)</f>
        <v/>
      </c>
      <c r="N640">
        <f>$N639+$M640</f>
        <v/>
      </c>
      <c r="O640" t="inlineStr">
        <is>
          <t>three-way</t>
        </is>
      </c>
      <c r="P640" t="inlineStr">
        <is>
          <t>contribution_rate</t>
        </is>
      </c>
    </row>
    <row r="641">
      <c r="A641" t="inlineStr">
        <is>
          <t>Split by REV_DEBT</t>
        </is>
      </c>
      <c r="B641" t="inlineStr">
        <is>
          <t>Earned before losses</t>
        </is>
      </c>
      <c r="C641" t="n">
        <v>1038</v>
      </c>
      <c r="D641" t="inlineStr">
        <is>
          <t>ORIG_BAL 15,449 - 26,323</t>
        </is>
      </c>
      <c r="E641" t="inlineStr">
        <is>
          <t>ASSET_CLASS 4</t>
        </is>
      </c>
      <c r="F641" t="inlineStr">
        <is>
          <t>low</t>
        </is>
      </c>
      <c r="G641" t="n">
        <v>207</v>
      </c>
      <c r="H641" t="n">
        <v>-2.634894127695313</v>
      </c>
      <c r="I641" t="inlineStr">
        <is>
          <t>No: may be mostly FICO</t>
        </is>
      </c>
      <c r="J641" t="n">
        <v>85</v>
      </c>
      <c r="K641">
        <f>'_pockets'!$AI$1038</f>
        <v/>
      </c>
      <c r="L641">
        <f>'_pockets'!$AJ$1038</f>
        <v/>
      </c>
      <c r="M641">
        <f>IF(AND($A641='Pockets'!$D$18,$B641='Pockets'!$C$18,OR('Pockets'!$E$18="All",AND('Pockets'!$E$18="Worse and material",$K641="Yes",$L641="Yes"),AND('Pockets'!$E$18="Worse or not sure",OR($K641="Yes",$K641="Not sure")))),1,0)</f>
        <v/>
      </c>
      <c r="N641">
        <f>$N640+$M641</f>
        <v/>
      </c>
      <c r="O641" t="inlineStr">
        <is>
          <t>three-way</t>
        </is>
      </c>
      <c r="P641" t="inlineStr">
        <is>
          <t>contribution_rate</t>
        </is>
      </c>
    </row>
    <row r="642">
      <c r="A642" t="inlineStr">
        <is>
          <t>Split by REV_DEBT</t>
        </is>
      </c>
      <c r="B642" t="inlineStr">
        <is>
          <t>Earned before losses</t>
        </is>
      </c>
      <c r="C642" t="n">
        <v>1173</v>
      </c>
      <c r="D642" t="inlineStr">
        <is>
          <t>ORIG_BAL 15,449 - 26,323</t>
        </is>
      </c>
      <c r="E642" t="inlineStr">
        <is>
          <t>ASSET_CLASS 3</t>
        </is>
      </c>
      <c r="F642" t="inlineStr">
        <is>
          <t>low</t>
        </is>
      </c>
      <c r="G642" t="n">
        <v>214</v>
      </c>
      <c r="H642" t="n">
        <v>-2.592606730693413</v>
      </c>
      <c r="I642" t="inlineStr">
        <is>
          <t>No: may be mostly FICO</t>
        </is>
      </c>
      <c r="J642" t="n">
        <v>86</v>
      </c>
      <c r="K642">
        <f>'_pockets'!$AI$1173</f>
        <v/>
      </c>
      <c r="L642">
        <f>'_pockets'!$AJ$1173</f>
        <v/>
      </c>
      <c r="M642">
        <f>IF(AND($A642='Pockets'!$D$18,$B642='Pockets'!$C$18,OR('Pockets'!$E$18="All",AND('Pockets'!$E$18="Worse and material",$K642="Yes",$L642="Yes"),AND('Pockets'!$E$18="Worse or not sure",OR($K642="Yes",$K642="Not sure")))),1,0)</f>
        <v/>
      </c>
      <c r="N642">
        <f>$N641+$M642</f>
        <v/>
      </c>
      <c r="O642" t="inlineStr">
        <is>
          <t>three-way</t>
        </is>
      </c>
      <c r="P642" t="inlineStr">
        <is>
          <t>contribution_rate</t>
        </is>
      </c>
    </row>
    <row r="643">
      <c r="A643" t="inlineStr">
        <is>
          <t>Split by REV_DEBT</t>
        </is>
      </c>
      <c r="B643" t="inlineStr">
        <is>
          <t>Earned before losses</t>
        </is>
      </c>
      <c r="C643" t="n">
        <v>883</v>
      </c>
      <c r="D643" t="inlineStr">
        <is>
          <t>ORIG_BAL 15,449 - 26,323</t>
        </is>
      </c>
      <c r="E643" t="inlineStr">
        <is>
          <t>Online</t>
        </is>
      </c>
      <c r="F643" t="inlineStr">
        <is>
          <t>low</t>
        </is>
      </c>
      <c r="G643" t="n">
        <v>269</v>
      </c>
      <c r="H643" t="n">
        <v>-2.320636671468686</v>
      </c>
      <c r="I643" t="inlineStr">
        <is>
          <t>No: may be mostly FICO</t>
        </is>
      </c>
      <c r="J643" t="n">
        <v>87</v>
      </c>
      <c r="K643">
        <f>'_pockets'!$AI$883</f>
        <v/>
      </c>
      <c r="L643">
        <f>'_pockets'!$AJ$883</f>
        <v/>
      </c>
      <c r="M643">
        <f>IF(AND($A643='Pockets'!$D$18,$B643='Pockets'!$C$18,OR('Pockets'!$E$18="All",AND('Pockets'!$E$18="Worse and material",$K643="Yes",$L643="Yes"),AND('Pockets'!$E$18="Worse or not sure",OR($K643="Yes",$K643="Not sure")))),1,0)</f>
        <v/>
      </c>
      <c r="N643">
        <f>$N642+$M643</f>
        <v/>
      </c>
      <c r="O643" t="inlineStr">
        <is>
          <t>three-way</t>
        </is>
      </c>
      <c r="P643" t="inlineStr">
        <is>
          <t>contribution_rate</t>
        </is>
      </c>
    </row>
    <row r="644">
      <c r="A644" t="inlineStr">
        <is>
          <t>Split by REV_DEBT</t>
        </is>
      </c>
      <c r="B644" t="inlineStr">
        <is>
          <t>Earned before losses</t>
        </is>
      </c>
      <c r="C644" t="n">
        <v>983</v>
      </c>
      <c r="D644" t="inlineStr">
        <is>
          <t>ORIG_BAL 5,005 - 15,448</t>
        </is>
      </c>
      <c r="E644" t="inlineStr">
        <is>
          <t>Branch</t>
        </is>
      </c>
      <c r="F644" t="inlineStr">
        <is>
          <t>low</t>
        </is>
      </c>
      <c r="G644" t="n">
        <v>271</v>
      </c>
      <c r="H644" t="n">
        <v>-2.312356777274378</v>
      </c>
      <c r="I644" t="inlineStr">
        <is>
          <t>No: may be mostly FICO</t>
        </is>
      </c>
      <c r="J644" t="n">
        <v>88</v>
      </c>
      <c r="K644">
        <f>'_pockets'!$AI$983</f>
        <v/>
      </c>
      <c r="L644">
        <f>'_pockets'!$AJ$983</f>
        <v/>
      </c>
      <c r="M644">
        <f>IF(AND($A644='Pockets'!$D$18,$B644='Pockets'!$C$18,OR('Pockets'!$E$18="All",AND('Pockets'!$E$18="Worse and material",$K644="Yes",$L644="Yes"),AND('Pockets'!$E$18="Worse or not sure",OR($K644="Yes",$K644="Not sure")))),1,0)</f>
        <v/>
      </c>
      <c r="N644">
        <f>$N643+$M644</f>
        <v/>
      </c>
      <c r="O644" t="inlineStr">
        <is>
          <t>three-way</t>
        </is>
      </c>
      <c r="P644" t="inlineStr">
        <is>
          <t>contribution_rate</t>
        </is>
      </c>
    </row>
    <row r="645">
      <c r="A645" t="inlineStr">
        <is>
          <t>Split by REV_DEBT</t>
        </is>
      </c>
      <c r="B645" t="inlineStr">
        <is>
          <t>Earned before losses</t>
        </is>
      </c>
      <c r="C645" t="n">
        <v>1153</v>
      </c>
      <c r="D645" t="inlineStr">
        <is>
          <t>ORIG_BAL 15,449 - 26,323</t>
        </is>
      </c>
      <c r="E645" t="inlineStr">
        <is>
          <t>ASSET_CLASS 1</t>
        </is>
      </c>
      <c r="F645" t="inlineStr">
        <is>
          <t>low</t>
        </is>
      </c>
      <c r="G645" t="n">
        <v>202</v>
      </c>
      <c r="H645" t="n">
        <v>-2.666449386760227</v>
      </c>
      <c r="I645" t="inlineStr">
        <is>
          <t>No: may be mostly FICO</t>
        </is>
      </c>
      <c r="J645" t="n">
        <v>89</v>
      </c>
      <c r="K645">
        <f>'_pockets'!$AI$1153</f>
        <v/>
      </c>
      <c r="L645">
        <f>'_pockets'!$AJ$1153</f>
        <v/>
      </c>
      <c r="M645">
        <f>IF(AND($A645='Pockets'!$D$18,$B645='Pockets'!$C$18,OR('Pockets'!$E$18="All",AND('Pockets'!$E$18="Worse and material",$K645="Yes",$L645="Yes"),AND('Pockets'!$E$18="Worse or not sure",OR($K645="Yes",$K645="Not sure")))),1,0)</f>
        <v/>
      </c>
      <c r="N645">
        <f>$N644+$M645</f>
        <v/>
      </c>
      <c r="O645" t="inlineStr">
        <is>
          <t>three-way</t>
        </is>
      </c>
      <c r="P645" t="inlineStr">
        <is>
          <t>contribution_rate</t>
        </is>
      </c>
    </row>
    <row r="646">
      <c r="A646" t="inlineStr">
        <is>
          <t>Split by REV_DEBT</t>
        </is>
      </c>
      <c r="B646" t="inlineStr">
        <is>
          <t>Earned before losses</t>
        </is>
      </c>
      <c r="C646" t="n">
        <v>903</v>
      </c>
      <c r="D646" t="inlineStr">
        <is>
          <t>ORIG_BAL 5,005 - 15,448</t>
        </is>
      </c>
      <c r="E646" t="inlineStr">
        <is>
          <t>Broker</t>
        </is>
      </c>
      <c r="F646" t="inlineStr">
        <is>
          <t>low</t>
        </is>
      </c>
      <c r="G646" t="n">
        <v>257</v>
      </c>
      <c r="H646" t="n">
        <v>-2.372355937133785</v>
      </c>
      <c r="I646" t="inlineStr">
        <is>
          <t>No: may be mostly FICO</t>
        </is>
      </c>
      <c r="J646" t="n">
        <v>90</v>
      </c>
      <c r="K646">
        <f>'_pockets'!$AI$903</f>
        <v/>
      </c>
      <c r="L646">
        <f>'_pockets'!$AJ$903</f>
        <v/>
      </c>
      <c r="M646">
        <f>IF(AND($A646='Pockets'!$D$18,$B646='Pockets'!$C$18,OR('Pockets'!$E$18="All",AND('Pockets'!$E$18="Worse and material",$K646="Yes",$L646="Yes"),AND('Pockets'!$E$18="Worse or not sure",OR($K646="Yes",$K646="Not sure")))),1,0)</f>
        <v/>
      </c>
      <c r="N646">
        <f>$N645+$M646</f>
        <v/>
      </c>
      <c r="O646" t="inlineStr">
        <is>
          <t>three-way</t>
        </is>
      </c>
      <c r="P646" t="inlineStr">
        <is>
          <t>contribution_rate</t>
        </is>
      </c>
    </row>
    <row r="647">
      <c r="A647" t="inlineStr">
        <is>
          <t>Split by REV_DEBT</t>
        </is>
      </c>
      <c r="B647" t="inlineStr">
        <is>
          <t>Earned before losses</t>
        </is>
      </c>
      <c r="C647" t="n">
        <v>1118</v>
      </c>
      <c r="D647" t="inlineStr">
        <is>
          <t>ORIG_BAL 5,005 - 15,448</t>
        </is>
      </c>
      <c r="E647" t="inlineStr">
        <is>
          <t>ASSET_CLASS 2</t>
        </is>
      </c>
      <c r="F647" t="inlineStr">
        <is>
          <t>low</t>
        </is>
      </c>
      <c r="G647" t="n">
        <v>202</v>
      </c>
      <c r="H647" t="n">
        <v>-2.666449386760227</v>
      </c>
      <c r="I647" t="inlineStr">
        <is>
          <t>No: may be mostly FICO</t>
        </is>
      </c>
      <c r="J647" t="n">
        <v>91</v>
      </c>
      <c r="K647">
        <f>'_pockets'!$AI$1118</f>
        <v/>
      </c>
      <c r="L647">
        <f>'_pockets'!$AJ$1118</f>
        <v/>
      </c>
      <c r="M647">
        <f>IF(AND($A647='Pockets'!$D$18,$B647='Pockets'!$C$18,OR('Pockets'!$E$18="All",AND('Pockets'!$E$18="Worse and material",$K647="Yes",$L647="Yes"),AND('Pockets'!$E$18="Worse or not sure",OR($K647="Yes",$K647="Not sure")))),1,0)</f>
        <v/>
      </c>
      <c r="N647">
        <f>$N646+$M647</f>
        <v/>
      </c>
      <c r="O647" t="inlineStr">
        <is>
          <t>three-way</t>
        </is>
      </c>
      <c r="P647" t="inlineStr">
        <is>
          <t>contribution_rate</t>
        </is>
      </c>
    </row>
    <row r="648">
      <c r="A648" t="inlineStr">
        <is>
          <t>Split by REV_DEBT</t>
        </is>
      </c>
      <c r="B648" t="inlineStr">
        <is>
          <t>Earned before losses</t>
        </is>
      </c>
      <c r="C648" t="n">
        <v>1183</v>
      </c>
      <c r="D648" t="inlineStr">
        <is>
          <t>ORIG_BAL 5,005 - 15,448</t>
        </is>
      </c>
      <c r="E648" t="inlineStr">
        <is>
          <t>ASSET_CLASS 3</t>
        </is>
      </c>
      <c r="F648" t="inlineStr">
        <is>
          <t>low</t>
        </is>
      </c>
      <c r="G648" t="n">
        <v>177</v>
      </c>
      <c r="H648" t="n">
        <v>-2.843984128285355</v>
      </c>
      <c r="I648" t="inlineStr">
        <is>
          <t>No: may be mostly FICO</t>
        </is>
      </c>
      <c r="J648" t="n">
        <v>92</v>
      </c>
      <c r="K648">
        <f>'_pockets'!$AI$1183</f>
        <v/>
      </c>
      <c r="L648">
        <f>'_pockets'!$AJ$1183</f>
        <v/>
      </c>
      <c r="M648">
        <f>IF(AND($A648='Pockets'!$D$18,$B648='Pockets'!$C$18,OR('Pockets'!$E$18="All",AND('Pockets'!$E$18="Worse and material",$K648="Yes",$L648="Yes"),AND('Pockets'!$E$18="Worse or not sure",OR($K648="Yes",$K648="Not sure")))),1,0)</f>
        <v/>
      </c>
      <c r="N648">
        <f>$N647+$M648</f>
        <v/>
      </c>
      <c r="O648" t="inlineStr">
        <is>
          <t>three-way</t>
        </is>
      </c>
      <c r="P648" t="inlineStr">
        <is>
          <t>contribution_rate</t>
        </is>
      </c>
    </row>
    <row r="649">
      <c r="A649" t="inlineStr">
        <is>
          <t>Split by REV_DEBT</t>
        </is>
      </c>
      <c r="B649" t="inlineStr">
        <is>
          <t>Earned before losses</t>
        </is>
      </c>
      <c r="C649" t="n">
        <v>1043</v>
      </c>
      <c r="D649" t="inlineStr">
        <is>
          <t>ORIG_BAL 5,005 - 15,448</t>
        </is>
      </c>
      <c r="E649" t="inlineStr">
        <is>
          <t>ASSET_CLASS 1</t>
        </is>
      </c>
      <c r="F649" t="inlineStr">
        <is>
          <t>low</t>
        </is>
      </c>
      <c r="G649" t="n">
        <v>209</v>
      </c>
      <c r="H649" t="n">
        <v>-2.622593312860822</v>
      </c>
      <c r="I649" t="inlineStr">
        <is>
          <t>No: may be mostly FICO</t>
        </is>
      </c>
      <c r="J649" t="n">
        <v>93</v>
      </c>
      <c r="K649">
        <f>'_pockets'!$AI$1043</f>
        <v/>
      </c>
      <c r="L649">
        <f>'_pockets'!$AJ$1043</f>
        <v/>
      </c>
      <c r="M649">
        <f>IF(AND($A649='Pockets'!$D$18,$B649='Pockets'!$C$18,OR('Pockets'!$E$18="All",AND('Pockets'!$E$18="Worse and material",$K649="Yes",$L649="Yes"),AND('Pockets'!$E$18="Worse or not sure",OR($K649="Yes",$K649="Not sure")))),1,0)</f>
        <v/>
      </c>
      <c r="N649">
        <f>$N648+$M649</f>
        <v/>
      </c>
      <c r="O649" t="inlineStr">
        <is>
          <t>three-way</t>
        </is>
      </c>
      <c r="P649" t="inlineStr">
        <is>
          <t>contribution_rate</t>
        </is>
      </c>
    </row>
    <row r="650">
      <c r="A650" t="inlineStr">
        <is>
          <t>Split by REV_DEBT</t>
        </is>
      </c>
      <c r="B650" t="inlineStr">
        <is>
          <t>Earned before losses</t>
        </is>
      </c>
      <c r="C650" t="n">
        <v>1048</v>
      </c>
      <c r="D650" t="inlineStr">
        <is>
          <t>ORIG_BAL 5,005 - 15,448</t>
        </is>
      </c>
      <c r="E650" t="inlineStr">
        <is>
          <t>ASSET_CLASS 4</t>
        </is>
      </c>
      <c r="F650" t="inlineStr">
        <is>
          <t>low</t>
        </is>
      </c>
      <c r="G650" t="n">
        <v>213</v>
      </c>
      <c r="H650" t="n">
        <v>-2.598518626858829</v>
      </c>
      <c r="I650" t="inlineStr">
        <is>
          <t>No: may be mostly FICO</t>
        </is>
      </c>
      <c r="J650" t="n">
        <v>94</v>
      </c>
      <c r="K650">
        <f>'_pockets'!$AI$1048</f>
        <v/>
      </c>
      <c r="L650">
        <f>'_pockets'!$AJ$1048</f>
        <v/>
      </c>
      <c r="M650">
        <f>IF(AND($A650='Pockets'!$D$18,$B650='Pockets'!$C$18,OR('Pockets'!$E$18="All",AND('Pockets'!$E$18="Worse and material",$K650="Yes",$L650="Yes"),AND('Pockets'!$E$18="Worse or not sure",OR($K650="Yes",$K650="Not sure")))),1,0)</f>
        <v/>
      </c>
      <c r="N650">
        <f>$N649+$M650</f>
        <v/>
      </c>
      <c r="O650" t="inlineStr">
        <is>
          <t>three-way</t>
        </is>
      </c>
      <c r="P650" t="inlineStr">
        <is>
          <t>contribution_rate</t>
        </is>
      </c>
    </row>
    <row r="651">
      <c r="A651" t="inlineStr">
        <is>
          <t>Split by REV_DEBT</t>
        </is>
      </c>
      <c r="B651" t="inlineStr">
        <is>
          <t>Earned before losses</t>
        </is>
      </c>
      <c r="C651" t="n">
        <v>923</v>
      </c>
      <c r="D651" t="inlineStr">
        <is>
          <t>ORIG_BAL 26,324 - 37,950</t>
        </is>
      </c>
      <c r="E651" t="inlineStr">
        <is>
          <t>Online</t>
        </is>
      </c>
      <c r="F651" t="inlineStr">
        <is>
          <t>low</t>
        </is>
      </c>
      <c r="G651" t="n">
        <v>264</v>
      </c>
      <c r="H651" t="n">
        <v>-2.34175198575235</v>
      </c>
      <c r="I651" t="inlineStr">
        <is>
          <t>No: may be mostly FICO</t>
        </is>
      </c>
      <c r="J651" t="n">
        <v>95</v>
      </c>
      <c r="K651">
        <f>'_pockets'!$AI$923</f>
        <v/>
      </c>
      <c r="L651">
        <f>'_pockets'!$AJ$923</f>
        <v/>
      </c>
      <c r="M651">
        <f>IF(AND($A651='Pockets'!$D$18,$B651='Pockets'!$C$18,OR('Pockets'!$E$18="All",AND('Pockets'!$E$18="Worse and material",$K651="Yes",$L651="Yes"),AND('Pockets'!$E$18="Worse or not sure",OR($K651="Yes",$K651="Not sure")))),1,0)</f>
        <v/>
      </c>
      <c r="N651">
        <f>$N650+$M651</f>
        <v/>
      </c>
      <c r="O651" t="inlineStr">
        <is>
          <t>three-way</t>
        </is>
      </c>
      <c r="P651" t="inlineStr">
        <is>
          <t>contribution_rate</t>
        </is>
      </c>
    </row>
    <row r="652">
      <c r="A652" t="inlineStr">
        <is>
          <t>Split by REV_DEBT</t>
        </is>
      </c>
      <c r="B652" t="inlineStr">
        <is>
          <t>Earned before losses</t>
        </is>
      </c>
      <c r="C652" t="n">
        <v>898</v>
      </c>
      <c r="D652" t="inlineStr">
        <is>
          <t>ORIG_BAL 5,005 - 15,448</t>
        </is>
      </c>
      <c r="E652" t="inlineStr">
        <is>
          <t>Online</t>
        </is>
      </c>
      <c r="F652" t="inlineStr">
        <is>
          <t>low</t>
        </is>
      </c>
      <c r="G652" t="n">
        <v>272</v>
      </c>
      <c r="H652" t="n">
        <v>-2.308251574942028</v>
      </c>
      <c r="I652" t="inlineStr">
        <is>
          <t>No: may be mostly FICO</t>
        </is>
      </c>
      <c r="J652" t="n">
        <v>96</v>
      </c>
      <c r="K652">
        <f>'_pockets'!$AI$898</f>
        <v/>
      </c>
      <c r="L652">
        <f>'_pockets'!$AJ$898</f>
        <v/>
      </c>
      <c r="M652">
        <f>IF(AND($A652='Pockets'!$D$18,$B652='Pockets'!$C$18,OR('Pockets'!$E$18="All",AND('Pockets'!$E$18="Worse and material",$K652="Yes",$L652="Yes"),AND('Pockets'!$E$18="Worse or not sure",OR($K652="Yes",$K652="Not sure")))),1,0)</f>
        <v/>
      </c>
      <c r="N652">
        <f>$N651+$M652</f>
        <v/>
      </c>
      <c r="O652" t="inlineStr">
        <is>
          <t>three-way</t>
        </is>
      </c>
      <c r="P652"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kept'!$K$20="","",'Paid, cost, kept'!$B$20&amp;" / "&amp;'Paid, cost, kept'!$C$20)</f>
        <v/>
      </c>
      <c r="D1">
        <f>IF('Paid, cost, kept'!$K$20="",NA(),'Paid, cost, kept'!$G$20)</f>
        <v/>
      </c>
      <c r="E1">
        <f>IF('Paid, cost, kept'!$K$20="",NA(),'Paid, cost, kept'!$I$20)</f>
        <v/>
      </c>
      <c r="F1">
        <f>IF(AND(NOT(ISNA(A1)),'Paid, cost, kept'!$K$20="Net drain"),A1,NA())</f>
        <v/>
      </c>
      <c r="G1">
        <f>IF(ISNA(F1),NA(),B1)</f>
        <v/>
      </c>
      <c r="H1">
        <f>IF(AND(NOT(ISNA(A1)),OR('Paid, cost, kept'!$K$20="Priced for it",'Paid, cost, kept'!$K$20="Strong")),A1,NA())</f>
        <v/>
      </c>
      <c r="I1">
        <f>IF(ISNA(H1),NA(),B1)</f>
        <v/>
      </c>
      <c r="J1">
        <f>IF(C1="","",1)</f>
        <v/>
      </c>
    </row>
    <row r="2">
      <c r="A2">
        <f>IF(OR('Paid, cost, kept'!$AO$21&lt;&gt;0,'Paid, cost, kept'!$G$21="",'Paid, cost, kept'!$I$21=""),NA(),'Paid, cost, kept'!$G$21)</f>
        <v/>
      </c>
      <c r="B2">
        <f>IF(ISNA(A2),NA(),'Paid, cost, kept'!$I$21)</f>
        <v/>
      </c>
      <c r="C2">
        <f>IF('Paid, cost, kept'!$K$21="","",'Paid, cost, kept'!$B$21&amp;" / "&amp;'Paid, cost, kept'!$C$21)</f>
        <v/>
      </c>
      <c r="D2">
        <f>IF('Paid, cost, kept'!$K$21="",NA(),'Paid, cost, kept'!$G$21)</f>
        <v/>
      </c>
      <c r="E2">
        <f>IF('Paid, cost, kept'!$K$21="",NA(),'Paid, cost, kept'!$I$21)</f>
        <v/>
      </c>
      <c r="F2">
        <f>IF(AND(NOT(ISNA(A2)),'Paid, cost, kept'!$K$21="Net drain"),A2,NA())</f>
        <v/>
      </c>
      <c r="G2">
        <f>IF(ISNA(F2),NA(),B2)</f>
        <v/>
      </c>
      <c r="H2">
        <f>IF(AND(NOT(ISNA(A2)),OR('Paid, cost, kept'!$K$21="Priced for it",'Paid, cost, kept'!$K$21="Strong")),A2,NA())</f>
        <v/>
      </c>
      <c r="I2">
        <f>IF(ISNA(H2),NA(),B2)</f>
        <v/>
      </c>
      <c r="J2">
        <f>IF(C2="","",2)</f>
        <v/>
      </c>
    </row>
    <row r="3">
      <c r="A3">
        <f>IF(OR('Paid, cost, kept'!$AO$22&lt;&gt;0,'Paid, cost, kept'!$G$22="",'Paid, cost, kept'!$I$22=""),NA(),'Paid, cost, kept'!$G$22)</f>
        <v/>
      </c>
      <c r="B3">
        <f>IF(ISNA(A3),NA(),'Paid, cost, kept'!$I$22)</f>
        <v/>
      </c>
      <c r="C3">
        <f>IF('Paid, cost, kept'!$K$22="","",'Paid, cost, kept'!$B$22&amp;" / "&amp;'Paid, cost, kept'!$C$22)</f>
        <v/>
      </c>
      <c r="D3">
        <f>IF('Paid, cost, kept'!$K$22="",NA(),'Paid, cost, kept'!$G$22)</f>
        <v/>
      </c>
      <c r="E3">
        <f>IF('Paid, cost, kept'!$K$22="",NA(),'Paid, cost, kept'!$I$22)</f>
        <v/>
      </c>
      <c r="F3">
        <f>IF(AND(NOT(ISNA(A3)),'Paid, cost, kept'!$K$22="Net drain"),A3,NA())</f>
        <v/>
      </c>
      <c r="G3">
        <f>IF(ISNA(F3),NA(),B3)</f>
        <v/>
      </c>
      <c r="H3">
        <f>IF(AND(NOT(ISNA(A3)),OR('Paid, cost, kept'!$K$22="Priced for it",'Paid, cost, kept'!$K$22="Strong")),A3,NA())</f>
        <v/>
      </c>
      <c r="I3">
        <f>IF(ISNA(H3),NA(),B3)</f>
        <v/>
      </c>
      <c r="J3">
        <f>IF(C3="","",3)</f>
        <v/>
      </c>
    </row>
    <row r="4">
      <c r="A4">
        <f>IF(OR('Paid, cost, kept'!$AO$23&lt;&gt;0,'Paid, cost, kept'!$G$23="",'Paid, cost, kept'!$I$23=""),NA(),'Paid, cost, kept'!$G$23)</f>
        <v/>
      </c>
      <c r="B4">
        <f>IF(ISNA(A4),NA(),'Paid, cost, kept'!$I$23)</f>
        <v/>
      </c>
      <c r="C4">
        <f>IF('Paid, cost, kept'!$K$23="","",'Paid, cost, kept'!$B$23&amp;" / "&amp;'Paid, cost, kept'!$C$23)</f>
        <v/>
      </c>
      <c r="D4">
        <f>IF('Paid, cost, kept'!$K$23="",NA(),'Paid, cost, kept'!$G$23)</f>
        <v/>
      </c>
      <c r="E4">
        <f>IF('Paid, cost, kept'!$K$23="",NA(),'Paid, cost, kept'!$I$23)</f>
        <v/>
      </c>
      <c r="F4">
        <f>IF(AND(NOT(ISNA(A4)),'Paid, cost, kept'!$K$23="Net drain"),A4,NA())</f>
        <v/>
      </c>
      <c r="G4">
        <f>IF(ISNA(F4),NA(),B4)</f>
        <v/>
      </c>
      <c r="H4">
        <f>IF(AND(NOT(ISNA(A4)),OR('Paid, cost, kept'!$K$23="Priced for it",'Paid, cost, kept'!$K$23="Strong")),A4,NA())</f>
        <v/>
      </c>
      <c r="I4">
        <f>IF(ISNA(H4),NA(),B4)</f>
        <v/>
      </c>
      <c r="J4">
        <f>IF(C4="","",4)</f>
        <v/>
      </c>
    </row>
    <row r="5">
      <c r="A5">
        <f>IF(OR('Paid, cost, kept'!$AO$24&lt;&gt;0,'Paid, cost, kept'!$G$24="",'Paid, cost, kept'!$I$24=""),NA(),'Paid, cost, kept'!$G$24)</f>
        <v/>
      </c>
      <c r="B5">
        <f>IF(ISNA(A5),NA(),'Paid, cost, kept'!$I$24)</f>
        <v/>
      </c>
      <c r="C5">
        <f>IF('Paid, cost, kept'!$K$24="","",'Paid, cost, kept'!$B$24&amp;" / "&amp;'Paid, cost, kept'!$C$24)</f>
        <v/>
      </c>
      <c r="D5">
        <f>IF('Paid, cost, kept'!$K$24="",NA(),'Paid, cost, kept'!$G$24)</f>
        <v/>
      </c>
      <c r="E5">
        <f>IF('Paid, cost, kept'!$K$24="",NA(),'Paid, cost, kept'!$I$24)</f>
        <v/>
      </c>
      <c r="F5">
        <f>IF(AND(NOT(ISNA(A5)),'Paid, cost, kept'!$K$24="Net drain"),A5,NA())</f>
        <v/>
      </c>
      <c r="G5">
        <f>IF(ISNA(F5),NA(),B5)</f>
        <v/>
      </c>
      <c r="H5">
        <f>IF(AND(NOT(ISNA(A5)),OR('Paid, cost, kept'!$K$24="Priced for it",'Paid, cost, kept'!$K$24="Strong")),A5,NA())</f>
        <v/>
      </c>
      <c r="I5">
        <f>IF(ISNA(H5),NA(),B5)</f>
        <v/>
      </c>
      <c r="J5">
        <f>IF(C5="","",5)</f>
        <v/>
      </c>
    </row>
    <row r="6">
      <c r="A6">
        <f>IF(OR('Paid, cost, kept'!$AO$25&lt;&gt;0,'Paid, cost, kept'!$G$25="",'Paid, cost, kept'!$I$25=""),NA(),'Paid, cost, kept'!$G$25)</f>
        <v/>
      </c>
      <c r="B6">
        <f>IF(ISNA(A6),NA(),'Paid, cost, kept'!$I$25)</f>
        <v/>
      </c>
      <c r="C6">
        <f>IF('Paid, cost, kept'!$K$25="","",'Paid, cost, kept'!$B$25&amp;" / "&amp;'Paid, cost, kept'!$C$25)</f>
        <v/>
      </c>
      <c r="D6">
        <f>IF('Paid, cost, kept'!$K$25="",NA(),'Paid, cost, kept'!$G$25)</f>
        <v/>
      </c>
      <c r="E6">
        <f>IF('Paid, cost, kept'!$K$25="",NA(),'Paid, cost, kept'!$I$25)</f>
        <v/>
      </c>
      <c r="F6">
        <f>IF(AND(NOT(ISNA(A6)),'Paid, cost, kept'!$K$25="Net drain"),A6,NA())</f>
        <v/>
      </c>
      <c r="G6">
        <f>IF(ISNA(F6),NA(),B6)</f>
        <v/>
      </c>
      <c r="H6">
        <f>IF(AND(NOT(ISNA(A6)),OR('Paid, cost, kept'!$K$25="Priced for it",'Paid, cost, kept'!$K$25="Strong")),A6,NA())</f>
        <v/>
      </c>
      <c r="I6">
        <f>IF(ISNA(H6),NA(),B6)</f>
        <v/>
      </c>
      <c r="J6">
        <f>IF(C6="","",6)</f>
        <v/>
      </c>
    </row>
    <row r="7">
      <c r="A7">
        <f>IF(OR('Paid, cost, kept'!$AO$26&lt;&gt;0,'Paid, cost, kept'!$G$26="",'Paid, cost, kept'!$I$26=""),NA(),'Paid, cost, kept'!$G$26)</f>
        <v/>
      </c>
      <c r="B7">
        <f>IF(ISNA(A7),NA(),'Paid, cost, kept'!$I$26)</f>
        <v/>
      </c>
      <c r="C7">
        <f>IF('Paid, cost, kept'!$K$26="","",'Paid, cost, kept'!$B$26&amp;" / "&amp;'Paid, cost, kept'!$C$26)</f>
        <v/>
      </c>
      <c r="D7">
        <f>IF('Paid, cost, kept'!$K$26="",NA(),'Paid, cost, kept'!$G$26)</f>
        <v/>
      </c>
      <c r="E7">
        <f>IF('Paid, cost, kept'!$K$26="",NA(),'Paid, cost, kept'!$I$26)</f>
        <v/>
      </c>
      <c r="F7">
        <f>IF(AND(NOT(ISNA(A7)),'Paid, cost, kept'!$K$26="Net drain"),A7,NA())</f>
        <v/>
      </c>
      <c r="G7">
        <f>IF(ISNA(F7),NA(),B7)</f>
        <v/>
      </c>
      <c r="H7">
        <f>IF(AND(NOT(ISNA(A7)),OR('Paid, cost, kept'!$K$26="Priced for it",'Paid, cost, kept'!$K$26="Strong")),A7,NA())</f>
        <v/>
      </c>
      <c r="I7">
        <f>IF(ISNA(H7),NA(),B7)</f>
        <v/>
      </c>
      <c r="J7">
        <f>IF(C7="","",7)</f>
        <v/>
      </c>
    </row>
    <row r="8">
      <c r="A8">
        <f>IF(OR('Paid, cost, kept'!$AO$27&lt;&gt;0,'Paid, cost, kept'!$G$27="",'Paid, cost, kept'!$I$27=""),NA(),'Paid, cost, kept'!$G$27)</f>
        <v/>
      </c>
      <c r="B8">
        <f>IF(ISNA(A8),NA(),'Paid, cost, kept'!$I$27)</f>
        <v/>
      </c>
      <c r="C8">
        <f>IF('Paid, cost, kept'!$K$27="","",'Paid, cost, kept'!$B$27&amp;" / "&amp;'Paid, cost, kept'!$C$27)</f>
        <v/>
      </c>
      <c r="D8">
        <f>IF('Paid, cost, kept'!$K$27="",NA(),'Paid, cost, kept'!$G$27)</f>
        <v/>
      </c>
      <c r="E8">
        <f>IF('Paid, cost, kept'!$K$27="",NA(),'Paid, cost, kept'!$I$27)</f>
        <v/>
      </c>
      <c r="F8">
        <f>IF(AND(NOT(ISNA(A8)),'Paid, cost, kept'!$K$27="Net drain"),A8,NA())</f>
        <v/>
      </c>
      <c r="G8">
        <f>IF(ISNA(F8),NA(),B8)</f>
        <v/>
      </c>
      <c r="H8">
        <f>IF(AND(NOT(ISNA(A8)),OR('Paid, cost, kept'!$K$27="Priced for it",'Paid, cost, kept'!$K$27="Strong")),A8,NA())</f>
        <v/>
      </c>
      <c r="I8">
        <f>IF(ISNA(H8),NA(),B8)</f>
        <v/>
      </c>
      <c r="J8">
        <f>IF(C8="","",8)</f>
        <v/>
      </c>
    </row>
    <row r="9">
      <c r="A9">
        <f>IF(OR('Paid, cost, kept'!$AO$28&lt;&gt;0,'Paid, cost, kept'!$G$28="",'Paid, cost, kept'!$I$28=""),NA(),'Paid, cost, kept'!$G$28)</f>
        <v/>
      </c>
      <c r="B9">
        <f>IF(ISNA(A9),NA(),'Paid, cost, kept'!$I$28)</f>
        <v/>
      </c>
      <c r="C9">
        <f>IF('Paid, cost, kept'!$K$28="","",'Paid, cost, kept'!$B$28&amp;" / "&amp;'Paid, cost, kept'!$C$28)</f>
        <v/>
      </c>
      <c r="D9">
        <f>IF('Paid, cost, kept'!$K$28="",NA(),'Paid, cost, kept'!$G$28)</f>
        <v/>
      </c>
      <c r="E9">
        <f>IF('Paid, cost, kept'!$K$28="",NA(),'Paid, cost, kept'!$I$28)</f>
        <v/>
      </c>
      <c r="F9">
        <f>IF(AND(NOT(ISNA(A9)),'Paid, cost, kept'!$K$28="Net drain"),A9,NA())</f>
        <v/>
      </c>
      <c r="G9">
        <f>IF(ISNA(F9),NA(),B9)</f>
        <v/>
      </c>
      <c r="H9">
        <f>IF(AND(NOT(ISNA(A9)),OR('Paid, cost, kept'!$K$28="Priced for it",'Paid, cost, kept'!$K$28="Strong")),A9,NA())</f>
        <v/>
      </c>
      <c r="I9">
        <f>IF(ISNA(H9),NA(),B9)</f>
        <v/>
      </c>
      <c r="J9">
        <f>IF(C9="","",9)</f>
        <v/>
      </c>
    </row>
    <row r="10">
      <c r="A10">
        <f>IF(OR('Paid, cost, kept'!$AO$29&lt;&gt;0,'Paid, cost, kept'!$G$29="",'Paid, cost, kept'!$I$29=""),NA(),'Paid, cost, kept'!$G$29)</f>
        <v/>
      </c>
      <c r="B10">
        <f>IF(ISNA(A10),NA(),'Paid, cost, kept'!$I$29)</f>
        <v/>
      </c>
      <c r="C10">
        <f>IF('Paid, cost, kept'!$K$29="","",'Paid, cost, kept'!$B$29&amp;" / "&amp;'Paid, cost, kept'!$C$29)</f>
        <v/>
      </c>
      <c r="D10">
        <f>IF('Paid, cost, kept'!$K$29="",NA(),'Paid, cost, kept'!$G$29)</f>
        <v/>
      </c>
      <c r="E10">
        <f>IF('Paid, cost, kept'!$K$29="",NA(),'Paid, cost, kept'!$I$29)</f>
        <v/>
      </c>
      <c r="F10">
        <f>IF(AND(NOT(ISNA(A10)),'Paid, cost, kept'!$K$29="Net drain"),A10,NA())</f>
        <v/>
      </c>
      <c r="G10">
        <f>IF(ISNA(F10),NA(),B10)</f>
        <v/>
      </c>
      <c r="H10">
        <f>IF(AND(NOT(ISNA(A10)),OR('Paid, cost, kept'!$K$29="Priced for it",'Paid, cost, kept'!$K$29="Strong")),A10,NA())</f>
        <v/>
      </c>
      <c r="I10">
        <f>IF(ISNA(H10),NA(),B10)</f>
        <v/>
      </c>
      <c r="J10">
        <f>IF(C10="","",10)</f>
        <v/>
      </c>
    </row>
    <row r="11">
      <c r="A11">
        <f>IF(OR('Paid, cost, kept'!$AO$30&lt;&gt;0,'Paid, cost, kept'!$G$30="",'Paid, cost, kept'!$I$30=""),NA(),'Paid, cost, kept'!$G$30)</f>
        <v/>
      </c>
      <c r="B11">
        <f>IF(ISNA(A11),NA(),'Paid, cost, kept'!$I$30)</f>
        <v/>
      </c>
      <c r="C11">
        <f>IF('Paid, cost, kept'!$K$30="","",'Paid, cost, kept'!$B$30&amp;" / "&amp;'Paid, cost, kept'!$C$30)</f>
        <v/>
      </c>
      <c r="D11">
        <f>IF('Paid, cost, kept'!$K$30="",NA(),'Paid, cost, kept'!$G$30)</f>
        <v/>
      </c>
      <c r="E11">
        <f>IF('Paid, cost, kept'!$K$30="",NA(),'Paid, cost, kept'!$I$30)</f>
        <v/>
      </c>
      <c r="F11">
        <f>IF(AND(NOT(ISNA(A11)),'Paid, cost, kept'!$K$30="Net drain"),A11,NA())</f>
        <v/>
      </c>
      <c r="G11">
        <f>IF(ISNA(F11),NA(),B11)</f>
        <v/>
      </c>
      <c r="H11">
        <f>IF(AND(NOT(ISNA(A11)),OR('Paid, cost, kept'!$K$30="Priced for it",'Paid, cost, kept'!$K$30="Strong")),A11,NA())</f>
        <v/>
      </c>
      <c r="I11">
        <f>IF(ISNA(H11),NA(),B11)</f>
        <v/>
      </c>
      <c r="J11">
        <f>IF(C11="","",11)</f>
        <v/>
      </c>
    </row>
    <row r="12">
      <c r="A12">
        <f>IF(OR('Paid, cost, kept'!$AO$31&lt;&gt;0,'Paid, cost, kept'!$G$31="",'Paid, cost, kept'!$I$31=""),NA(),'Paid, cost, kept'!$G$31)</f>
        <v/>
      </c>
      <c r="B12">
        <f>IF(ISNA(A12),NA(),'Paid, cost, kept'!$I$31)</f>
        <v/>
      </c>
      <c r="C12">
        <f>IF('Paid, cost, kept'!$K$31="","",'Paid, cost, kept'!$B$31&amp;" / "&amp;'Paid, cost, kept'!$C$31)</f>
        <v/>
      </c>
      <c r="D12">
        <f>IF('Paid, cost, kept'!$K$31="",NA(),'Paid, cost, kept'!$G$31)</f>
        <v/>
      </c>
      <c r="E12">
        <f>IF('Paid, cost, kept'!$K$31="",NA(),'Paid, cost, kept'!$I$31)</f>
        <v/>
      </c>
      <c r="F12">
        <f>IF(AND(NOT(ISNA(A12)),'Paid, cost, kept'!$K$31="Net drain"),A12,NA())</f>
        <v/>
      </c>
      <c r="G12">
        <f>IF(ISNA(F12),NA(),B12)</f>
        <v/>
      </c>
      <c r="H12">
        <f>IF(AND(NOT(ISNA(A12)),OR('Paid, cost, kept'!$K$31="Priced for it",'Paid, cost, kept'!$K$31="Strong")),A12,NA())</f>
        <v/>
      </c>
      <c r="I12">
        <f>IF(ISNA(H12),NA(),B12)</f>
        <v/>
      </c>
      <c r="J12">
        <f>IF(C12="","",12)</f>
        <v/>
      </c>
    </row>
    <row r="13">
      <c r="A13">
        <f>IF(OR('Paid, cost, kept'!$AO$32&lt;&gt;0,'Paid, cost, kept'!$G$32="",'Paid, cost, kept'!$I$32=""),NA(),'Paid, cost, kept'!$G$32)</f>
        <v/>
      </c>
      <c r="B13">
        <f>IF(ISNA(A13),NA(),'Paid, cost, kept'!$I$32)</f>
        <v/>
      </c>
      <c r="C13">
        <f>IF('Paid, cost, kept'!$K$32="","",'Paid, cost, kept'!$B$32&amp;" / "&amp;'Paid, cost, kept'!$C$32)</f>
        <v/>
      </c>
      <c r="D13">
        <f>IF('Paid, cost, kept'!$K$32="",NA(),'Paid, cost, kept'!$G$32)</f>
        <v/>
      </c>
      <c r="E13">
        <f>IF('Paid, cost, kept'!$K$32="",NA(),'Paid, cost, kept'!$I$32)</f>
        <v/>
      </c>
      <c r="F13">
        <f>IF(AND(NOT(ISNA(A13)),'Paid, cost, kept'!$K$32="Net drain"),A13,NA())</f>
        <v/>
      </c>
      <c r="G13">
        <f>IF(ISNA(F13),NA(),B13)</f>
        <v/>
      </c>
      <c r="H13">
        <f>IF(AND(NOT(ISNA(A13)),OR('Paid, cost, kept'!$K$32="Priced for it",'Paid, cost, kept'!$K$32="Strong")),A13,NA())</f>
        <v/>
      </c>
      <c r="I13">
        <f>IF(ISNA(H13),NA(),B13)</f>
        <v/>
      </c>
      <c r="J13">
        <f>IF(C13="","",13)</f>
        <v/>
      </c>
    </row>
    <row r="14">
      <c r="A14">
        <f>IF(OR('Paid, cost, kept'!$AO$33&lt;&gt;0,'Paid, cost, kept'!$G$33="",'Paid, cost, kept'!$I$33=""),NA(),'Paid, cost, kept'!$G$33)</f>
        <v/>
      </c>
      <c r="B14">
        <f>IF(ISNA(A14),NA(),'Paid, cost, kept'!$I$33)</f>
        <v/>
      </c>
      <c r="C14">
        <f>IF('Paid, cost, kept'!$K$33="","",'Paid, cost, kept'!$B$33&amp;" / "&amp;'Paid, cost, kept'!$C$33)</f>
        <v/>
      </c>
      <c r="D14">
        <f>IF('Paid, cost, kept'!$K$33="",NA(),'Paid, cost, kept'!$G$33)</f>
        <v/>
      </c>
      <c r="E14">
        <f>IF('Paid, cost, kept'!$K$33="",NA(),'Paid, cost, kept'!$I$33)</f>
        <v/>
      </c>
      <c r="F14">
        <f>IF(AND(NOT(ISNA(A14)),'Paid, cost, kept'!$K$33="Net drain"),A14,NA())</f>
        <v/>
      </c>
      <c r="G14">
        <f>IF(ISNA(F14),NA(),B14)</f>
        <v/>
      </c>
      <c r="H14">
        <f>IF(AND(NOT(ISNA(A14)),OR('Paid, cost, kept'!$K$33="Priced for it",'Paid, cost, kept'!$K$33="Strong")),A14,NA())</f>
        <v/>
      </c>
      <c r="I14">
        <f>IF(ISNA(H14),NA(),B14)</f>
        <v/>
      </c>
      <c r="J14">
        <f>IF(C14="","",14)</f>
        <v/>
      </c>
    </row>
    <row r="15">
      <c r="A15">
        <f>IF(OR('Paid, cost, kept'!$AO$34&lt;&gt;0,'Paid, cost, kept'!$G$34="",'Paid, cost, kept'!$I$34=""),NA(),'Paid, cost, kept'!$G$34)</f>
        <v/>
      </c>
      <c r="B15">
        <f>IF(ISNA(A15),NA(),'Paid, cost, kept'!$I$34)</f>
        <v/>
      </c>
      <c r="C15">
        <f>IF('Paid, cost, kept'!$K$34="","",'Paid, cost, kept'!$B$34&amp;" / "&amp;'Paid, cost, kept'!$C$34)</f>
        <v/>
      </c>
      <c r="D15">
        <f>IF('Paid, cost, kept'!$K$34="",NA(),'Paid, cost, kept'!$G$34)</f>
        <v/>
      </c>
      <c r="E15">
        <f>IF('Paid, cost, kept'!$K$34="",NA(),'Paid, cost, kept'!$I$34)</f>
        <v/>
      </c>
      <c r="F15">
        <f>IF(AND(NOT(ISNA(A15)),'Paid, cost, kept'!$K$34="Net drain"),A15,NA())</f>
        <v/>
      </c>
      <c r="G15">
        <f>IF(ISNA(F15),NA(),B15)</f>
        <v/>
      </c>
      <c r="H15">
        <f>IF(AND(NOT(ISNA(A15)),OR('Paid, cost, kept'!$K$34="Priced for it",'Paid, cost, kept'!$K$34="Strong")),A15,NA())</f>
        <v/>
      </c>
      <c r="I15">
        <f>IF(ISNA(H15),NA(),B15)</f>
        <v/>
      </c>
      <c r="J15">
        <f>IF(C15="","",15)</f>
        <v/>
      </c>
    </row>
    <row r="16">
      <c r="A16">
        <f>IF(OR('Paid, cost, kept'!$AO$35&lt;&gt;0,'Paid, cost, kept'!$G$35="",'Paid, cost, kept'!$I$35=""),NA(),'Paid, cost, kept'!$G$35)</f>
        <v/>
      </c>
      <c r="B16">
        <f>IF(ISNA(A16),NA(),'Paid, cost, kept'!$I$35)</f>
        <v/>
      </c>
      <c r="C16">
        <f>IF('Paid, cost, kept'!$K$35="","",'Paid, cost, kept'!$B$35&amp;" / "&amp;'Paid, cost, kept'!$C$35)</f>
        <v/>
      </c>
      <c r="D16">
        <f>IF('Paid, cost, kept'!$K$35="",NA(),'Paid, cost, kept'!$G$35)</f>
        <v/>
      </c>
      <c r="E16">
        <f>IF('Paid, cost, kept'!$K$35="",NA(),'Paid, cost, kept'!$I$35)</f>
        <v/>
      </c>
      <c r="F16">
        <f>IF(AND(NOT(ISNA(A16)),'Paid, cost, kept'!$K$35="Net drain"),A16,NA())</f>
        <v/>
      </c>
      <c r="G16">
        <f>IF(ISNA(F16),NA(),B16)</f>
        <v/>
      </c>
      <c r="H16">
        <f>IF(AND(NOT(ISNA(A16)),OR('Paid, cost, kept'!$K$35="Priced for it",'Paid, cost, kept'!$K$35="Strong")),A16,NA())</f>
        <v/>
      </c>
      <c r="I16">
        <f>IF(ISNA(H16),NA(),B16)</f>
        <v/>
      </c>
      <c r="J16">
        <f>IF(C16="","",16)</f>
        <v/>
      </c>
    </row>
    <row r="17">
      <c r="A17">
        <f>IF(OR('Paid, cost, kept'!$AO$36&lt;&gt;0,'Paid, cost, kept'!$G$36="",'Paid, cost, kept'!$I$36=""),NA(),'Paid, cost, kept'!$G$36)</f>
        <v/>
      </c>
      <c r="B17">
        <f>IF(ISNA(A17),NA(),'Paid, cost, kept'!$I$36)</f>
        <v/>
      </c>
      <c r="C17">
        <f>IF('Paid, cost, kept'!$K$36="","",'Paid, cost, kept'!$B$36&amp;" / "&amp;'Paid, cost, kept'!$C$36)</f>
        <v/>
      </c>
      <c r="D17">
        <f>IF('Paid, cost, kept'!$K$36="",NA(),'Paid, cost, kept'!$G$36)</f>
        <v/>
      </c>
      <c r="E17">
        <f>IF('Paid, cost, kept'!$K$36="",NA(),'Paid, cost, kept'!$I$36)</f>
        <v/>
      </c>
      <c r="F17">
        <f>IF(AND(NOT(ISNA(A17)),'Paid, cost, kept'!$K$36="Net drain"),A17,NA())</f>
        <v/>
      </c>
      <c r="G17">
        <f>IF(ISNA(F17),NA(),B17)</f>
        <v/>
      </c>
      <c r="H17">
        <f>IF(AND(NOT(ISNA(A17)),OR('Paid, cost, kept'!$K$36="Priced for it",'Paid, cost, kept'!$K$36="Strong")),A17,NA())</f>
        <v/>
      </c>
      <c r="I17">
        <f>IF(ISNA(H17),NA(),B17)</f>
        <v/>
      </c>
      <c r="J17">
        <f>IF(C17="","",17)</f>
        <v/>
      </c>
    </row>
    <row r="18">
      <c r="A18">
        <f>IF(OR('Paid, cost, kept'!$AO$37&lt;&gt;0,'Paid, cost, kept'!$G$37="",'Paid, cost, kept'!$I$37=""),NA(),'Paid, cost, kept'!$G$37)</f>
        <v/>
      </c>
      <c r="B18">
        <f>IF(ISNA(A18),NA(),'Paid, cost, kept'!$I$37)</f>
        <v/>
      </c>
      <c r="C18">
        <f>IF('Paid, cost, kept'!$K$37="","",'Paid, cost, kept'!$B$37&amp;" / "&amp;'Paid, cost, kept'!$C$37)</f>
        <v/>
      </c>
      <c r="D18">
        <f>IF('Paid, cost, kept'!$K$37="",NA(),'Paid, cost, kept'!$G$37)</f>
        <v/>
      </c>
      <c r="E18">
        <f>IF('Paid, cost, kept'!$K$37="",NA(),'Paid, cost, kept'!$I$37)</f>
        <v/>
      </c>
      <c r="F18">
        <f>IF(AND(NOT(ISNA(A18)),'Paid, cost, kept'!$K$37="Net drain"),A18,NA())</f>
        <v/>
      </c>
      <c r="G18">
        <f>IF(ISNA(F18),NA(),B18)</f>
        <v/>
      </c>
      <c r="H18">
        <f>IF(AND(NOT(ISNA(A18)),OR('Paid, cost, kept'!$K$37="Priced for it",'Paid, cost, kept'!$K$37="Strong")),A18,NA())</f>
        <v/>
      </c>
      <c r="I18">
        <f>IF(ISNA(H18),NA(),B18)</f>
        <v/>
      </c>
      <c r="J18">
        <f>IF(C18="","",18)</f>
        <v/>
      </c>
    </row>
    <row r="19">
      <c r="A19">
        <f>IF(OR('Paid, cost, kept'!$AO$38&lt;&gt;0,'Paid, cost, kept'!$G$38="",'Paid, cost, kept'!$I$38=""),NA(),'Paid, cost, kept'!$G$38)</f>
        <v/>
      </c>
      <c r="B19">
        <f>IF(ISNA(A19),NA(),'Paid, cost, kept'!$I$38)</f>
        <v/>
      </c>
      <c r="C19">
        <f>IF('Paid, cost, kept'!$K$38="","",'Paid, cost, kept'!$B$38&amp;" / "&amp;'Paid, cost, kept'!$C$38)</f>
        <v/>
      </c>
      <c r="D19">
        <f>IF('Paid, cost, kept'!$K$38="",NA(),'Paid, cost, kept'!$G$38)</f>
        <v/>
      </c>
      <c r="E19">
        <f>IF('Paid, cost, kept'!$K$38="",NA(),'Paid, cost, kept'!$I$38)</f>
        <v/>
      </c>
      <c r="F19">
        <f>IF(AND(NOT(ISNA(A19)),'Paid, cost, kept'!$K$38="Net drain"),A19,NA())</f>
        <v/>
      </c>
      <c r="G19">
        <f>IF(ISNA(F19),NA(),B19)</f>
        <v/>
      </c>
      <c r="H19">
        <f>IF(AND(NOT(ISNA(A19)),OR('Paid, cost, kept'!$K$38="Priced for it",'Paid, cost, kept'!$K$38="Strong")),A19,NA())</f>
        <v/>
      </c>
      <c r="I19">
        <f>IF(ISNA(H19),NA(),B19)</f>
        <v/>
      </c>
      <c r="J19">
        <f>IF(C19="","",19)</f>
        <v/>
      </c>
    </row>
    <row r="20">
      <c r="A20">
        <f>IF(OR('Paid, cost, kept'!$AO$39&lt;&gt;0,'Paid, cost, kept'!$G$39="",'Paid, cost, kept'!$I$39=""),NA(),'Paid, cost, kept'!$G$39)</f>
        <v/>
      </c>
      <c r="B20">
        <f>IF(ISNA(A20),NA(),'Paid, cost, kept'!$I$39)</f>
        <v/>
      </c>
      <c r="C20">
        <f>IF('Paid, cost, kept'!$K$39="","",'Paid, cost, kept'!$B$39&amp;" / "&amp;'Paid, cost, kept'!$C$39)</f>
        <v/>
      </c>
      <c r="D20">
        <f>IF('Paid, cost, kept'!$K$39="",NA(),'Paid, cost, kept'!$G$39)</f>
        <v/>
      </c>
      <c r="E20">
        <f>IF('Paid, cost, kept'!$K$39="",NA(),'Paid, cost, kept'!$I$39)</f>
        <v/>
      </c>
      <c r="F20">
        <f>IF(AND(NOT(ISNA(A20)),'Paid, cost, kept'!$K$39="Net drain"),A20,NA())</f>
        <v/>
      </c>
      <c r="G20">
        <f>IF(ISNA(F20),NA(),B20)</f>
        <v/>
      </c>
      <c r="H20">
        <f>IF(AND(NOT(ISNA(A20)),OR('Paid, cost, kept'!$K$39="Priced for it",'Paid, cost, kept'!$K$39="Strong")),A20,NA())</f>
        <v/>
      </c>
      <c r="I20">
        <f>IF(ISNA(H20),NA(),B20)</f>
        <v/>
      </c>
      <c r="J20">
        <f>IF(C20="","",20)</f>
        <v/>
      </c>
    </row>
    <row r="21">
      <c r="A21">
        <f>IF(OR('Paid, cost, kept'!$AO$40&lt;&gt;0,'Paid, cost, kept'!$G$40="",'Paid, cost, kept'!$I$40=""),NA(),'Paid, cost, kept'!$G$40)</f>
        <v/>
      </c>
      <c r="B21">
        <f>IF(ISNA(A21),NA(),'Paid, cost, kept'!$I$40)</f>
        <v/>
      </c>
      <c r="C21">
        <f>IF('Paid, cost, kept'!$K$40="","",'Paid, cost, kept'!$B$40&amp;" / "&amp;'Paid, cost, kept'!$C$40)</f>
        <v/>
      </c>
      <c r="D21">
        <f>IF('Paid, cost, kept'!$K$40="",NA(),'Paid, cost, kept'!$G$40)</f>
        <v/>
      </c>
      <c r="E21">
        <f>IF('Paid, cost, kept'!$K$40="",NA(),'Paid, cost, kept'!$I$40)</f>
        <v/>
      </c>
      <c r="F21">
        <f>IF(AND(NOT(ISNA(A21)),'Paid, cost, kept'!$K$40="Net drain"),A21,NA())</f>
        <v/>
      </c>
      <c r="G21">
        <f>IF(ISNA(F21),NA(),B21)</f>
        <v/>
      </c>
      <c r="H21">
        <f>IF(AND(NOT(ISNA(A21)),OR('Paid, cost, kept'!$K$40="Priced for it",'Paid, cost, kept'!$K$40="Strong")),A21,NA())</f>
        <v/>
      </c>
      <c r="I21">
        <f>IF(ISNA(H21),NA(),B21)</f>
        <v/>
      </c>
      <c r="J21">
        <f>IF(C21="","",21)</f>
        <v/>
      </c>
    </row>
    <row r="22">
      <c r="A22">
        <f>IF(OR('Paid, cost, kept'!$AO$41&lt;&gt;0,'Paid, cost, kept'!$G$41="",'Paid, cost, kept'!$I$41=""),NA(),'Paid, cost, kept'!$G$41)</f>
        <v/>
      </c>
      <c r="B22">
        <f>IF(ISNA(A22),NA(),'Paid, cost, kept'!$I$41)</f>
        <v/>
      </c>
      <c r="C22">
        <f>IF('Paid, cost, kept'!$K$41="","",'Paid, cost, kept'!$B$41&amp;" / "&amp;'Paid, cost, kept'!$C$41)</f>
        <v/>
      </c>
      <c r="D22">
        <f>IF('Paid, cost, kept'!$K$41="",NA(),'Paid, cost, kept'!$G$41)</f>
        <v/>
      </c>
      <c r="E22">
        <f>IF('Paid, cost, kept'!$K$41="",NA(),'Paid, cost, kept'!$I$41)</f>
        <v/>
      </c>
      <c r="F22">
        <f>IF(AND(NOT(ISNA(A22)),'Paid, cost, kept'!$K$41="Net drain"),A22,NA())</f>
        <v/>
      </c>
      <c r="G22">
        <f>IF(ISNA(F22),NA(),B22)</f>
        <v/>
      </c>
      <c r="H22">
        <f>IF(AND(NOT(ISNA(A22)),OR('Paid, cost, kept'!$K$41="Priced for it",'Paid, cost, kept'!$K$41="Strong")),A22,NA())</f>
        <v/>
      </c>
      <c r="I22">
        <f>IF(ISNA(H22),NA(),B22)</f>
        <v/>
      </c>
      <c r="J22">
        <f>IF(C22="","",22)</f>
        <v/>
      </c>
    </row>
    <row r="23">
      <c r="A23">
        <f>IF(OR('Paid, cost, kept'!$AO$42&lt;&gt;0,'Paid, cost, kept'!$G$42="",'Paid, cost, kept'!$I$42=""),NA(),'Paid, cost, kept'!$G$42)</f>
        <v/>
      </c>
      <c r="B23">
        <f>IF(ISNA(A23),NA(),'Paid, cost, kept'!$I$42)</f>
        <v/>
      </c>
      <c r="C23">
        <f>IF('Paid, cost, kept'!$K$42="","",'Paid, cost, kept'!$B$42&amp;" / "&amp;'Paid, cost, kept'!$C$42)</f>
        <v/>
      </c>
      <c r="D23">
        <f>IF('Paid, cost, kept'!$K$42="",NA(),'Paid, cost, kept'!$G$42)</f>
        <v/>
      </c>
      <c r="E23">
        <f>IF('Paid, cost, kept'!$K$42="",NA(),'Paid, cost, kept'!$I$42)</f>
        <v/>
      </c>
      <c r="F23">
        <f>IF(AND(NOT(ISNA(A23)),'Paid, cost, kept'!$K$42="Net drain"),A23,NA())</f>
        <v/>
      </c>
      <c r="G23">
        <f>IF(ISNA(F23),NA(),B23)</f>
        <v/>
      </c>
      <c r="H23">
        <f>IF(AND(NOT(ISNA(A23)),OR('Paid, cost, kept'!$K$42="Priced for it",'Paid, cost, kept'!$K$42="Strong")),A23,NA())</f>
        <v/>
      </c>
      <c r="I23">
        <f>IF(ISNA(H23),NA(),B23)</f>
        <v/>
      </c>
      <c r="J23">
        <f>IF(C23="","",23)</f>
        <v/>
      </c>
    </row>
    <row r="24">
      <c r="A24">
        <f>IF(OR('Paid, cost, kept'!$AO$43&lt;&gt;0,'Paid, cost, kept'!$G$43="",'Paid, cost, kept'!$I$43=""),NA(),'Paid, cost, kept'!$G$43)</f>
        <v/>
      </c>
      <c r="B24">
        <f>IF(ISNA(A24),NA(),'Paid, cost, kept'!$I$43)</f>
        <v/>
      </c>
      <c r="C24">
        <f>IF('Paid, cost, kept'!$K$43="","",'Paid, cost, kept'!$B$43&amp;" / "&amp;'Paid, cost, kept'!$C$43)</f>
        <v/>
      </c>
      <c r="D24">
        <f>IF('Paid, cost, kept'!$K$43="",NA(),'Paid, cost, kept'!$G$43)</f>
        <v/>
      </c>
      <c r="E24">
        <f>IF('Paid, cost, kept'!$K$43="",NA(),'Paid, cost, kept'!$I$43)</f>
        <v/>
      </c>
      <c r="F24">
        <f>IF(AND(NOT(ISNA(A24)),'Paid, cost, kept'!$K$43="Net drain"),A24,NA())</f>
        <v/>
      </c>
      <c r="G24">
        <f>IF(ISNA(F24),NA(),B24)</f>
        <v/>
      </c>
      <c r="H24">
        <f>IF(AND(NOT(ISNA(A24)),OR('Paid, cost, kept'!$K$43="Priced for it",'Paid, cost, kept'!$K$43="Strong")),A24,NA())</f>
        <v/>
      </c>
      <c r="I24">
        <f>IF(ISNA(H24),NA(),B24)</f>
        <v/>
      </c>
      <c r="J24">
        <f>IF(C24="","",24)</f>
        <v/>
      </c>
    </row>
    <row r="25">
      <c r="A25">
        <f>IF(OR('Paid, cost, kept'!$AO$44&lt;&gt;0,'Paid, cost, kept'!$G$44="",'Paid, cost, kept'!$I$44=""),NA(),'Paid, cost, kept'!$G$44)</f>
        <v/>
      </c>
      <c r="B25">
        <f>IF(ISNA(A25),NA(),'Paid, cost, kept'!$I$44)</f>
        <v/>
      </c>
      <c r="C25">
        <f>IF('Paid, cost, kept'!$K$44="","",'Paid, cost, kept'!$B$44&amp;" / "&amp;'Paid, cost, kept'!$C$44)</f>
        <v/>
      </c>
      <c r="D25">
        <f>IF('Paid, cost, kept'!$K$44="",NA(),'Paid, cost, kept'!$G$44)</f>
        <v/>
      </c>
      <c r="E25">
        <f>IF('Paid, cost, kept'!$K$44="",NA(),'Paid, cost, kept'!$I$44)</f>
        <v/>
      </c>
      <c r="F25">
        <f>IF(AND(NOT(ISNA(A25)),'Paid, cost, kept'!$K$44="Net drain"),A25,NA())</f>
        <v/>
      </c>
      <c r="G25">
        <f>IF(ISNA(F25),NA(),B25)</f>
        <v/>
      </c>
      <c r="H25">
        <f>IF(AND(NOT(ISNA(A25)),OR('Paid, cost, kept'!$K$44="Priced for it",'Paid, cost, kept'!$K$44="Strong")),A25,NA())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5"/>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REV_DEBT</t>
        </is>
      </c>
      <c r="C19" t="inlineStr">
        <is>
          <t>REV_DEBT</t>
        </is>
      </c>
    </row>
    <row r="20">
      <c r="A20" t="inlineStr">
        <is>
          <t>launcher|outcome</t>
        </is>
      </c>
    </row>
    <row r="21">
      <c r="A21" t="inlineStr">
        <is>
          <t>launcher|test</t>
        </is>
      </c>
    </row>
    <row r="22">
      <c r="A22" t="inlineStr">
        <is>
          <t>launcher|hold</t>
        </is>
      </c>
    </row>
    <row r="23">
      <c r="A23" t="inlineStr">
        <is>
          <t>prespec</t>
        </is>
      </c>
    </row>
    <row r="24">
      <c r="A24" t="inlineStr">
        <is>
          <t>few_values</t>
        </is>
      </c>
      <c r="B24" t="inlineStr">
        <is>
          <t>12 values</t>
        </is>
      </c>
      <c r="C24" t="inlineStr">
        <is>
          <t>12 values</t>
        </is>
      </c>
    </row>
    <row r="25">
      <c r="A25" t="inlineStr">
        <is>
          <t>many_values</t>
        </is>
      </c>
      <c r="B25" t="inlineStr">
        <is>
          <t>50 values</t>
        </is>
      </c>
      <c r="C25"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2026-09-29 21:04</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M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67</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row>
    <row r="3">
      <c r="A3" t="inlineStr">
        <is>
          <t>REV_DEBT|FICO,ORIG_BAL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O13" t="n">
        <v>2700</v>
      </c>
      <c r="P13" t="n">
        <v>2850</v>
      </c>
      <c r="Q13" t="n">
        <v>0</v>
      </c>
      <c r="R13" t="inlineStr">
        <is>
          <t>bars</t>
        </is>
      </c>
      <c r="S13">
        <f>Look!$C$39</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B13" t="n">
        <v>1350</v>
      </c>
      <c r="AC13" t="n">
        <v>1425</v>
      </c>
      <c r="AD13" t="n">
        <v>24</v>
      </c>
      <c r="AE13" t="inlineStr">
        <is>
          <t>bars</t>
        </is>
      </c>
      <c r="AF13">
        <f>Look!$C$58</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row>
    <row r="14">
      <c r="B14" t="n">
        <v>565</v>
      </c>
      <c r="C14" t="n">
        <v>565.75</v>
      </c>
      <c r="D14" t="n">
        <v>4</v>
      </c>
      <c r="E14" t="inlineStr">
        <is>
          <t>from</t>
        </is>
      </c>
      <c r="F14">
        <f>Look!$C$21</f>
        <v/>
      </c>
      <c r="G14">
        <f>IF(11&lt;=$F$13,$F$14+(11-1)*$F$16,"")</f>
        <v/>
      </c>
      <c r="H14">
        <f>IF(11&gt;$F$13,"",SUMIFS($D$4:$D$203,$C$4:$C$203,"&gt;="&amp;$G$14,$C$4:$C$203,IF(11=$F$13,"&lt;=","&lt;")&amp;($G$14+$F$16)))</f>
        <v/>
      </c>
      <c r="I14">
        <f>IF(AND(MOD(0,$F$17)=0,MOD((INT(0/$F$17)+1)-1,$F$13/5)=0),TEXT(INDEX($G$4:$G$53,(INT(0/$F$17)+1)),"#,##0"),"")</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O14" t="n">
        <v>3000</v>
      </c>
      <c r="P14" t="n">
        <v>3150</v>
      </c>
      <c r="Q14" t="n">
        <v>0</v>
      </c>
      <c r="R14" t="inlineStr">
        <is>
          <t>from</t>
        </is>
      </c>
      <c r="S14">
        <f>Look!$C$40</f>
        <v/>
      </c>
      <c r="T14">
        <f>IF(11&lt;=$S$13,$S$14+(11-1)*$S$16,"")</f>
        <v/>
      </c>
      <c r="U14">
        <f>IF(11&gt;$S$13,"",SUMIFS($Q$4:$Q$203,$P$4:$P$203,"&gt;="&amp;$T$14,$P$4:$P$203,IF(11=$S$13,"&lt;=","&lt;")&amp;($T$14+$S$16)))</f>
        <v/>
      </c>
      <c r="V14">
        <f>IF(AND(MOD(0,$S$17)=0,MOD((INT(0/$S$17)+1)-1,$S$13/5)=0),TEXT(INDEX($T$4:$T$53,(INT(0/$S$17)+1)),"#,##0"),"")</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B14" t="n">
        <v>1500</v>
      </c>
      <c r="AC14" t="n">
        <v>1575</v>
      </c>
      <c r="AD14" t="n">
        <v>23</v>
      </c>
      <c r="AE14" t="inlineStr">
        <is>
          <t>from</t>
        </is>
      </c>
      <c r="AF14">
        <f>Look!$C$59</f>
        <v/>
      </c>
      <c r="AG14">
        <f>IF(11&lt;=$AF$13,$AF$14+(11-1)*$AF$16,"")</f>
        <v/>
      </c>
      <c r="AH14">
        <f>IF(11&gt;$AF$13,"",SUMIFS($AD$4:$AD$203,$AC$4:$AC$203,"&gt;="&amp;$AG$14,$AC$4:$AC$203,IF(11=$AF$13,"&lt;=","&lt;")&amp;($AG$14+$AF$16)))</f>
        <v/>
      </c>
      <c r="AI14">
        <f>IF(AND(MOD(0,$AF$17)=0,MOD((INT(0/$AF$17)+1)-1,$AF$13/5)=0),TEXT(INDEX($AG$4:$AG$53,(INT(0/$AF$17)+1)),"#,##0"),"")</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row>
    <row r="15">
      <c r="B15" t="n">
        <v>566.5</v>
      </c>
      <c r="C15" t="n">
        <v>567.25</v>
      </c>
      <c r="D15" t="n">
        <v>3</v>
      </c>
      <c r="E15" t="inlineStr">
        <is>
          <t>to</t>
        </is>
      </c>
      <c r="F15">
        <f>Look!$C$22</f>
        <v/>
      </c>
      <c r="G15">
        <f>IF(12&lt;=$F$13,$F$14+(12-1)*$F$16,"")</f>
        <v/>
      </c>
      <c r="H15">
        <f>IF(12&gt;$F$13,"",SUMIFS($D$4:$D$203,$C$4:$C$203,"&gt;="&amp;$G$15,$C$4:$C$203,IF(12=$F$13,"&lt;=","&lt;")&amp;($G$15+$F$16)))</f>
        <v/>
      </c>
      <c r="I15">
        <f>IF(AND(MOD(1,$F$17)=0,MOD((INT(1/$F$17)+1)-1,$F$13/5)=0),TEXT(INDEX($G$4:$G$53,(INT(1/$F$17)+1)),"#,##0"),"")</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O15" t="n">
        <v>3300</v>
      </c>
      <c r="P15" t="n">
        <v>3450</v>
      </c>
      <c r="Q15" t="n">
        <v>0</v>
      </c>
      <c r="R15" t="inlineStr">
        <is>
          <t>to</t>
        </is>
      </c>
      <c r="S15">
        <f>Look!$C$41</f>
        <v/>
      </c>
      <c r="T15">
        <f>IF(12&lt;=$S$13,$S$14+(12-1)*$S$16,"")</f>
        <v/>
      </c>
      <c r="U15">
        <f>IF(12&gt;$S$13,"",SUMIFS($Q$4:$Q$203,$P$4:$P$203,"&gt;="&amp;$T$15,$P$4:$P$203,IF(12=$S$13,"&lt;=","&lt;")&amp;($T$15+$S$16)))</f>
        <v/>
      </c>
      <c r="V15">
        <f>IF(AND(MOD(1,$S$17)=0,MOD((INT(1/$S$17)+1)-1,$S$13/5)=0),TEXT(INDEX($T$4:$T$53,(INT(1/$S$17)+1)),"#,##0"),"")</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B15" t="n">
        <v>1650</v>
      </c>
      <c r="AC15" t="n">
        <v>1725</v>
      </c>
      <c r="AD15" t="n">
        <v>15</v>
      </c>
      <c r="AE15" t="inlineStr">
        <is>
          <t>to</t>
        </is>
      </c>
      <c r="AF15">
        <f>Look!$C$60</f>
        <v/>
      </c>
      <c r="AG15">
        <f>IF(12&lt;=$AF$13,$AF$14+(12-1)*$AF$16,"")</f>
        <v/>
      </c>
      <c r="AH15">
        <f>IF(12&gt;$AF$13,"",SUMIFS($AD$4:$AD$203,$AC$4:$AC$203,"&gt;="&amp;$AG$15,$AC$4:$AC$203,IF(12=$AF$13,"&lt;=","&lt;")&amp;($AG$15+$AF$16)))</f>
        <v/>
      </c>
      <c r="AI15">
        <f>IF(AND(MOD(1,$AF$17)=0,MOD((INT(1/$AF$17)+1)-1,$AF$13/5)=0),TEXT(INDEX($AG$4:$AG$53,(INT(1/$AF$17)+1)),"#,##0"),"")</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row>
    <row r="16">
      <c r="B16" t="n">
        <v>568</v>
      </c>
      <c r="C16" t="n">
        <v>568.75</v>
      </c>
      <c r="D16" t="n">
        <v>4</v>
      </c>
      <c r="E16" t="inlineStr">
        <is>
          <t>bar width</t>
        </is>
      </c>
      <c r="F16">
        <f>($F$15-$F$14)/$F$13</f>
        <v/>
      </c>
      <c r="G16">
        <f>IF(13&lt;=$F$13,$F$14+(13-1)*$F$16,"")</f>
        <v/>
      </c>
      <c r="H16">
        <f>IF(13&gt;$F$13,"",SUMIFS($D$4:$D$203,$C$4:$C$203,"&gt;="&amp;$G$16,$C$4:$C$203,IF(13=$F$13,"&lt;=","&lt;")&amp;($G$16+$F$16)))</f>
        <v/>
      </c>
      <c r="I16">
        <f>IF(AND(MOD(2,$F$17)=0,MOD((INT(2/$F$17)+1)-1,$F$13/5)=0),TEXT(INDEX($G$4:$G$53,(INT(2/$F$17)+1)),"#,##0"),"")</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O16" t="n">
        <v>3600</v>
      </c>
      <c r="P16" t="n">
        <v>3750</v>
      </c>
      <c r="Q16" t="n">
        <v>0</v>
      </c>
      <c r="R16" t="inlineStr">
        <is>
          <t>bar width</t>
        </is>
      </c>
      <c r="S16">
        <f>($S$15-$S$14)/$S$13</f>
        <v/>
      </c>
      <c r="T16">
        <f>IF(13&lt;=$S$13,$S$14+(13-1)*$S$16,"")</f>
        <v/>
      </c>
      <c r="U16">
        <f>IF(13&gt;$S$13,"",SUMIFS($Q$4:$Q$203,$P$4:$P$203,"&gt;="&amp;$T$16,$P$4:$P$203,IF(13=$S$13,"&lt;=","&lt;")&amp;($T$16+$S$16)))</f>
        <v/>
      </c>
      <c r="V16">
        <f>IF(AND(MOD(2,$S$17)=0,MOD((INT(2/$S$17)+1)-1,$S$13/5)=0),TEXT(INDEX($T$4:$T$53,(INT(2/$S$17)+1)),"#,##0"),"")</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IF(AND(MOD(2,$AF$17)=0,MOD((INT(2/$AF$17)+1)-1,$AF$13/5)=0),TEXT(INDEX($AG$4:$AG$53,(INT(2/$AF$17)+1)),"#,##0"),"")</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IF(AND(MOD(3,$F$17)=0,MOD((INT(3/$F$17)+1)-1,$F$13/5)=0),TEXT(INDEX($G$4:$G$53,(INT(3/$F$17)+1)),"#,##0"),"")</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O17" t="n">
        <v>3900</v>
      </c>
      <c r="P17" t="n">
        <v>4050</v>
      </c>
      <c r="Q17" t="n">
        <v>0</v>
      </c>
      <c r="R17" t="inlineStr">
        <is>
          <t>chart slots per bar</t>
        </is>
      </c>
      <c r="S17">
        <f>100/$S$13</f>
        <v/>
      </c>
      <c r="T17">
        <f>IF(14&lt;=$S$13,$S$14+(14-1)*$S$16,"")</f>
        <v/>
      </c>
      <c r="U17">
        <f>IF(14&gt;$S$13,"",SUMIFS($Q$4:$Q$203,$P$4:$P$203,"&gt;="&amp;$T$17,$P$4:$P$203,IF(14=$S$13,"&lt;=","&lt;")&amp;($T$17+$S$16)))</f>
        <v/>
      </c>
      <c r="V17">
        <f>IF(AND(MOD(3,$S$17)=0,MOD((INT(3/$S$17)+1)-1,$S$13/5)=0),TEXT(INDEX($T$4:$T$53,(INT(3/$S$17)+1)),"#,##0"),"")</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IF(AND(MOD(3,$AF$17)=0,MOD((INT(3/$AF$17)+1)-1,$AF$13/5)=0),TEXT(INDEX($AG$4:$AG$53,(INT(3/$AF$17)+1)),"#,##0"),"")</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IF(AND(MOD(4,$F$17)=0,MOD((INT(4/$F$17)+1)-1,$F$13/5)=0),TEXT(INDEX($G$4:$G$53,(INT(4/$F$17)+1)),"#,##0"),"")</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IF(AND(MOD(4,$S$17)=0,MOD((INT(4/$S$17)+1)-1,$S$13/5)=0),TEXT(INDEX($T$4:$T$53,(INT(4/$S$17)+1)),"#,##0"),"")</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IF(AND(MOD(4,$AF$17)=0,MOD((INT(4/$AF$17)+1)-1,$AF$13/5)=0),TEXT(INDEX($AG$4:$AG$53,(INT(4/$AF$17)+1)),"#,##0"),"")</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IF(AND(MOD(5,$F$17)=0,MOD((INT(5/$F$17)+1)-1,$F$13/5)=0),TEXT(INDEX($G$4:$G$53,(INT(5/$F$17)+1)),"#,##0"),"")</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IF(AND(MOD(5,$S$17)=0,MOD((INT(5/$S$17)+1)-1,$S$13/5)=0),TEXT(INDEX($T$4:$T$53,(INT(5/$S$17)+1)),"#,##0"),"")</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IF(AND(MOD(5,$AF$17)=0,MOD((INT(5/$AF$17)+1)-1,$AF$13/5)=0),TEXT(INDEX($AG$4:$AG$53,(INT(5/$AF$17)+1)),"#,##0"),"")</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IF(AND(MOD(6,$F$17)=0,MOD((INT(6/$F$17)+1)-1,$F$13/5)=0),TEXT(INDEX($G$4:$G$53,(INT(6/$F$17)+1)),"#,##0"),"")</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IF(AND(MOD(6,$S$17)=0,MOD((INT(6/$S$17)+1)-1,$S$13/5)=0),TEXT(INDEX($T$4:$T$53,(INT(6/$S$17)+1)),"#,##0"),"")</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IF(AND(MOD(6,$AF$17)=0,MOD((INT(6/$AF$17)+1)-1,$AF$13/5)=0),TEXT(INDEX($AG$4:$AG$53,(INT(6/$AF$17)+1)),"#,##0"),"")</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IF(AND(MOD(7,$F$17)=0,MOD((INT(7/$F$17)+1)-1,$F$13/5)=0),TEXT(INDEX($G$4:$G$53,(INT(7/$F$17)+1)),"#,##0"),"")</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O21" t="n">
        <v>5100</v>
      </c>
      <c r="P21" t="n">
        <v>5250</v>
      </c>
      <c r="Q21" t="n">
        <v>48</v>
      </c>
      <c r="R21" t="inlineStr">
        <is>
          <t>format</t>
        </is>
      </c>
      <c r="S21" t="inlineStr">
        <is>
          <t>#,##0</t>
        </is>
      </c>
      <c r="T21">
        <f>IF(18&lt;=$S$13,$S$14+(18-1)*$S$16,"")</f>
        <v/>
      </c>
      <c r="U21">
        <f>IF(18&gt;$S$13,"",SUMIFS($Q$4:$Q$203,$P$4:$P$203,"&gt;="&amp;$T$21,$P$4:$P$203,IF(18=$S$13,"&lt;=","&lt;")&amp;($T$21+$S$16)))</f>
        <v/>
      </c>
      <c r="V21">
        <f>IF(AND(MOD(7,$S$17)=0,MOD((INT(7/$S$17)+1)-1,$S$13/5)=0),TEXT(INDEX($T$4:$T$53,(INT(7/$S$17)+1)),"#,##0"),"")</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IF(AND(MOD(7,$AF$17)=0,MOD((INT(7/$AF$17)+1)-1,$AF$13/5)=0),TEXT(INDEX($AG$4:$AG$53,(INT(7/$AF$17)+1)),"#,##0"),"")</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row>
    <row r="22">
      <c r="B22" t="n">
        <v>577</v>
      </c>
      <c r="C22" t="n">
        <v>577.75</v>
      </c>
      <c r="D22" t="n">
        <v>10</v>
      </c>
      <c r="G22">
        <f>IF(19&lt;=$F$13,$F$14+(19-1)*$F$16,"")</f>
        <v/>
      </c>
      <c r="H22">
        <f>IF(19&gt;$F$13,"",SUMIFS($D$4:$D$203,$C$4:$C$203,"&gt;="&amp;$G$22,$C$4:$C$203,IF(19=$F$13,"&lt;=","&lt;")&amp;($G$22+$F$16)))</f>
        <v/>
      </c>
      <c r="I22">
        <f>IF(AND(MOD(8,$F$17)=0,MOD((INT(8/$F$17)+1)-1,$F$13/5)=0),TEXT(INDEX($G$4:$G$53,(INT(8/$F$17)+1)),"#,##0"),"")</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O22" t="n">
        <v>5400</v>
      </c>
      <c r="P22" t="n">
        <v>5550</v>
      </c>
      <c r="Q22" t="n">
        <v>58</v>
      </c>
      <c r="T22">
        <f>IF(19&lt;=$S$13,$S$14+(19-1)*$S$16,"")</f>
        <v/>
      </c>
      <c r="U22">
        <f>IF(19&gt;$S$13,"",SUMIFS($Q$4:$Q$203,$P$4:$P$203,"&gt;="&amp;$T$22,$P$4:$P$203,IF(19=$S$13,"&lt;=","&lt;")&amp;($T$22+$S$16)))</f>
        <v/>
      </c>
      <c r="V22">
        <f>IF(AND(MOD(8,$S$17)=0,MOD((INT(8/$S$17)+1)-1,$S$13/5)=0),TEXT(INDEX($T$4:$T$53,(INT(8/$S$17)+1)),"#,##0"),"")</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B22" t="n">
        <v>2700</v>
      </c>
      <c r="AC22" t="n">
        <v>2775</v>
      </c>
      <c r="AD22" t="n">
        <v>18</v>
      </c>
      <c r="AG22">
        <f>IF(19&lt;=$AF$13,$AF$14+(19-1)*$AF$16,"")</f>
        <v/>
      </c>
      <c r="AH22">
        <f>IF(19&gt;$AF$13,"",SUMIFS($AD$4:$AD$203,$AC$4:$AC$203,"&gt;="&amp;$AG$22,$AC$4:$AC$203,IF(19=$AF$13,"&lt;=","&lt;")&amp;($AG$22+$AF$16)))</f>
        <v/>
      </c>
      <c r="AI22">
        <f>IF(AND(MOD(8,$AF$17)=0,MOD((INT(8/$AF$17)+1)-1,$AF$13/5)=0),TEXT(INDEX($AG$4:$AG$53,(INT(8/$AF$17)+1)),"#,##0"),"")</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row>
    <row r="23">
      <c r="B23" t="n">
        <v>578.5</v>
      </c>
      <c r="C23" t="n">
        <v>579.25</v>
      </c>
      <c r="D23" t="n">
        <v>3</v>
      </c>
      <c r="G23">
        <f>IF(20&lt;=$F$13,$F$14+(20-1)*$F$16,"")</f>
        <v/>
      </c>
      <c r="H23">
        <f>IF(20&gt;$F$13,"",SUMIFS($D$4:$D$203,$C$4:$C$203,"&gt;="&amp;$G$23,$C$4:$C$203,IF(20=$F$13,"&lt;=","&lt;")&amp;($G$23+$F$16)))</f>
        <v/>
      </c>
      <c r="I23">
        <f>IF(AND(MOD(9,$F$17)=0,MOD((INT(9/$F$17)+1)-1,$F$13/5)=0),TEXT(INDEX($G$4:$G$53,(INT(9/$F$17)+1)),"#,##0"),"")</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O23" t="n">
        <v>5700</v>
      </c>
      <c r="P23" t="n">
        <v>5850</v>
      </c>
      <c r="Q23" t="n">
        <v>39</v>
      </c>
      <c r="T23">
        <f>IF(20&lt;=$S$13,$S$14+(20-1)*$S$16,"")</f>
        <v/>
      </c>
      <c r="U23">
        <f>IF(20&gt;$S$13,"",SUMIFS($Q$4:$Q$203,$P$4:$P$203,"&gt;="&amp;$T$23,$P$4:$P$203,IF(20=$S$13,"&lt;=","&lt;")&amp;($T$23+$S$16)))</f>
        <v/>
      </c>
      <c r="V23">
        <f>IF(AND(MOD(9,$S$17)=0,MOD((INT(9/$S$17)+1)-1,$S$13/5)=0),TEXT(INDEX($T$4:$T$53,(INT(9/$S$17)+1)),"#,##0"),"")</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B23" t="n">
        <v>2850</v>
      </c>
      <c r="AC23" t="n">
        <v>2925</v>
      </c>
      <c r="AD23" t="n">
        <v>31</v>
      </c>
      <c r="AG23">
        <f>IF(20&lt;=$AF$13,$AF$14+(20-1)*$AF$16,"")</f>
        <v/>
      </c>
      <c r="AH23">
        <f>IF(20&gt;$AF$13,"",SUMIFS($AD$4:$AD$203,$AC$4:$AC$203,"&gt;="&amp;$AG$23,$AC$4:$AC$203,IF(20=$AF$13,"&lt;=","&lt;")&amp;($AG$23+$AF$16)))</f>
        <v/>
      </c>
      <c r="AI23">
        <f>IF(AND(MOD(9,$AF$17)=0,MOD((INT(9/$AF$17)+1)-1,$AF$13/5)=0),TEXT(INDEX($AG$4:$AG$53,(INT(9/$AF$17)+1)),"#,##0"),"")</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row>
    <row r="24">
      <c r="B24" t="n">
        <v>580</v>
      </c>
      <c r="C24" t="n">
        <v>580.75</v>
      </c>
      <c r="D24" t="n">
        <v>9</v>
      </c>
      <c r="G24">
        <f>IF(21&lt;=$F$13,$F$14+(21-1)*$F$16,"")</f>
        <v/>
      </c>
      <c r="H24">
        <f>IF(21&gt;$F$13,"",SUMIFS($D$4:$D$203,$C$4:$C$203,"&gt;="&amp;$G$24,$C$4:$C$203,IF(21=$F$13,"&lt;=","&lt;")&amp;($G$24+$F$16)))</f>
        <v/>
      </c>
      <c r="I24">
        <f>IF(AND(MOD(10,$F$17)=0,MOD((INT(10/$F$17)+1)-1,$F$13/5)=0),TEXT(INDEX($G$4:$G$53,(INT(10/$F$17)+1)),"#,##0"),"")</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O24" t="n">
        <v>6000</v>
      </c>
      <c r="P24" t="n">
        <v>6150</v>
      </c>
      <c r="Q24" t="n">
        <v>46</v>
      </c>
      <c r="T24">
        <f>IF(21&lt;=$S$13,$S$14+(21-1)*$S$16,"")</f>
        <v/>
      </c>
      <c r="U24">
        <f>IF(21&gt;$S$13,"",SUMIFS($Q$4:$Q$203,$P$4:$P$203,"&gt;="&amp;$T$24,$P$4:$P$203,IF(21=$S$13,"&lt;=","&lt;")&amp;($T$24+$S$16)))</f>
        <v/>
      </c>
      <c r="V24">
        <f>IF(AND(MOD(10,$S$17)=0,MOD((INT(10/$S$17)+1)-1,$S$13/5)=0),TEXT(INDEX($T$4:$T$53,(INT(10/$S$17)+1)),"#,##0"),"")</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B24" t="n">
        <v>3000</v>
      </c>
      <c r="AC24" t="n">
        <v>3075</v>
      </c>
      <c r="AD24" t="n">
        <v>25</v>
      </c>
      <c r="AG24">
        <f>IF(21&lt;=$AF$13,$AF$14+(21-1)*$AF$16,"")</f>
        <v/>
      </c>
      <c r="AH24">
        <f>IF(21&gt;$AF$13,"",SUMIFS($AD$4:$AD$203,$AC$4:$AC$203,"&gt;="&amp;$AG$24,$AC$4:$AC$203,IF(21=$AF$13,"&lt;=","&lt;")&amp;($AG$24+$AF$16)))</f>
        <v/>
      </c>
      <c r="AI24">
        <f>IF(AND(MOD(10,$AF$17)=0,MOD((INT(10/$AF$17)+1)-1,$AF$13/5)=0),TEXT(INDEX($AG$4:$AG$53,(INT(10/$AF$17)+1)),"#,##0"),"")</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row>
    <row r="25">
      <c r="B25" t="n">
        <v>581.5</v>
      </c>
      <c r="C25" t="n">
        <v>582.25</v>
      </c>
      <c r="D25" t="n">
        <v>4</v>
      </c>
      <c r="G25">
        <f>IF(22&lt;=$F$13,$F$14+(22-1)*$F$16,"")</f>
        <v/>
      </c>
      <c r="H25">
        <f>IF(22&gt;$F$13,"",SUMIFS($D$4:$D$203,$C$4:$C$203,"&gt;="&amp;$G$25,$C$4:$C$203,IF(22=$F$13,"&lt;=","&lt;")&amp;($G$25+$F$16)))</f>
        <v/>
      </c>
      <c r="I25">
        <f>IF(AND(MOD(11,$F$17)=0,MOD((INT(11/$F$17)+1)-1,$F$13/5)=0),TEXT(INDEX($G$4:$G$53,(INT(11/$F$17)+1)),"#,##0"),"")</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O25" t="n">
        <v>6300</v>
      </c>
      <c r="P25" t="n">
        <v>6450</v>
      </c>
      <c r="Q25" t="n">
        <v>44</v>
      </c>
      <c r="T25">
        <f>IF(22&lt;=$S$13,$S$14+(22-1)*$S$16,"")</f>
        <v/>
      </c>
      <c r="U25">
        <f>IF(22&gt;$S$13,"",SUMIFS($Q$4:$Q$203,$P$4:$P$203,"&gt;="&amp;$T$25,$P$4:$P$203,IF(22=$S$13,"&lt;=","&lt;")&amp;($T$25+$S$16)))</f>
        <v/>
      </c>
      <c r="V25">
        <f>IF(AND(MOD(11,$S$17)=0,MOD((INT(11/$S$17)+1)-1,$S$13/5)=0),TEXT(INDEX($T$4:$T$53,(INT(11/$S$17)+1)),"#,##0"),"")</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B25" t="n">
        <v>3150</v>
      </c>
      <c r="AC25" t="n">
        <v>3225</v>
      </c>
      <c r="AD25" t="n">
        <v>33</v>
      </c>
      <c r="AG25">
        <f>IF(22&lt;=$AF$13,$AF$14+(22-1)*$AF$16,"")</f>
        <v/>
      </c>
      <c r="AH25">
        <f>IF(22&gt;$AF$13,"",SUMIFS($AD$4:$AD$203,$AC$4:$AC$203,"&gt;="&amp;$AG$25,$AC$4:$AC$203,IF(22=$AF$13,"&lt;=","&lt;")&amp;($AG$25+$AF$16)))</f>
        <v/>
      </c>
      <c r="AI25">
        <f>IF(AND(MOD(11,$AF$17)=0,MOD((INT(11/$AF$17)+1)-1,$AF$13/5)=0),TEXT(INDEX($AG$4:$AG$53,(INT(11/$AF$17)+1)),"#,##0"),"")</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row>
    <row r="26">
      <c r="B26" t="n">
        <v>583</v>
      </c>
      <c r="C26" t="n">
        <v>583.75</v>
      </c>
      <c r="D26" t="n">
        <v>12</v>
      </c>
      <c r="G26">
        <f>IF(23&lt;=$F$13,$F$14+(23-1)*$F$16,"")</f>
        <v/>
      </c>
      <c r="H26">
        <f>IF(23&gt;$F$13,"",SUMIFS($D$4:$D$203,$C$4:$C$203,"&gt;="&amp;$G$26,$C$4:$C$203,IF(23=$F$13,"&lt;=","&lt;")&amp;($G$26+$F$16)))</f>
        <v/>
      </c>
      <c r="I26">
        <f>IF(AND(MOD(12,$F$17)=0,MOD((INT(12/$F$17)+1)-1,$F$13/5)=0),TEXT(INDEX($G$4:$G$53,(INT(12/$F$17)+1)),"#,##0"),"")</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O26" t="n">
        <v>6600</v>
      </c>
      <c r="P26" t="n">
        <v>6750</v>
      </c>
      <c r="Q26" t="n">
        <v>34</v>
      </c>
      <c r="T26">
        <f>IF(23&lt;=$S$13,$S$14+(23-1)*$S$16,"")</f>
        <v/>
      </c>
      <c r="U26">
        <f>IF(23&gt;$S$13,"",SUMIFS($Q$4:$Q$203,$P$4:$P$203,"&gt;="&amp;$T$26,$P$4:$P$203,IF(23=$S$13,"&lt;=","&lt;")&amp;($T$26+$S$16)))</f>
        <v/>
      </c>
      <c r="V26">
        <f>IF(AND(MOD(12,$S$17)=0,MOD((INT(12/$S$17)+1)-1,$S$13/5)=0),TEXT(INDEX($T$4:$T$53,(INT(12/$S$17)+1)),"#,##0"),"")</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B26" t="n">
        <v>3300</v>
      </c>
      <c r="AC26" t="n">
        <v>3375</v>
      </c>
      <c r="AD26" t="n">
        <v>25</v>
      </c>
      <c r="AG26">
        <f>IF(23&lt;=$AF$13,$AF$14+(23-1)*$AF$16,"")</f>
        <v/>
      </c>
      <c r="AH26">
        <f>IF(23&gt;$AF$13,"",SUMIFS($AD$4:$AD$203,$AC$4:$AC$203,"&gt;="&amp;$AG$26,$AC$4:$AC$203,IF(23=$AF$13,"&lt;=","&lt;")&amp;($AG$26+$AF$16)))</f>
        <v/>
      </c>
      <c r="AI26">
        <f>IF(AND(MOD(12,$AF$17)=0,MOD((INT(12/$AF$17)+1)-1,$AF$13/5)=0),TEXT(INDEX($AG$4:$AG$53,(INT(12/$AF$17)+1)),"#,##0"),"")</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row>
    <row r="27">
      <c r="B27" t="n">
        <v>584.5</v>
      </c>
      <c r="C27" t="n">
        <v>585.25</v>
      </c>
      <c r="D27" t="n">
        <v>6</v>
      </c>
      <c r="G27">
        <f>IF(24&lt;=$F$13,$F$14+(24-1)*$F$16,"")</f>
        <v/>
      </c>
      <c r="H27">
        <f>IF(24&gt;$F$13,"",SUMIFS($D$4:$D$203,$C$4:$C$203,"&gt;="&amp;$G$27,$C$4:$C$203,IF(24=$F$13,"&lt;=","&lt;")&amp;($G$27+$F$16)))</f>
        <v/>
      </c>
      <c r="I27">
        <f>IF(AND(MOD(13,$F$17)=0,MOD((INT(13/$F$17)+1)-1,$F$13/5)=0),TEXT(INDEX($G$4:$G$53,(INT(13/$F$17)+1)),"#,##0"),"")</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O27" t="n">
        <v>6900</v>
      </c>
      <c r="P27" t="n">
        <v>7050</v>
      </c>
      <c r="Q27" t="n">
        <v>47</v>
      </c>
      <c r="T27">
        <f>IF(24&lt;=$S$13,$S$14+(24-1)*$S$16,"")</f>
        <v/>
      </c>
      <c r="U27">
        <f>IF(24&gt;$S$13,"",SUMIFS($Q$4:$Q$203,$P$4:$P$203,"&gt;="&amp;$T$27,$P$4:$P$203,IF(24=$S$13,"&lt;=","&lt;")&amp;($T$27+$S$16)))</f>
        <v/>
      </c>
      <c r="V27">
        <f>IF(AND(MOD(13,$S$17)=0,MOD((INT(13/$S$17)+1)-1,$S$13/5)=0),TEXT(INDEX($T$4:$T$53,(INT(13/$S$17)+1)),"#,##0"),"")</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B27" t="n">
        <v>3450</v>
      </c>
      <c r="AC27" t="n">
        <v>3525</v>
      </c>
      <c r="AD27" t="n">
        <v>39</v>
      </c>
      <c r="AG27">
        <f>IF(24&lt;=$AF$13,$AF$14+(24-1)*$AF$16,"")</f>
        <v/>
      </c>
      <c r="AH27">
        <f>IF(24&gt;$AF$13,"",SUMIFS($AD$4:$AD$203,$AC$4:$AC$203,"&gt;="&amp;$AG$27,$AC$4:$AC$203,IF(24=$AF$13,"&lt;=","&lt;")&amp;($AG$27+$AF$16)))</f>
        <v/>
      </c>
      <c r="AI27">
        <f>IF(AND(MOD(13,$AF$17)=0,MOD((INT(13/$AF$17)+1)-1,$AF$13/5)=0),TEXT(INDEX($AG$4:$AG$53,(INT(13/$AF$17)+1)),"#,##0"),"")</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row>
    <row r="28">
      <c r="B28" t="n">
        <v>586</v>
      </c>
      <c r="C28" t="n">
        <v>586.75</v>
      </c>
      <c r="D28" t="n">
        <v>16</v>
      </c>
      <c r="G28">
        <f>IF(25&lt;=$F$13,$F$14+(25-1)*$F$16,"")</f>
        <v/>
      </c>
      <c r="H28">
        <f>IF(25&gt;$F$13,"",SUMIFS($D$4:$D$203,$C$4:$C$203,"&gt;="&amp;$G$28,$C$4:$C$203,IF(25=$F$13,"&lt;=","&lt;")&amp;($G$28+$F$16)))</f>
        <v/>
      </c>
      <c r="I28">
        <f>IF(AND(MOD(14,$F$17)=0,MOD((INT(14/$F$17)+1)-1,$F$13/5)=0),TEXT(INDEX($G$4:$G$53,(INT(14/$F$17)+1)),"#,##0"),"")</f>
        <v/>
      </c>
      <c r="J28">
        <f>IF(MOD(14,$F$17)=$F$17-1,0,INDEX($H$4:$H$53,(INT(14/$F$17)+1)))</f>
        <v/>
      </c>
      <c r="K28">
        <f>IFERROR(IF(AND($M$16&gt;=$F$14,$M$16&lt;=$F$15),10+0.5+100*($M$16-$F$14)/($F$15-$F$14),NA()),NA())</f>
        <v/>
      </c>
      <c r="L28">
        <f>IF(ISNA($K$28),NA(),0)</f>
        <v/>
      </c>
      <c r="O28" t="n">
        <v>7200</v>
      </c>
      <c r="P28" t="n">
        <v>7350</v>
      </c>
      <c r="Q28" t="n">
        <v>42</v>
      </c>
      <c r="T28">
        <f>IF(25&lt;=$S$13,$S$14+(25-1)*$S$16,"")</f>
        <v/>
      </c>
      <c r="U28">
        <f>IF(25&gt;$S$13,"",SUMIFS($Q$4:$Q$203,$P$4:$P$203,"&gt;="&amp;$T$28,$P$4:$P$203,IF(25=$S$13,"&lt;=","&lt;")&amp;($T$28+$S$16)))</f>
        <v/>
      </c>
      <c r="V28">
        <f>IF(AND(MOD(14,$S$17)=0,MOD((INT(14/$S$17)+1)-1,$S$13/5)=0),TEXT(INDEX($T$4:$T$53,(INT(14/$S$17)+1)),"#,##0"),"")</f>
        <v/>
      </c>
      <c r="W28">
        <f>IF(MOD(14,$S$17)=$S$17-1,0,INDEX($U$4:$U$53,(INT(14/$S$17)+1)))</f>
        <v/>
      </c>
      <c r="X28">
        <f>IFERROR(IF(AND($Z$16&gt;=$S$14,$Z$16&lt;=$S$15),10+0.5+100*($Z$16-$S$14)/($S$15-$S$14),NA()),NA())</f>
        <v/>
      </c>
      <c r="Y28">
        <f>IF(ISNA($X$28),NA(),0)</f>
        <v/>
      </c>
      <c r="AB28" t="n">
        <v>3600</v>
      </c>
      <c r="AC28" t="n">
        <v>3675</v>
      </c>
      <c r="AD28" t="n">
        <v>48</v>
      </c>
      <c r="AG28">
        <f>IF(25&lt;=$AF$13,$AF$14+(25-1)*$AF$16,"")</f>
        <v/>
      </c>
      <c r="AH28">
        <f>IF(25&gt;$AF$13,"",SUMIFS($AD$4:$AD$203,$AC$4:$AC$203,"&gt;="&amp;$AG$28,$AC$4:$AC$203,IF(25=$AF$13,"&lt;=","&lt;")&amp;($AG$28+$AF$16)))</f>
        <v/>
      </c>
      <c r="AI28">
        <f>IF(AND(MOD(14,$AF$17)=0,MOD((INT(14/$AF$17)+1)-1,$AF$13/5)=0),TEXT(INDEX($AG$4:$AG$53,(INT(14/$AF$17)+1)),"#,##0"),"")</f>
        <v/>
      </c>
      <c r="AJ28">
        <f>IF(MOD(14,$AF$17)=$AF$17-1,0,INDEX($AH$4:$AH$53,(INT(14/$AF$17)+1)))</f>
        <v/>
      </c>
      <c r="AK28">
        <f>IFERROR(IF(AND($AM$16&gt;=$AF$14,$AM$16&lt;=$AF$15),10+0.5+100*($AM$16-$AF$14)/($AF$15-$AF$14),NA()),NA())</f>
        <v/>
      </c>
      <c r="AL28">
        <f>IF(ISNA($AK$28),NA(),0)</f>
        <v/>
      </c>
    </row>
    <row r="29">
      <c r="B29" t="n">
        <v>587.5</v>
      </c>
      <c r="C29" t="n">
        <v>588.25</v>
      </c>
      <c r="D29" t="n">
        <v>7</v>
      </c>
      <c r="G29">
        <f>IF(26&lt;=$F$13,$F$14+(26-1)*$F$16,"")</f>
        <v/>
      </c>
      <c r="H29">
        <f>IF(26&gt;$F$13,"",SUMIFS($D$4:$D$203,$C$4:$C$203,"&gt;="&amp;$G$29,$C$4:$C$203,IF(26=$F$13,"&lt;=","&lt;")&amp;($G$29+$F$16)))</f>
        <v/>
      </c>
      <c r="I29">
        <f>IF(AND(MOD(15,$F$17)=0,MOD((INT(15/$F$17)+1)-1,$F$13/5)=0),TEXT(INDEX($G$4:$G$53,(INT(15/$F$17)+1)),"#,##0"),"")</f>
        <v/>
      </c>
      <c r="J29">
        <f>IF(MOD(15,$F$17)=$F$17-1,0,INDEX($H$4:$H$53,(INT(15/$F$17)+1)))</f>
        <v/>
      </c>
      <c r="K29">
        <f>IFERROR(IF(AND($M$16&gt;=$F$14,$M$16&lt;=$F$15),10+0.5+100*($M$16-$F$14)/($F$15-$F$14),NA()),NA())</f>
        <v/>
      </c>
      <c r="L29">
        <f>IF(ISNA($K$29),NA(),MAX($J$4:$J$123))</f>
        <v/>
      </c>
      <c r="O29" t="n">
        <v>7500</v>
      </c>
      <c r="P29" t="n">
        <v>7650</v>
      </c>
      <c r="Q29" t="n">
        <v>50</v>
      </c>
      <c r="T29">
        <f>IF(26&lt;=$S$13,$S$14+(26-1)*$S$16,"")</f>
        <v/>
      </c>
      <c r="U29">
        <f>IF(26&gt;$S$13,"",SUMIFS($Q$4:$Q$203,$P$4:$P$203,"&gt;="&amp;$T$29,$P$4:$P$203,IF(26=$S$13,"&lt;=","&lt;")&amp;($T$29+$S$16)))</f>
        <v/>
      </c>
      <c r="V29">
        <f>IF(AND(MOD(15,$S$17)=0,MOD((INT(15/$S$17)+1)-1,$S$13/5)=0),TEXT(INDEX($T$4:$T$53,(INT(15/$S$17)+1)),"#,##0"),"")</f>
        <v/>
      </c>
      <c r="W29">
        <f>IF(MOD(15,$S$17)=$S$17-1,0,INDEX($U$4:$U$53,(INT(15/$S$17)+1)))</f>
        <v/>
      </c>
      <c r="X29">
        <f>IFERROR(IF(AND($Z$16&gt;=$S$14,$Z$16&lt;=$S$15),10+0.5+100*($Z$16-$S$14)/($S$15-$S$14),NA()),NA())</f>
        <v/>
      </c>
      <c r="Y29">
        <f>IF(ISNA($X$29),NA(),MAX($W$4:$W$123))</f>
        <v/>
      </c>
      <c r="AB29" t="n">
        <v>3750</v>
      </c>
      <c r="AC29" t="n">
        <v>3825</v>
      </c>
      <c r="AD29" t="n">
        <v>39</v>
      </c>
      <c r="AG29">
        <f>IF(26&lt;=$AF$13,$AF$14+(26-1)*$AF$16,"")</f>
        <v/>
      </c>
      <c r="AH29">
        <f>IF(26&gt;$AF$13,"",SUMIFS($AD$4:$AD$203,$AC$4:$AC$203,"&gt;="&amp;$AG$29,$AC$4:$AC$203,IF(26=$AF$13,"&lt;=","&lt;")&amp;($AG$29+$AF$16)))</f>
        <v/>
      </c>
      <c r="AI29">
        <f>IF(AND(MOD(15,$AF$17)=0,MOD((INT(15/$AF$17)+1)-1,$AF$13/5)=0),TEXT(INDEX($AG$4:$AG$53,(INT(15/$AF$17)+1)),"#,##0"),"")</f>
        <v/>
      </c>
      <c r="AJ29">
        <f>IF(MOD(15,$AF$17)=$AF$17-1,0,INDEX($AH$4:$AH$53,(INT(15/$AF$17)+1)))</f>
        <v/>
      </c>
      <c r="AK29">
        <f>IFERROR(IF(AND($AM$16&gt;=$AF$14,$AM$16&lt;=$AF$15),10+0.5+100*($AM$16-$AF$14)/($AF$15-$AF$14),NA()),NA())</f>
        <v/>
      </c>
      <c r="AL29">
        <f>IF(ISNA($AK$29),NA(),MAX($AJ$4:$AJ$123))</f>
        <v/>
      </c>
    </row>
    <row r="30">
      <c r="B30" t="n">
        <v>589</v>
      </c>
      <c r="C30" t="n">
        <v>589.75</v>
      </c>
      <c r="D30" t="n">
        <v>13</v>
      </c>
      <c r="G30">
        <f>IF(27&lt;=$F$13,$F$14+(27-1)*$F$16,"")</f>
        <v/>
      </c>
      <c r="H30">
        <f>IF(27&gt;$F$13,"",SUMIFS($D$4:$D$203,$C$4:$C$203,"&gt;="&amp;$G$30,$C$4:$C$203,IF(27=$F$13,"&lt;=","&lt;")&amp;($G$30+$F$16)))</f>
        <v/>
      </c>
      <c r="I30">
        <f>IF(AND(MOD(16,$F$17)=0,MOD((INT(16/$F$17)+1)-1,$F$13/5)=0),TEXT(INDEX($G$4:$G$53,(INT(16/$F$17)+1)),"#,##0"),"")</f>
        <v/>
      </c>
      <c r="J30">
        <f>IF(MOD(16,$F$17)=$F$17-1,0,INDEX($H$4:$H$53,(INT(16/$F$17)+1)))</f>
        <v/>
      </c>
      <c r="K30">
        <f>IFERROR(IF(AND($M$17&gt;=$F$14,$M$17&lt;=$F$15),10+0.5+100*($M$17-$F$14)/($F$15-$F$14),NA()),NA())</f>
        <v/>
      </c>
      <c r="L30">
        <f>IF(ISNA($K$30),NA(),0)</f>
        <v/>
      </c>
      <c r="O30" t="n">
        <v>7800</v>
      </c>
      <c r="P30" t="n">
        <v>7950</v>
      </c>
      <c r="Q30" t="n">
        <v>50</v>
      </c>
      <c r="T30">
        <f>IF(27&lt;=$S$13,$S$14+(27-1)*$S$16,"")</f>
        <v/>
      </c>
      <c r="U30">
        <f>IF(27&gt;$S$13,"",SUMIFS($Q$4:$Q$203,$P$4:$P$203,"&gt;="&amp;$T$30,$P$4:$P$203,IF(27=$S$13,"&lt;=","&lt;")&amp;($T$30+$S$16)))</f>
        <v/>
      </c>
      <c r="V30">
        <f>IF(AND(MOD(16,$S$17)=0,MOD((INT(16/$S$17)+1)-1,$S$13/5)=0),TEXT(INDEX($T$4:$T$53,(INT(16/$S$17)+1)),"#,##0"),"")</f>
        <v/>
      </c>
      <c r="W30">
        <f>IF(MOD(16,$S$17)=$S$17-1,0,INDEX($U$4:$U$53,(INT(16/$S$17)+1)))</f>
        <v/>
      </c>
      <c r="X30">
        <f>IFERROR(IF(AND($Z$17&gt;=$S$14,$Z$17&lt;=$S$15),10+0.5+100*($Z$17-$S$14)/($S$15-$S$14),NA()),NA())</f>
        <v/>
      </c>
      <c r="Y30">
        <f>IF(ISNA($X$30),NA(),0)</f>
        <v/>
      </c>
      <c r="AB30" t="n">
        <v>3900</v>
      </c>
      <c r="AC30" t="n">
        <v>3975</v>
      </c>
      <c r="AD30" t="n">
        <v>47</v>
      </c>
      <c r="AG30">
        <f>IF(27&lt;=$AF$13,$AF$14+(27-1)*$AF$16,"")</f>
        <v/>
      </c>
      <c r="AH30">
        <f>IF(27&gt;$AF$13,"",SUMIFS($AD$4:$AD$203,$AC$4:$AC$203,"&gt;="&amp;$AG$30,$AC$4:$AC$203,IF(27=$AF$13,"&lt;=","&lt;")&amp;($AG$30+$AF$16)))</f>
        <v/>
      </c>
      <c r="AI30">
        <f>IF(AND(MOD(16,$AF$17)=0,MOD((INT(16/$AF$17)+1)-1,$AF$13/5)=0),TEXT(INDEX($AG$4:$AG$53,(INT(16/$AF$17)+1)),"#,##0"),"")</f>
        <v/>
      </c>
      <c r="AJ30">
        <f>IF(MOD(16,$AF$17)=$AF$17-1,0,INDEX($AH$4:$AH$53,(INT(16/$AF$17)+1)))</f>
        <v/>
      </c>
      <c r="AK30">
        <f>IFERROR(IF(AND($AM$17&gt;=$AF$14,$AM$17&lt;=$AF$15),10+0.5+100*($AM$17-$AF$14)/($AF$15-$AF$14),NA()),NA())</f>
        <v/>
      </c>
      <c r="AL30">
        <f>IF(ISNA($AK$30),NA(),0)</f>
        <v/>
      </c>
    </row>
    <row r="31">
      <c r="B31" t="n">
        <v>590.5</v>
      </c>
      <c r="C31" t="n">
        <v>591.25</v>
      </c>
      <c r="D31" t="n">
        <v>8</v>
      </c>
      <c r="G31">
        <f>IF(28&lt;=$F$13,$F$14+(28-1)*$F$16,"")</f>
        <v/>
      </c>
      <c r="H31">
        <f>IF(28&gt;$F$13,"",SUMIFS($D$4:$D$203,$C$4:$C$203,"&gt;="&amp;$G$31,$C$4:$C$203,IF(28=$F$13,"&lt;=","&lt;")&amp;($G$31+$F$16)))</f>
        <v/>
      </c>
      <c r="I31">
        <f>IF(AND(MOD(17,$F$17)=0,MOD((INT(17/$F$17)+1)-1,$F$13/5)=0),TEXT(INDEX($G$4:$G$53,(INT(17/$F$17)+1)),"#,##0"),"")</f>
        <v/>
      </c>
      <c r="J31">
        <f>IF(MOD(17,$F$17)=$F$17-1,0,INDEX($H$4:$H$53,(INT(17/$F$17)+1)))</f>
        <v/>
      </c>
      <c r="K31">
        <f>IFERROR(IF(AND($M$17&gt;=$F$14,$M$17&lt;=$F$15),10+0.5+100*($M$17-$F$14)/($F$15-$F$14),NA()),NA())</f>
        <v/>
      </c>
      <c r="L31">
        <f>IF(ISNA($K$31),NA(),MAX($J$4:$J$123))</f>
        <v/>
      </c>
      <c r="O31" t="n">
        <v>8100</v>
      </c>
      <c r="P31" t="n">
        <v>8250</v>
      </c>
      <c r="Q31" t="n">
        <v>57</v>
      </c>
      <c r="T31">
        <f>IF(28&lt;=$S$13,$S$14+(28-1)*$S$16,"")</f>
        <v/>
      </c>
      <c r="U31">
        <f>IF(28&gt;$S$13,"",SUMIFS($Q$4:$Q$203,$P$4:$P$203,"&gt;="&amp;$T$31,$P$4:$P$203,IF(28=$S$13,"&lt;=","&lt;")&amp;($T$31+$S$16)))</f>
        <v/>
      </c>
      <c r="V31">
        <f>IF(AND(MOD(17,$S$17)=0,MOD((INT(17/$S$17)+1)-1,$S$13/5)=0),TEXT(INDEX($T$4:$T$53,(INT(17/$S$17)+1)),"#,##0"),"")</f>
        <v/>
      </c>
      <c r="W31">
        <f>IF(MOD(17,$S$17)=$S$17-1,0,INDEX($U$4:$U$53,(INT(17/$S$17)+1)))</f>
        <v/>
      </c>
      <c r="X31">
        <f>IFERROR(IF(AND($Z$17&gt;=$S$14,$Z$17&lt;=$S$15),10+0.5+100*($Z$17-$S$14)/($S$15-$S$14),NA()),NA())</f>
        <v/>
      </c>
      <c r="Y31">
        <f>IF(ISNA($X$31),NA(),MAX($W$4:$W$123))</f>
        <v/>
      </c>
      <c r="AB31" t="n">
        <v>4050</v>
      </c>
      <c r="AC31" t="n">
        <v>4125</v>
      </c>
      <c r="AD31" t="n">
        <v>38</v>
      </c>
      <c r="AG31">
        <f>IF(28&lt;=$AF$13,$AF$14+(28-1)*$AF$16,"")</f>
        <v/>
      </c>
      <c r="AH31">
        <f>IF(28&gt;$AF$13,"",SUMIFS($AD$4:$AD$203,$AC$4:$AC$203,"&gt;="&amp;$AG$31,$AC$4:$AC$203,IF(28=$AF$13,"&lt;=","&lt;")&amp;($AG$31+$AF$16)))</f>
        <v/>
      </c>
      <c r="AI31">
        <f>IF(AND(MOD(17,$AF$17)=0,MOD((INT(17/$AF$17)+1)-1,$AF$13/5)=0),TEXT(INDEX($AG$4:$AG$53,(INT(17/$AF$17)+1)),"#,##0"),"")</f>
        <v/>
      </c>
      <c r="AJ31">
        <f>IF(MOD(17,$AF$17)=$AF$17-1,0,INDEX($AH$4:$AH$53,(INT(17/$AF$17)+1)))</f>
        <v/>
      </c>
      <c r="AK31">
        <f>IFERROR(IF(AND($AM$17&gt;=$AF$14,$AM$17&lt;=$AF$15),10+0.5+100*($AM$17-$AF$14)/($AF$15-$AF$14),NA()),NA())</f>
        <v/>
      </c>
      <c r="AL31">
        <f>IF(ISNA($AK$31),NA(),MAX($AJ$4:$AJ$123))</f>
        <v/>
      </c>
    </row>
    <row r="32">
      <c r="B32" t="n">
        <v>592</v>
      </c>
      <c r="C32" t="n">
        <v>592.75</v>
      </c>
      <c r="D32" t="n">
        <v>13</v>
      </c>
      <c r="G32">
        <f>IF(29&lt;=$F$13,$F$14+(29-1)*$F$16,"")</f>
        <v/>
      </c>
      <c r="H32">
        <f>IF(29&gt;$F$13,"",SUMIFS($D$4:$D$203,$C$4:$C$203,"&gt;="&amp;$G$32,$C$4:$C$203,IF(29=$F$13,"&lt;=","&lt;")&amp;($G$32+$F$16)))</f>
        <v/>
      </c>
      <c r="I32">
        <f>IF(AND(MOD(18,$F$17)=0,MOD((INT(18/$F$17)+1)-1,$F$13/5)=0),TEXT(INDEX($G$4:$G$53,(INT(18/$F$17)+1)),"#,##0"),"")</f>
        <v/>
      </c>
      <c r="J32">
        <f>IF(MOD(18,$F$17)=$F$17-1,0,INDEX($H$4:$H$53,(INT(18/$F$17)+1)))</f>
        <v/>
      </c>
      <c r="K32">
        <f>IFERROR(IF(AND($M$18&gt;=$F$14,$M$18&lt;=$F$15),10+0.5+100*($M$18-$F$14)/($F$15-$F$14),NA()),NA())</f>
        <v/>
      </c>
      <c r="L32">
        <f>IF(ISNA($K$32),NA(),0)</f>
        <v/>
      </c>
      <c r="O32" t="n">
        <v>8400</v>
      </c>
      <c r="P32" t="n">
        <v>8550</v>
      </c>
      <c r="Q32" t="n">
        <v>50</v>
      </c>
      <c r="T32">
        <f>IF(29&lt;=$S$13,$S$14+(29-1)*$S$16,"")</f>
        <v/>
      </c>
      <c r="U32">
        <f>IF(29&gt;$S$13,"",SUMIFS($Q$4:$Q$203,$P$4:$P$203,"&gt;="&amp;$T$32,$P$4:$P$203,IF(29=$S$13,"&lt;=","&lt;")&amp;($T$32+$S$16)))</f>
        <v/>
      </c>
      <c r="V32">
        <f>IF(AND(MOD(18,$S$17)=0,MOD((INT(18/$S$17)+1)-1,$S$13/5)=0),TEXT(INDEX($T$4:$T$53,(INT(18/$S$17)+1)),"#,##0"),"")</f>
        <v/>
      </c>
      <c r="W32">
        <f>IF(MOD(18,$S$17)=$S$17-1,0,INDEX($U$4:$U$53,(INT(18/$S$17)+1)))</f>
        <v/>
      </c>
      <c r="X32">
        <f>IFERROR(IF(AND($Z$18&gt;=$S$14,$Z$18&lt;=$S$15),10+0.5+100*($Z$18-$S$14)/($S$15-$S$14),NA()),NA())</f>
        <v/>
      </c>
      <c r="Y32">
        <f>IF(ISNA($X$32),NA(),0)</f>
        <v/>
      </c>
      <c r="AB32" t="n">
        <v>4200</v>
      </c>
      <c r="AC32" t="n">
        <v>4275</v>
      </c>
      <c r="AD32" t="n">
        <v>41</v>
      </c>
      <c r="AG32">
        <f>IF(29&lt;=$AF$13,$AF$14+(29-1)*$AF$16,"")</f>
        <v/>
      </c>
      <c r="AH32">
        <f>IF(29&gt;$AF$13,"",SUMIFS($AD$4:$AD$203,$AC$4:$AC$203,"&gt;="&amp;$AG$32,$AC$4:$AC$203,IF(29=$AF$13,"&lt;=","&lt;")&amp;($AG$32+$AF$16)))</f>
        <v/>
      </c>
      <c r="AI32">
        <f>IF(AND(MOD(18,$AF$17)=0,MOD((INT(18/$AF$17)+1)-1,$AF$13/5)=0),TEXT(INDEX($AG$4:$AG$53,(INT(18/$AF$17)+1)),"#,##0"),"")</f>
        <v/>
      </c>
      <c r="AJ32">
        <f>IF(MOD(18,$AF$17)=$AF$17-1,0,INDEX($AH$4:$AH$53,(INT(18/$AF$17)+1)))</f>
        <v/>
      </c>
      <c r="AK32">
        <f>IFERROR(IF(AND($AM$18&gt;=$AF$14,$AM$18&lt;=$AF$15),10+0.5+100*($AM$18-$AF$14)/($AF$15-$AF$14),NA()),NA())</f>
        <v/>
      </c>
      <c r="AL32">
        <f>IF(ISNA($AK$32),NA(),0)</f>
        <v/>
      </c>
    </row>
    <row r="33">
      <c r="B33" t="n">
        <v>593.5</v>
      </c>
      <c r="C33" t="n">
        <v>594.25</v>
      </c>
      <c r="D33" t="n">
        <v>8</v>
      </c>
      <c r="G33">
        <f>IF(30&lt;=$F$13,$F$14+(30-1)*$F$16,"")</f>
        <v/>
      </c>
      <c r="H33">
        <f>IF(30&gt;$F$13,"",SUMIFS($D$4:$D$203,$C$4:$C$203,"&gt;="&amp;$G$33,$C$4:$C$203,IF(30=$F$13,"&lt;=","&lt;")&amp;($G$33+$F$16)))</f>
        <v/>
      </c>
      <c r="I33">
        <f>IF(AND(MOD(19,$F$17)=0,MOD((INT(19/$F$17)+1)-1,$F$13/5)=0),TEXT(INDEX($G$4:$G$53,(INT(19/$F$17)+1)),"#,##0"),"")</f>
        <v/>
      </c>
      <c r="J33">
        <f>IF(MOD(19,$F$17)=$F$17-1,0,INDEX($H$4:$H$53,(INT(19/$F$17)+1)))</f>
        <v/>
      </c>
      <c r="K33">
        <f>IFERROR(IF(AND($M$18&gt;=$F$14,$M$18&lt;=$F$15),10+0.5+100*($M$18-$F$14)/($F$15-$F$14),NA()),NA())</f>
        <v/>
      </c>
      <c r="L33">
        <f>IF(ISNA($K$33),NA(),MAX($J$4:$J$123))</f>
        <v/>
      </c>
      <c r="O33" t="n">
        <v>8700</v>
      </c>
      <c r="P33" t="n">
        <v>8850</v>
      </c>
      <c r="Q33" t="n">
        <v>42</v>
      </c>
      <c r="T33">
        <f>IF(30&lt;=$S$13,$S$14+(30-1)*$S$16,"")</f>
        <v/>
      </c>
      <c r="U33">
        <f>IF(30&gt;$S$13,"",SUMIFS($Q$4:$Q$203,$P$4:$P$203,"&gt;="&amp;$T$33,$P$4:$P$203,IF(30=$S$13,"&lt;=","&lt;")&amp;($T$33+$S$16)))</f>
        <v/>
      </c>
      <c r="V33">
        <f>IF(AND(MOD(19,$S$17)=0,MOD((INT(19/$S$17)+1)-1,$S$13/5)=0),TEXT(INDEX($T$4:$T$53,(INT(19/$S$17)+1)),"#,##0"),"")</f>
        <v/>
      </c>
      <c r="W33">
        <f>IF(MOD(19,$S$17)=$S$17-1,0,INDEX($U$4:$U$53,(INT(19/$S$17)+1)))</f>
        <v/>
      </c>
      <c r="X33">
        <f>IFERROR(IF(AND($Z$18&gt;=$S$14,$Z$18&lt;=$S$15),10+0.5+100*($Z$18-$S$14)/($S$15-$S$14),NA()),NA())</f>
        <v/>
      </c>
      <c r="Y33">
        <f>IF(ISNA($X$33),NA(),MAX($W$4:$W$123))</f>
        <v/>
      </c>
      <c r="AB33" t="n">
        <v>4350</v>
      </c>
      <c r="AC33" t="n">
        <v>4425</v>
      </c>
      <c r="AD33" t="n">
        <v>50</v>
      </c>
      <c r="AG33">
        <f>IF(30&lt;=$AF$13,$AF$14+(30-1)*$AF$16,"")</f>
        <v/>
      </c>
      <c r="AH33">
        <f>IF(30&gt;$AF$13,"",SUMIFS($AD$4:$AD$203,$AC$4:$AC$203,"&gt;="&amp;$AG$33,$AC$4:$AC$203,IF(30=$AF$13,"&lt;=","&lt;")&amp;($AG$33+$AF$16)))</f>
        <v/>
      </c>
      <c r="AI33">
        <f>IF(AND(MOD(19,$AF$17)=0,MOD((INT(19/$AF$17)+1)-1,$AF$13/5)=0),TEXT(INDEX($AG$4:$AG$53,(INT(19/$AF$17)+1)),"#,##0"),"")</f>
        <v/>
      </c>
      <c r="AJ33">
        <f>IF(MOD(19,$AF$17)=$AF$17-1,0,INDEX($AH$4:$AH$53,(INT(19/$AF$17)+1)))</f>
        <v/>
      </c>
      <c r="AK33">
        <f>IFERROR(IF(AND($AM$18&gt;=$AF$14,$AM$18&lt;=$AF$15),10+0.5+100*($AM$18-$AF$14)/($AF$15-$AF$14),NA()),NA())</f>
        <v/>
      </c>
      <c r="AL33">
        <f>IF(ISNA($AK$33),NA(),MAX($AJ$4:$AJ$123))</f>
        <v/>
      </c>
    </row>
    <row r="34">
      <c r="B34" t="n">
        <v>595</v>
      </c>
      <c r="C34" t="n">
        <v>595.75</v>
      </c>
      <c r="D34" t="n">
        <v>17</v>
      </c>
      <c r="G34">
        <f>IF(31&lt;=$F$13,$F$14+(31-1)*$F$16,"")</f>
        <v/>
      </c>
      <c r="H34">
        <f>IF(31&gt;$F$13,"",SUMIFS($D$4:$D$203,$C$4:$C$203,"&gt;="&amp;$G$34,$C$4:$C$203,IF(31=$F$13,"&lt;=","&lt;")&amp;($G$34+$F$16)))</f>
        <v/>
      </c>
      <c r="I34">
        <f>IF(AND(MOD(20,$F$17)=0,MOD((INT(20/$F$17)+1)-1,$F$13/5)=0),TEXT(INDEX($G$4:$G$53,(INT(20/$F$17)+1)),"#,##0"),"")</f>
        <v/>
      </c>
      <c r="J34">
        <f>IF(MOD(20,$F$17)=$F$17-1,0,INDEX($H$4:$H$53,(INT(20/$F$17)+1)))</f>
        <v/>
      </c>
      <c r="K34">
        <f>IFERROR(IF(AND($M$19&gt;=$F$14,$M$19&lt;=$F$15),10+0.5+100*($M$19-$F$14)/($F$15-$F$14),NA()),NA())</f>
        <v/>
      </c>
      <c r="L34">
        <f>IF(ISNA($K$34),NA(),0)</f>
        <v/>
      </c>
      <c r="O34" t="n">
        <v>9000</v>
      </c>
      <c r="P34" t="n">
        <v>9150</v>
      </c>
      <c r="Q34" t="n">
        <v>41</v>
      </c>
      <c r="T34">
        <f>IF(31&lt;=$S$13,$S$14+(31-1)*$S$16,"")</f>
        <v/>
      </c>
      <c r="U34">
        <f>IF(31&gt;$S$13,"",SUMIFS($Q$4:$Q$203,$P$4:$P$203,"&gt;="&amp;$T$34,$P$4:$P$203,IF(31=$S$13,"&lt;=","&lt;")&amp;($T$34+$S$16)))</f>
        <v/>
      </c>
      <c r="V34">
        <f>IF(AND(MOD(20,$S$17)=0,MOD((INT(20/$S$17)+1)-1,$S$13/5)=0),TEXT(INDEX($T$4:$T$53,(INT(20/$S$17)+1)),"#,##0"),"")</f>
        <v/>
      </c>
      <c r="W34">
        <f>IF(MOD(20,$S$17)=$S$17-1,0,INDEX($U$4:$U$53,(INT(20/$S$17)+1)))</f>
        <v/>
      </c>
      <c r="X34">
        <f>IFERROR(IF(AND($Z$19&gt;=$S$14,$Z$19&lt;=$S$15),10+0.5+100*($Z$19-$S$14)/($S$15-$S$14),NA()),NA())</f>
        <v/>
      </c>
      <c r="Y34">
        <f>IF(ISNA($X$34),NA(),0)</f>
        <v/>
      </c>
      <c r="AB34" t="n">
        <v>4500</v>
      </c>
      <c r="AC34" t="n">
        <v>4575</v>
      </c>
      <c r="AD34" t="n">
        <v>39</v>
      </c>
      <c r="AG34">
        <f>IF(31&lt;=$AF$13,$AF$14+(31-1)*$AF$16,"")</f>
        <v/>
      </c>
      <c r="AH34">
        <f>IF(31&gt;$AF$13,"",SUMIFS($AD$4:$AD$203,$AC$4:$AC$203,"&gt;="&amp;$AG$34,$AC$4:$AC$203,IF(31=$AF$13,"&lt;=","&lt;")&amp;($AG$34+$AF$16)))</f>
        <v/>
      </c>
      <c r="AI34">
        <f>IF(AND(MOD(20,$AF$17)=0,MOD((INT(20/$AF$17)+1)-1,$AF$13/5)=0),TEXT(INDEX($AG$4:$AG$53,(INT(20/$AF$17)+1)),"#,##0"),"")</f>
        <v/>
      </c>
      <c r="AJ34">
        <f>IF(MOD(20,$AF$17)=$AF$17-1,0,INDEX($AH$4:$AH$53,(INT(20/$AF$17)+1)))</f>
        <v/>
      </c>
      <c r="AK34">
        <f>IFERROR(IF(AND($AM$19&gt;=$AF$14,$AM$19&lt;=$AF$15),10+0.5+100*($AM$19-$AF$14)/($AF$15-$AF$14),NA()),NA())</f>
        <v/>
      </c>
      <c r="AL34">
        <f>IF(ISNA($AK$34),NA(),0)</f>
        <v/>
      </c>
    </row>
    <row r="35">
      <c r="B35" t="n">
        <v>596.5</v>
      </c>
      <c r="C35" t="n">
        <v>597.25</v>
      </c>
      <c r="D35" t="n">
        <v>9</v>
      </c>
      <c r="G35">
        <f>IF(32&lt;=$F$13,$F$14+(32-1)*$F$16,"")</f>
        <v/>
      </c>
      <c r="H35">
        <f>IF(32&gt;$F$13,"",SUMIFS($D$4:$D$203,$C$4:$C$203,"&gt;="&amp;$G$35,$C$4:$C$203,IF(32=$F$13,"&lt;=","&lt;")&amp;($G$35+$F$16)))</f>
        <v/>
      </c>
      <c r="I35">
        <f>IF(AND(MOD(21,$F$17)=0,MOD((INT(21/$F$17)+1)-1,$F$13/5)=0),TEXT(INDEX($G$4:$G$53,(INT(21/$F$17)+1)),"#,##0"),"")</f>
        <v/>
      </c>
      <c r="J35">
        <f>IF(MOD(21,$F$17)=$F$17-1,0,INDEX($H$4:$H$53,(INT(21/$F$17)+1)))</f>
        <v/>
      </c>
      <c r="K35">
        <f>IFERROR(IF(AND($M$19&gt;=$F$14,$M$19&lt;=$F$15),10+0.5+100*($M$19-$F$14)/($F$15-$F$14),NA()),NA())</f>
        <v/>
      </c>
      <c r="L35">
        <f>IF(ISNA($K$35),NA(),MAX($J$4:$J$123))</f>
        <v/>
      </c>
      <c r="O35" t="n">
        <v>9300</v>
      </c>
      <c r="P35" t="n">
        <v>9450</v>
      </c>
      <c r="Q35" t="n">
        <v>46</v>
      </c>
      <c r="T35">
        <f>IF(32&lt;=$S$13,$S$14+(32-1)*$S$16,"")</f>
        <v/>
      </c>
      <c r="U35">
        <f>IF(32&gt;$S$13,"",SUMIFS($Q$4:$Q$203,$P$4:$P$203,"&gt;="&amp;$T$35,$P$4:$P$203,IF(32=$S$13,"&lt;=","&lt;")&amp;($T$35+$S$16)))</f>
        <v/>
      </c>
      <c r="V35">
        <f>IF(AND(MOD(21,$S$17)=0,MOD((INT(21/$S$17)+1)-1,$S$13/5)=0),TEXT(INDEX($T$4:$T$53,(INT(21/$S$17)+1)),"#,##0"),"")</f>
        <v/>
      </c>
      <c r="W35">
        <f>IF(MOD(21,$S$17)=$S$17-1,0,INDEX($U$4:$U$53,(INT(21/$S$17)+1)))</f>
        <v/>
      </c>
      <c r="X35">
        <f>IFERROR(IF(AND($Z$19&gt;=$S$14,$Z$19&lt;=$S$15),10+0.5+100*($Z$19-$S$14)/($S$15-$S$14),NA()),NA())</f>
        <v/>
      </c>
      <c r="Y35">
        <f>IF(ISNA($X$35),NA(),MAX($W$4:$W$123))</f>
        <v/>
      </c>
      <c r="AB35" t="n">
        <v>4650</v>
      </c>
      <c r="AC35" t="n">
        <v>4725</v>
      </c>
      <c r="AD35" t="n">
        <v>53</v>
      </c>
      <c r="AG35">
        <f>IF(32&lt;=$AF$13,$AF$14+(32-1)*$AF$16,"")</f>
        <v/>
      </c>
      <c r="AH35">
        <f>IF(32&gt;$AF$13,"",SUMIFS($AD$4:$AD$203,$AC$4:$AC$203,"&gt;="&amp;$AG$35,$AC$4:$AC$203,IF(32=$AF$13,"&lt;=","&lt;")&amp;($AG$35+$AF$16)))</f>
        <v/>
      </c>
      <c r="AI35">
        <f>IF(AND(MOD(21,$AF$17)=0,MOD((INT(21/$AF$17)+1)-1,$AF$13/5)=0),TEXT(INDEX($AG$4:$AG$53,(INT(21/$AF$17)+1)),"#,##0"),"")</f>
        <v/>
      </c>
      <c r="AJ35">
        <f>IF(MOD(21,$AF$17)=$AF$17-1,0,INDEX($AH$4:$AH$53,(INT(21/$AF$17)+1)))</f>
        <v/>
      </c>
      <c r="AK35">
        <f>IFERROR(IF(AND($AM$19&gt;=$AF$14,$AM$19&lt;=$AF$15),10+0.5+100*($AM$19-$AF$14)/($AF$15-$AF$14),NA()),NA())</f>
        <v/>
      </c>
      <c r="AL35">
        <f>IF(ISNA($AK$35),NA(),MAX($AJ$4:$AJ$123))</f>
        <v/>
      </c>
    </row>
    <row r="36">
      <c r="B36" t="n">
        <v>598</v>
      </c>
      <c r="C36" t="n">
        <v>598.75</v>
      </c>
      <c r="D36" t="n">
        <v>25</v>
      </c>
      <c r="G36">
        <f>IF(33&lt;=$F$13,$F$14+(33-1)*$F$16,"")</f>
        <v/>
      </c>
      <c r="H36">
        <f>IF(33&gt;$F$13,"",SUMIFS($D$4:$D$203,$C$4:$C$203,"&gt;="&amp;$G$36,$C$4:$C$203,IF(33=$F$13,"&lt;=","&lt;")&amp;($G$36+$F$16)))</f>
        <v/>
      </c>
      <c r="I36">
        <f>IF(AND(MOD(22,$F$17)=0,MOD((INT(22/$F$17)+1)-1,$F$13/5)=0),TEXT(INDEX($G$4:$G$53,(INT(22/$F$17)+1)),"#,##0"),"")</f>
        <v/>
      </c>
      <c r="J36">
        <f>IF(MOD(22,$F$17)=$F$17-1,0,INDEX($H$4:$H$53,(INT(22/$F$17)+1)))</f>
        <v/>
      </c>
      <c r="K36">
        <f>IFERROR(IF(AND($M$20&gt;=$F$14,$M$20&lt;=$F$15),10+0.5+100*($M$20-$F$14)/($F$15-$F$14),NA()),NA())</f>
        <v/>
      </c>
      <c r="L36">
        <f>IF(ISNA($K$36),NA(),0)</f>
        <v/>
      </c>
      <c r="O36" t="n">
        <v>9600</v>
      </c>
      <c r="P36" t="n">
        <v>9750</v>
      </c>
      <c r="Q36" t="n">
        <v>51</v>
      </c>
      <c r="T36">
        <f>IF(33&lt;=$S$13,$S$14+(33-1)*$S$16,"")</f>
        <v/>
      </c>
      <c r="U36">
        <f>IF(33&gt;$S$13,"",SUMIFS($Q$4:$Q$203,$P$4:$P$203,"&gt;="&amp;$T$36,$P$4:$P$203,IF(33=$S$13,"&lt;=","&lt;")&amp;($T$36+$S$16)))</f>
        <v/>
      </c>
      <c r="V36">
        <f>IF(AND(MOD(22,$S$17)=0,MOD((INT(22/$S$17)+1)-1,$S$13/5)=0),TEXT(INDEX($T$4:$T$53,(INT(22/$S$17)+1)),"#,##0"),"")</f>
        <v/>
      </c>
      <c r="W36">
        <f>IF(MOD(22,$S$17)=$S$17-1,0,INDEX($U$4:$U$53,(INT(22/$S$17)+1)))</f>
        <v/>
      </c>
      <c r="X36">
        <f>IFERROR(IF(AND($Z$20&gt;=$S$14,$Z$20&lt;=$S$15),10+0.5+100*($Z$20-$S$14)/($S$15-$S$14),NA()),NA())</f>
        <v/>
      </c>
      <c r="Y36">
        <f>IF(ISNA($X$36),NA(),0)</f>
        <v/>
      </c>
      <c r="AB36" t="n">
        <v>4800</v>
      </c>
      <c r="AC36" t="n">
        <v>4875</v>
      </c>
      <c r="AD36" t="n">
        <v>45</v>
      </c>
      <c r="AG36">
        <f>IF(33&lt;=$AF$13,$AF$14+(33-1)*$AF$16,"")</f>
        <v/>
      </c>
      <c r="AH36">
        <f>IF(33&gt;$AF$13,"",SUMIFS($AD$4:$AD$203,$AC$4:$AC$203,"&gt;="&amp;$AG$36,$AC$4:$AC$203,IF(33=$AF$13,"&lt;=","&lt;")&amp;($AG$36+$AF$16)))</f>
        <v/>
      </c>
      <c r="AI36">
        <f>IF(AND(MOD(22,$AF$17)=0,MOD((INT(22/$AF$17)+1)-1,$AF$13/5)=0),TEXT(INDEX($AG$4:$AG$53,(INT(22/$AF$17)+1)),"#,##0"),"")</f>
        <v/>
      </c>
      <c r="AJ36">
        <f>IF(MOD(22,$AF$17)=$AF$17-1,0,INDEX($AH$4:$AH$53,(INT(22/$AF$17)+1)))</f>
        <v/>
      </c>
      <c r="AK36">
        <f>IFERROR(IF(AND($AM$20&gt;=$AF$14,$AM$20&lt;=$AF$15),10+0.5+100*($AM$20-$AF$14)/($AF$15-$AF$14),NA()),NA())</f>
        <v/>
      </c>
      <c r="AL36">
        <f>IF(ISNA($AK$36),NA(),0)</f>
        <v/>
      </c>
    </row>
    <row r="37">
      <c r="B37" t="n">
        <v>599.5</v>
      </c>
      <c r="C37" t="n">
        <v>600.25</v>
      </c>
      <c r="D37" t="n">
        <v>12</v>
      </c>
      <c r="G37">
        <f>IF(34&lt;=$F$13,$F$14+(34-1)*$F$16,"")</f>
        <v/>
      </c>
      <c r="H37">
        <f>IF(34&gt;$F$13,"",SUMIFS($D$4:$D$203,$C$4:$C$203,"&gt;="&amp;$G$37,$C$4:$C$203,IF(34=$F$13,"&lt;=","&lt;")&amp;($G$37+$F$16)))</f>
        <v/>
      </c>
      <c r="I37">
        <f>IF(AND(MOD(23,$F$17)=0,MOD((INT(23/$F$17)+1)-1,$F$13/5)=0),TEXT(INDEX($G$4:$G$53,(INT(23/$F$17)+1)),"#,##0"),"")</f>
        <v/>
      </c>
      <c r="J37">
        <f>IF(MOD(23,$F$17)=$F$17-1,0,INDEX($H$4:$H$53,(INT(23/$F$17)+1)))</f>
        <v/>
      </c>
      <c r="K37">
        <f>IFERROR(IF(AND($M$20&gt;=$F$14,$M$20&lt;=$F$15),10+0.5+100*($M$20-$F$14)/($F$15-$F$14),NA()),NA())</f>
        <v/>
      </c>
      <c r="L37">
        <f>IF(ISNA($K$37),NA(),MAX($J$4:$J$123))</f>
        <v/>
      </c>
      <c r="O37" t="n">
        <v>9900</v>
      </c>
      <c r="P37" t="n">
        <v>10050</v>
      </c>
      <c r="Q37" t="n">
        <v>58</v>
      </c>
      <c r="T37">
        <f>IF(34&lt;=$S$13,$S$14+(34-1)*$S$16,"")</f>
        <v/>
      </c>
      <c r="U37">
        <f>IF(34&gt;$S$13,"",SUMIFS($Q$4:$Q$203,$P$4:$P$203,"&gt;="&amp;$T$37,$P$4:$P$203,IF(34=$S$13,"&lt;=","&lt;")&amp;($T$37+$S$16)))</f>
        <v/>
      </c>
      <c r="V37">
        <f>IF(AND(MOD(23,$S$17)=0,MOD((INT(23/$S$17)+1)-1,$S$13/5)=0),TEXT(INDEX($T$4:$T$53,(INT(23/$S$17)+1)),"#,##0"),"")</f>
        <v/>
      </c>
      <c r="W37">
        <f>IF(MOD(23,$S$17)=$S$17-1,0,INDEX($U$4:$U$53,(INT(23/$S$17)+1)))</f>
        <v/>
      </c>
      <c r="X37">
        <f>IFERROR(IF(AND($Z$20&gt;=$S$14,$Z$20&lt;=$S$15),10+0.5+100*($Z$20-$S$14)/($S$15-$S$14),NA()),NA())</f>
        <v/>
      </c>
      <c r="Y37">
        <f>IF(ISNA($X$37),NA(),MAX($W$4:$W$123))</f>
        <v/>
      </c>
      <c r="AB37" t="n">
        <v>4950</v>
      </c>
      <c r="AC37" t="n">
        <v>5025</v>
      </c>
      <c r="AD37" t="n">
        <v>52</v>
      </c>
      <c r="AG37">
        <f>IF(34&lt;=$AF$13,$AF$14+(34-1)*$AF$16,"")</f>
        <v/>
      </c>
      <c r="AH37">
        <f>IF(34&gt;$AF$13,"",SUMIFS($AD$4:$AD$203,$AC$4:$AC$203,"&gt;="&amp;$AG$37,$AC$4:$AC$203,IF(34=$AF$13,"&lt;=","&lt;")&amp;($AG$37+$AF$16)))</f>
        <v/>
      </c>
      <c r="AI37">
        <f>IF(AND(MOD(23,$AF$17)=0,MOD((INT(23/$AF$17)+1)-1,$AF$13/5)=0),TEXT(INDEX($AG$4:$AG$53,(INT(23/$AF$17)+1)),"#,##0"),"")</f>
        <v/>
      </c>
      <c r="AJ37">
        <f>IF(MOD(23,$AF$17)=$AF$17-1,0,INDEX($AH$4:$AH$53,(INT(23/$AF$17)+1)))</f>
        <v/>
      </c>
      <c r="AK37">
        <f>IFERROR(IF(AND($AM$20&gt;=$AF$14,$AM$20&lt;=$AF$15),10+0.5+100*($AM$20-$AF$14)/($AF$15-$AF$14),NA()),NA())</f>
        <v/>
      </c>
      <c r="AL37">
        <f>IF(ISNA($AK$37),NA(),MAX($AJ$4:$AJ$123))</f>
        <v/>
      </c>
    </row>
    <row r="38">
      <c r="B38" t="n">
        <v>601</v>
      </c>
      <c r="C38" t="n">
        <v>601.75</v>
      </c>
      <c r="D38" t="n">
        <v>25</v>
      </c>
      <c r="G38">
        <f>IF(35&lt;=$F$13,$F$14+(35-1)*$F$16,"")</f>
        <v/>
      </c>
      <c r="H38">
        <f>IF(35&gt;$F$13,"",SUMIFS($D$4:$D$203,$C$4:$C$203,"&gt;="&amp;$G$38,$C$4:$C$203,IF(35=$F$13,"&lt;=","&lt;")&amp;($G$38+$F$16)))</f>
        <v/>
      </c>
      <c r="I38">
        <f>IF(AND(MOD(24,$F$17)=0,MOD((INT(24/$F$17)+1)-1,$F$13/5)=0),TEXT(INDEX($G$4:$G$53,(INT(24/$F$17)+1)),"#,##0"),"")</f>
        <v/>
      </c>
      <c r="J38">
        <f>IF(MOD(24,$F$17)=$F$17-1,0,INDEX($H$4:$H$53,(INT(24/$F$17)+1)))</f>
        <v/>
      </c>
      <c r="K38">
        <f>IFERROR(IF(AND($M$21&gt;=$F$14,$M$21&lt;=$F$15),10+0.5+100*($M$21-$F$14)/($F$15-$F$14),NA()),NA())</f>
        <v/>
      </c>
      <c r="L38">
        <f>IF(ISNA($K$38),NA(),0)</f>
        <v/>
      </c>
      <c r="O38" t="n">
        <v>10200</v>
      </c>
      <c r="P38" t="n">
        <v>10350</v>
      </c>
      <c r="Q38" t="n">
        <v>40</v>
      </c>
      <c r="T38">
        <f>IF(35&lt;=$S$13,$S$14+(35-1)*$S$16,"")</f>
        <v/>
      </c>
      <c r="U38">
        <f>IF(35&gt;$S$13,"",SUMIFS($Q$4:$Q$203,$P$4:$P$203,"&gt;="&amp;$T$38,$P$4:$P$203,IF(35=$S$13,"&lt;=","&lt;")&amp;($T$38+$S$16)))</f>
        <v/>
      </c>
      <c r="V38">
        <f>IF(AND(MOD(24,$S$17)=0,MOD((INT(24/$S$17)+1)-1,$S$13/5)=0),TEXT(INDEX($T$4:$T$53,(INT(24/$S$17)+1)),"#,##0"),"")</f>
        <v/>
      </c>
      <c r="W38">
        <f>IF(MOD(24,$S$17)=$S$17-1,0,INDEX($U$4:$U$53,(INT(24/$S$17)+1)))</f>
        <v/>
      </c>
      <c r="X38">
        <f>IFERROR(IF(AND($Z$21&gt;=$S$14,$Z$21&lt;=$S$15),10+0.5+100*($Z$21-$S$14)/($S$15-$S$14),NA()),NA())</f>
        <v/>
      </c>
      <c r="Y38">
        <f>IF(ISNA($X$38),NA(),0)</f>
        <v/>
      </c>
      <c r="AB38" t="n">
        <v>5100</v>
      </c>
      <c r="AC38" t="n">
        <v>5175</v>
      </c>
      <c r="AD38" t="n">
        <v>46</v>
      </c>
      <c r="AG38">
        <f>IF(35&lt;=$AF$13,$AF$14+(35-1)*$AF$16,"")</f>
        <v/>
      </c>
      <c r="AH38">
        <f>IF(35&gt;$AF$13,"",SUMIFS($AD$4:$AD$203,$AC$4:$AC$203,"&gt;="&amp;$AG$38,$AC$4:$AC$203,IF(35=$AF$13,"&lt;=","&lt;")&amp;($AG$38+$AF$16)))</f>
        <v/>
      </c>
      <c r="AI38">
        <f>IF(AND(MOD(24,$AF$17)=0,MOD((INT(24/$AF$17)+1)-1,$AF$13/5)=0),TEXT(INDEX($AG$4:$AG$53,(INT(24/$AF$17)+1)),"#,##0"),"")</f>
        <v/>
      </c>
      <c r="AJ38">
        <f>IF(MOD(24,$AF$17)=$AF$17-1,0,INDEX($AH$4:$AH$53,(INT(24/$AF$17)+1)))</f>
        <v/>
      </c>
      <c r="AK38">
        <f>IFERROR(IF(AND($AM$21&gt;=$AF$14,$AM$21&lt;=$AF$15),10+0.5+100*($AM$21-$AF$14)/($AF$15-$AF$14),NA()),NA())</f>
        <v/>
      </c>
      <c r="AL38">
        <f>IF(ISNA($AK$38),NA(),0)</f>
        <v/>
      </c>
    </row>
    <row r="39">
      <c r="B39" t="n">
        <v>602.5</v>
      </c>
      <c r="C39" t="n">
        <v>603.25</v>
      </c>
      <c r="D39" t="n">
        <v>12</v>
      </c>
      <c r="G39">
        <f>IF(36&lt;=$F$13,$F$14+(36-1)*$F$16,"")</f>
        <v/>
      </c>
      <c r="H39">
        <f>IF(36&gt;$F$13,"",SUMIFS($D$4:$D$203,$C$4:$C$203,"&gt;="&amp;$G$39,$C$4:$C$203,IF(36=$F$13,"&lt;=","&lt;")&amp;($G$39+$F$16)))</f>
        <v/>
      </c>
      <c r="I39">
        <f>IF(AND(MOD(25,$F$17)=0,MOD((INT(25/$F$17)+1)-1,$F$13/5)=0),TEXT(INDEX($G$4:$G$53,(INT(25/$F$17)+1)),"#,##0"),"")</f>
        <v/>
      </c>
      <c r="J39">
        <f>IF(MOD(25,$F$17)=$F$17-1,0,INDEX($H$4:$H$53,(INT(25/$F$17)+1)))</f>
        <v/>
      </c>
      <c r="K39">
        <f>IFERROR(IF(AND($M$21&gt;=$F$14,$M$21&lt;=$F$15),10+0.5+100*($M$21-$F$14)/($F$15-$F$14),NA()),NA())</f>
        <v/>
      </c>
      <c r="L39">
        <f>IF(ISNA($K$39),NA(),MAX($J$4:$J$123))</f>
        <v/>
      </c>
      <c r="O39" t="n">
        <v>10500</v>
      </c>
      <c r="P39" t="n">
        <v>10650</v>
      </c>
      <c r="Q39" t="n">
        <v>56</v>
      </c>
      <c r="T39">
        <f>IF(36&lt;=$S$13,$S$14+(36-1)*$S$16,"")</f>
        <v/>
      </c>
      <c r="U39">
        <f>IF(36&gt;$S$13,"",SUMIFS($Q$4:$Q$203,$P$4:$P$203,"&gt;="&amp;$T$39,$P$4:$P$203,IF(36=$S$13,"&lt;=","&lt;")&amp;($T$39+$S$16)))</f>
        <v/>
      </c>
      <c r="V39">
        <f>IF(AND(MOD(25,$S$17)=0,MOD((INT(25/$S$17)+1)-1,$S$13/5)=0),TEXT(INDEX($T$4:$T$53,(INT(25/$S$17)+1)),"#,##0"),"")</f>
        <v/>
      </c>
      <c r="W39">
        <f>IF(MOD(25,$S$17)=$S$17-1,0,INDEX($U$4:$U$53,(INT(25/$S$17)+1)))</f>
        <v/>
      </c>
      <c r="X39">
        <f>IFERROR(IF(AND($Z$21&gt;=$S$14,$Z$21&lt;=$S$15),10+0.5+100*($Z$21-$S$14)/($S$15-$S$14),NA()),NA())</f>
        <v/>
      </c>
      <c r="Y39">
        <f>IF(ISNA($X$39),NA(),MAX($W$4:$W$123))</f>
        <v/>
      </c>
      <c r="AB39" t="n">
        <v>5250</v>
      </c>
      <c r="AC39" t="n">
        <v>5325</v>
      </c>
      <c r="AD39" t="n">
        <v>54</v>
      </c>
      <c r="AG39">
        <f>IF(36&lt;=$AF$13,$AF$14+(36-1)*$AF$16,"")</f>
        <v/>
      </c>
      <c r="AH39">
        <f>IF(36&gt;$AF$13,"",SUMIFS($AD$4:$AD$203,$AC$4:$AC$203,"&gt;="&amp;$AG$39,$AC$4:$AC$203,IF(36=$AF$13,"&lt;=","&lt;")&amp;($AG$39+$AF$16)))</f>
        <v/>
      </c>
      <c r="AI39">
        <f>IF(AND(MOD(25,$AF$17)=0,MOD((INT(25/$AF$17)+1)-1,$AF$13/5)=0),TEXT(INDEX($AG$4:$AG$53,(INT(25/$AF$17)+1)),"#,##0"),"")</f>
        <v/>
      </c>
      <c r="AJ39">
        <f>IF(MOD(25,$AF$17)=$AF$17-1,0,INDEX($AH$4:$AH$53,(INT(25/$AF$17)+1)))</f>
        <v/>
      </c>
      <c r="AK39">
        <f>IFERROR(IF(AND($AM$21&gt;=$AF$14,$AM$21&lt;=$AF$15),10+0.5+100*($AM$21-$AF$14)/($AF$15-$AF$14),NA()),NA())</f>
        <v/>
      </c>
      <c r="AL39">
        <f>IF(ISNA($AK$39),NA(),MAX($AJ$4:$AJ$123))</f>
        <v/>
      </c>
    </row>
    <row r="40">
      <c r="B40" t="n">
        <v>604</v>
      </c>
      <c r="C40" t="n">
        <v>604.75</v>
      </c>
      <c r="D40" t="n">
        <v>24</v>
      </c>
      <c r="G40">
        <f>IF(37&lt;=$F$13,$F$14+(37-1)*$F$16,"")</f>
        <v/>
      </c>
      <c r="H40">
        <f>IF(37&gt;$F$13,"",SUMIFS($D$4:$D$203,$C$4:$C$203,"&gt;="&amp;$G$40,$C$4:$C$203,IF(37=$F$13,"&lt;=","&lt;")&amp;($G$40+$F$16)))</f>
        <v/>
      </c>
      <c r="I40">
        <f>IF(AND(MOD(26,$F$17)=0,MOD((INT(26/$F$17)+1)-1,$F$13/5)=0),TEXT(INDEX($G$4:$G$53,(INT(26/$F$17)+1)),"#,##0"),"")</f>
        <v/>
      </c>
      <c r="J40">
        <f>IF(MOD(26,$F$17)=$F$17-1,0,INDEX($H$4:$H$53,(INT(26/$F$17)+1)))</f>
        <v/>
      </c>
      <c r="K40">
        <f>IFERROR(IF(AND($M$22&gt;=$F$14,$M$22&lt;=$F$15),10+0.5+100*($M$22-$F$14)/($F$15-$F$14),NA()),NA())</f>
        <v/>
      </c>
      <c r="L40">
        <f>IF(ISNA($K$40),NA(),0)</f>
        <v/>
      </c>
      <c r="O40" t="n">
        <v>10800</v>
      </c>
      <c r="P40" t="n">
        <v>10950</v>
      </c>
      <c r="Q40" t="n">
        <v>41</v>
      </c>
      <c r="T40">
        <f>IF(37&lt;=$S$13,$S$14+(37-1)*$S$16,"")</f>
        <v/>
      </c>
      <c r="U40">
        <f>IF(37&gt;$S$13,"",SUMIFS($Q$4:$Q$203,$P$4:$P$203,"&gt;="&amp;$T$40,$P$4:$P$203,IF(37=$S$13,"&lt;=","&lt;")&amp;($T$40+$S$16)))</f>
        <v/>
      </c>
      <c r="V40">
        <f>IF(AND(MOD(26,$S$17)=0,MOD((INT(26/$S$17)+1)-1,$S$13/5)=0),TEXT(INDEX($T$4:$T$53,(INT(26/$S$17)+1)),"#,##0"),"")</f>
        <v/>
      </c>
      <c r="W40">
        <f>IF(MOD(26,$S$17)=$S$17-1,0,INDEX($U$4:$U$53,(INT(26/$S$17)+1)))</f>
        <v/>
      </c>
      <c r="X40">
        <f>IFERROR(IF(AND($Z$22&gt;=$S$14,$Z$22&lt;=$S$15),10+0.5+100*($Z$22-$S$14)/($S$15-$S$14),NA()),NA())</f>
        <v/>
      </c>
      <c r="Y40">
        <f>IF(ISNA($X$40),NA(),0)</f>
        <v/>
      </c>
      <c r="AB40" t="n">
        <v>5400</v>
      </c>
      <c r="AC40" t="n">
        <v>5475</v>
      </c>
      <c r="AD40" t="n">
        <v>56</v>
      </c>
      <c r="AG40">
        <f>IF(37&lt;=$AF$13,$AF$14+(37-1)*$AF$16,"")</f>
        <v/>
      </c>
      <c r="AH40">
        <f>IF(37&gt;$AF$13,"",SUMIFS($AD$4:$AD$203,$AC$4:$AC$203,"&gt;="&amp;$AG$40,$AC$4:$AC$203,IF(37=$AF$13,"&lt;=","&lt;")&amp;($AG$40+$AF$16)))</f>
        <v/>
      </c>
      <c r="AI40">
        <f>IF(AND(MOD(26,$AF$17)=0,MOD((INT(26/$AF$17)+1)-1,$AF$13/5)=0),TEXT(INDEX($AG$4:$AG$53,(INT(26/$AF$17)+1)),"#,##0"),"")</f>
        <v/>
      </c>
      <c r="AJ40">
        <f>IF(MOD(26,$AF$17)=$AF$17-1,0,INDEX($AH$4:$AH$53,(INT(26/$AF$17)+1)))</f>
        <v/>
      </c>
      <c r="AK40">
        <f>IFERROR(IF(AND($AM$22&gt;=$AF$14,$AM$22&lt;=$AF$15),10+0.5+100*($AM$22-$AF$14)/($AF$15-$AF$14),NA()),NA())</f>
        <v/>
      </c>
      <c r="AL40">
        <f>IF(ISNA($AK$40),NA(),0)</f>
        <v/>
      </c>
    </row>
    <row r="41">
      <c r="B41" t="n">
        <v>605.5</v>
      </c>
      <c r="C41" t="n">
        <v>606.25</v>
      </c>
      <c r="D41" t="n">
        <v>17</v>
      </c>
      <c r="G41">
        <f>IF(38&lt;=$F$13,$F$14+(38-1)*$F$16,"")</f>
        <v/>
      </c>
      <c r="H41">
        <f>IF(38&gt;$F$13,"",SUMIFS($D$4:$D$203,$C$4:$C$203,"&gt;="&amp;$G$41,$C$4:$C$203,IF(38=$F$13,"&lt;=","&lt;")&amp;($G$41+$F$16)))</f>
        <v/>
      </c>
      <c r="I41">
        <f>IF(AND(MOD(27,$F$17)=0,MOD((INT(27/$F$17)+1)-1,$F$13/5)=0),TEXT(INDEX($G$4:$G$53,(INT(27/$F$17)+1)),"#,##0"),"")</f>
        <v/>
      </c>
      <c r="J41">
        <f>IF(MOD(27,$F$17)=$F$17-1,0,INDEX($H$4:$H$53,(INT(27/$F$17)+1)))</f>
        <v/>
      </c>
      <c r="K41">
        <f>IFERROR(IF(AND($M$22&gt;=$F$14,$M$22&lt;=$F$15),10+0.5+100*($M$22-$F$14)/($F$15-$F$14),NA()),NA())</f>
        <v/>
      </c>
      <c r="L41">
        <f>IF(ISNA($K$41),NA(),MAX($J$4:$J$123))</f>
        <v/>
      </c>
      <c r="O41" t="n">
        <v>11100</v>
      </c>
      <c r="P41" t="n">
        <v>11250</v>
      </c>
      <c r="Q41" t="n">
        <v>50</v>
      </c>
      <c r="T41">
        <f>IF(38&lt;=$S$13,$S$14+(38-1)*$S$16,"")</f>
        <v/>
      </c>
      <c r="U41">
        <f>IF(38&gt;$S$13,"",SUMIFS($Q$4:$Q$203,$P$4:$P$203,"&gt;="&amp;$T$41,$P$4:$P$203,IF(38=$S$13,"&lt;=","&lt;")&amp;($T$41+$S$16)))</f>
        <v/>
      </c>
      <c r="V41">
        <f>IF(AND(MOD(27,$S$17)=0,MOD((INT(27/$S$17)+1)-1,$S$13/5)=0),TEXT(INDEX($T$4:$T$53,(INT(27/$S$17)+1)),"#,##0"),"")</f>
        <v/>
      </c>
      <c r="W41">
        <f>IF(MOD(27,$S$17)=$S$17-1,0,INDEX($U$4:$U$53,(INT(27/$S$17)+1)))</f>
        <v/>
      </c>
      <c r="X41">
        <f>IFERROR(IF(AND($Z$22&gt;=$S$14,$Z$22&lt;=$S$15),10+0.5+100*($Z$22-$S$14)/($S$15-$S$14),NA()),NA())</f>
        <v/>
      </c>
      <c r="Y41">
        <f>IF(ISNA($X$41),NA(),MAX($W$4:$W$123))</f>
        <v/>
      </c>
      <c r="AB41" t="n">
        <v>5550</v>
      </c>
      <c r="AC41" t="n">
        <v>5625</v>
      </c>
      <c r="AD41" t="n">
        <v>57</v>
      </c>
      <c r="AG41">
        <f>IF(38&lt;=$AF$13,$AF$14+(38-1)*$AF$16,"")</f>
        <v/>
      </c>
      <c r="AH41">
        <f>IF(38&gt;$AF$13,"",SUMIFS($AD$4:$AD$203,$AC$4:$AC$203,"&gt;="&amp;$AG$41,$AC$4:$AC$203,IF(38=$AF$13,"&lt;=","&lt;")&amp;($AG$41+$AF$16)))</f>
        <v/>
      </c>
      <c r="AI41">
        <f>IF(AND(MOD(27,$AF$17)=0,MOD((INT(27/$AF$17)+1)-1,$AF$13/5)=0),TEXT(INDEX($AG$4:$AG$53,(INT(27/$AF$17)+1)),"#,##0"),"")</f>
        <v/>
      </c>
      <c r="AJ41">
        <f>IF(MOD(27,$AF$17)=$AF$17-1,0,INDEX($AH$4:$AH$53,(INT(27/$AF$17)+1)))</f>
        <v/>
      </c>
      <c r="AK41">
        <f>IFERROR(IF(AND($AM$22&gt;=$AF$14,$AM$22&lt;=$AF$15),10+0.5+100*($AM$22-$AF$14)/($AF$15-$AF$14),NA()),NA())</f>
        <v/>
      </c>
      <c r="AL41">
        <f>IF(ISNA($AK$41),NA(),MAX($AJ$4:$AJ$123))</f>
        <v/>
      </c>
    </row>
    <row r="42">
      <c r="B42" t="n">
        <v>607</v>
      </c>
      <c r="C42" t="n">
        <v>607.75</v>
      </c>
      <c r="D42" t="n">
        <v>34</v>
      </c>
      <c r="G42">
        <f>IF(39&lt;=$F$13,$F$14+(39-1)*$F$16,"")</f>
        <v/>
      </c>
      <c r="H42">
        <f>IF(39&gt;$F$13,"",SUMIFS($D$4:$D$203,$C$4:$C$203,"&gt;="&amp;$G$42,$C$4:$C$203,IF(39=$F$13,"&lt;=","&lt;")&amp;($G$42+$F$16)))</f>
        <v/>
      </c>
      <c r="I42">
        <f>IF(AND(MOD(28,$F$17)=0,MOD((INT(28/$F$17)+1)-1,$F$13/5)=0),TEXT(INDEX($G$4:$G$53,(INT(28/$F$17)+1)),"#,##0"),"")</f>
        <v/>
      </c>
      <c r="J42">
        <f>IF(MOD(28,$F$17)=$F$17-1,0,INDEX($H$4:$H$53,(INT(28/$F$17)+1)))</f>
        <v/>
      </c>
      <c r="K42">
        <f>IFERROR(IF(AND($M$23&gt;=$F$14,$M$23&lt;=$F$15),10+0.5+100*($M$23-$F$14)/($F$15-$F$14),NA()),NA())</f>
        <v/>
      </c>
      <c r="L42">
        <f>IF(ISNA($K$42),NA(),0)</f>
        <v/>
      </c>
      <c r="O42" t="n">
        <v>11400</v>
      </c>
      <c r="P42" t="n">
        <v>11550</v>
      </c>
      <c r="Q42" t="n">
        <v>49</v>
      </c>
      <c r="T42">
        <f>IF(39&lt;=$S$13,$S$14+(39-1)*$S$16,"")</f>
        <v/>
      </c>
      <c r="U42">
        <f>IF(39&gt;$S$13,"",SUMIFS($Q$4:$Q$203,$P$4:$P$203,"&gt;="&amp;$T$42,$P$4:$P$203,IF(39=$S$13,"&lt;=","&lt;")&amp;($T$42+$S$16)))</f>
        <v/>
      </c>
      <c r="V42">
        <f>IF(AND(MOD(28,$S$17)=0,MOD((INT(28/$S$17)+1)-1,$S$13/5)=0),TEXT(INDEX($T$4:$T$53,(INT(28/$S$17)+1)),"#,##0"),"")</f>
        <v/>
      </c>
      <c r="W42">
        <f>IF(MOD(28,$S$17)=$S$17-1,0,INDEX($U$4:$U$53,(INT(28/$S$17)+1)))</f>
        <v/>
      </c>
      <c r="X42">
        <f>IFERROR(IF(AND($Z$23&gt;=$S$14,$Z$23&lt;=$S$15),10+0.5+100*($Z$23-$S$14)/($S$15-$S$14),NA()),NA())</f>
        <v/>
      </c>
      <c r="Y42">
        <f>IF(ISNA($X$42),NA(),0)</f>
        <v/>
      </c>
      <c r="AB42" t="n">
        <v>5700</v>
      </c>
      <c r="AC42" t="n">
        <v>5775</v>
      </c>
      <c r="AD42" t="n">
        <v>58</v>
      </c>
      <c r="AG42">
        <f>IF(39&lt;=$AF$13,$AF$14+(39-1)*$AF$16,"")</f>
        <v/>
      </c>
      <c r="AH42">
        <f>IF(39&gt;$AF$13,"",SUMIFS($AD$4:$AD$203,$AC$4:$AC$203,"&gt;="&amp;$AG$42,$AC$4:$AC$203,IF(39=$AF$13,"&lt;=","&lt;")&amp;($AG$42+$AF$16)))</f>
        <v/>
      </c>
      <c r="AI42">
        <f>IF(AND(MOD(28,$AF$17)=0,MOD((INT(28/$AF$17)+1)-1,$AF$13/5)=0),TEXT(INDEX($AG$4:$AG$53,(INT(28/$AF$17)+1)),"#,##0"),"")</f>
        <v/>
      </c>
      <c r="AJ42">
        <f>IF(MOD(28,$AF$17)=$AF$17-1,0,INDEX($AH$4:$AH$53,(INT(28/$AF$17)+1)))</f>
        <v/>
      </c>
      <c r="AK42">
        <f>IFERROR(IF(AND($AM$23&gt;=$AF$14,$AM$23&lt;=$AF$15),10+0.5+100*($AM$23-$AF$14)/($AF$15-$AF$14),NA()),NA())</f>
        <v/>
      </c>
      <c r="AL42">
        <f>IF(ISNA($AK$42),NA(),0)</f>
        <v/>
      </c>
    </row>
    <row r="43">
      <c r="B43" t="n">
        <v>608.5</v>
      </c>
      <c r="C43" t="n">
        <v>609.25</v>
      </c>
      <c r="D43" t="n">
        <v>18</v>
      </c>
      <c r="G43">
        <f>IF(40&lt;=$F$13,$F$14+(40-1)*$F$16,"")</f>
        <v/>
      </c>
      <c r="H43">
        <f>IF(40&gt;$F$13,"",SUMIFS($D$4:$D$203,$C$4:$C$203,"&gt;="&amp;$G$43,$C$4:$C$203,IF(40=$F$13,"&lt;=","&lt;")&amp;($G$43+$F$16)))</f>
        <v/>
      </c>
      <c r="I43">
        <f>IF(AND(MOD(29,$F$17)=0,MOD((INT(29/$F$17)+1)-1,$F$13/5)=0),TEXT(INDEX($G$4:$G$53,(INT(29/$F$17)+1)),"#,##0"),"")</f>
        <v/>
      </c>
      <c r="J43">
        <f>IF(MOD(29,$F$17)=$F$17-1,0,INDEX($H$4:$H$53,(INT(29/$F$17)+1)))</f>
        <v/>
      </c>
      <c r="K43">
        <f>IFERROR(IF(AND($M$23&gt;=$F$14,$M$23&lt;=$F$15),10+0.5+100*($M$23-$F$14)/($F$15-$F$14),NA()),NA())</f>
        <v/>
      </c>
      <c r="L43">
        <f>IF(ISNA($K$43),NA(),MAX($J$4:$J$123))</f>
        <v/>
      </c>
      <c r="O43" t="n">
        <v>11700</v>
      </c>
      <c r="P43" t="n">
        <v>11850</v>
      </c>
      <c r="Q43" t="n">
        <v>52</v>
      </c>
      <c r="T43">
        <f>IF(40&lt;=$S$13,$S$14+(40-1)*$S$16,"")</f>
        <v/>
      </c>
      <c r="U43">
        <f>IF(40&gt;$S$13,"",SUMIFS($Q$4:$Q$203,$P$4:$P$203,"&gt;="&amp;$T$43,$P$4:$P$203,IF(40=$S$13,"&lt;=","&lt;")&amp;($T$43+$S$16)))</f>
        <v/>
      </c>
      <c r="V43">
        <f>IF(AND(MOD(29,$S$17)=0,MOD((INT(29/$S$17)+1)-1,$S$13/5)=0),TEXT(INDEX($T$4:$T$53,(INT(29/$S$17)+1)),"#,##0"),"")</f>
        <v/>
      </c>
      <c r="W43">
        <f>IF(MOD(29,$S$17)=$S$17-1,0,INDEX($U$4:$U$53,(INT(29/$S$17)+1)))</f>
        <v/>
      </c>
      <c r="X43">
        <f>IFERROR(IF(AND($Z$23&gt;=$S$14,$Z$23&lt;=$S$15),10+0.5+100*($Z$23-$S$14)/($S$15-$S$14),NA()),NA())</f>
        <v/>
      </c>
      <c r="Y43">
        <f>IF(ISNA($X$43),NA(),MAX($W$4:$W$123))</f>
        <v/>
      </c>
      <c r="AB43" t="n">
        <v>5850</v>
      </c>
      <c r="AC43" t="n">
        <v>5925</v>
      </c>
      <c r="AD43" t="n">
        <v>59</v>
      </c>
      <c r="AG43">
        <f>IF(40&lt;=$AF$13,$AF$14+(40-1)*$AF$16,"")</f>
        <v/>
      </c>
      <c r="AH43">
        <f>IF(40&gt;$AF$13,"",SUMIFS($AD$4:$AD$203,$AC$4:$AC$203,"&gt;="&amp;$AG$43,$AC$4:$AC$203,IF(40=$AF$13,"&lt;=","&lt;")&amp;($AG$43+$AF$16)))</f>
        <v/>
      </c>
      <c r="AI43">
        <f>IF(AND(MOD(29,$AF$17)=0,MOD((INT(29/$AF$17)+1)-1,$AF$13/5)=0),TEXT(INDEX($AG$4:$AG$53,(INT(29/$AF$17)+1)),"#,##0"),"")</f>
        <v/>
      </c>
      <c r="AJ43">
        <f>IF(MOD(29,$AF$17)=$AF$17-1,0,INDEX($AH$4:$AH$53,(INT(29/$AF$17)+1)))</f>
        <v/>
      </c>
      <c r="AK43">
        <f>IFERROR(IF(AND($AM$23&gt;=$AF$14,$AM$23&lt;=$AF$15),10+0.5+100*($AM$23-$AF$14)/($AF$15-$AF$14),NA()),NA())</f>
        <v/>
      </c>
      <c r="AL43">
        <f>IF(ISNA($AK$43),NA(),MAX($AJ$4:$AJ$123))</f>
        <v/>
      </c>
    </row>
    <row r="44">
      <c r="B44" t="n">
        <v>610</v>
      </c>
      <c r="C44" t="n">
        <v>610.75</v>
      </c>
      <c r="D44" t="n">
        <v>35</v>
      </c>
      <c r="G44">
        <f>IF(41&lt;=$F$13,$F$14+(41-1)*$F$16,"")</f>
        <v/>
      </c>
      <c r="H44">
        <f>IF(41&gt;$F$13,"",SUMIFS($D$4:$D$203,$C$4:$C$203,"&gt;="&amp;$G$44,$C$4:$C$203,IF(41=$F$13,"&lt;=","&lt;")&amp;($G$44+$F$16)))</f>
        <v/>
      </c>
      <c r="I44">
        <f>IF(AND(MOD(30,$F$17)=0,MOD((INT(30/$F$17)+1)-1,$F$13/5)=0),TEXT(INDEX($G$4:$G$53,(INT(30/$F$17)+1)),"#,##0"),"")</f>
        <v/>
      </c>
      <c r="J44">
        <f>IF(MOD(30,$F$17)=$F$17-1,0,INDEX($H$4:$H$53,(INT(30/$F$17)+1)))</f>
        <v/>
      </c>
      <c r="K44">
        <f>IFERROR(IF(AND($M$24&gt;=$F$14,$M$24&lt;=$F$15),10+0.5+100*($M$24-$F$14)/($F$15-$F$14),NA()),NA())</f>
        <v/>
      </c>
      <c r="L44">
        <f>IF(ISNA($K$44),NA(),0)</f>
        <v/>
      </c>
      <c r="O44" t="n">
        <v>12000</v>
      </c>
      <c r="P44" t="n">
        <v>12150</v>
      </c>
      <c r="Q44" t="n">
        <v>34</v>
      </c>
      <c r="T44">
        <f>IF(41&lt;=$S$13,$S$14+(41-1)*$S$16,"")</f>
        <v/>
      </c>
      <c r="U44">
        <f>IF(41&gt;$S$13,"",SUMIFS($Q$4:$Q$203,$P$4:$P$203,"&gt;="&amp;$T$44,$P$4:$P$203,IF(41=$S$13,"&lt;=","&lt;")&amp;($T$44+$S$16)))</f>
        <v/>
      </c>
      <c r="V44">
        <f>IF(AND(MOD(30,$S$17)=0,MOD((INT(30/$S$17)+1)-1,$S$13/5)=0),TEXT(INDEX($T$4:$T$53,(INT(30/$S$17)+1)),"#,##0"),"")</f>
        <v/>
      </c>
      <c r="W44">
        <f>IF(MOD(30,$S$17)=$S$17-1,0,INDEX($U$4:$U$53,(INT(30/$S$17)+1)))</f>
        <v/>
      </c>
      <c r="X44">
        <f>IFERROR(IF(AND($Z$24&gt;=$S$14,$Z$24&lt;=$S$15),10+0.5+100*($Z$24-$S$14)/($S$15-$S$14),NA()),NA())</f>
        <v/>
      </c>
      <c r="Y44">
        <f>IF(ISNA($X$44),NA(),0)</f>
        <v/>
      </c>
      <c r="AB44" t="n">
        <v>6000</v>
      </c>
      <c r="AC44" t="n">
        <v>6075</v>
      </c>
      <c r="AD44" t="n">
        <v>56</v>
      </c>
      <c r="AG44">
        <f>IF(41&lt;=$AF$13,$AF$14+(41-1)*$AF$16,"")</f>
        <v/>
      </c>
      <c r="AH44">
        <f>IF(41&gt;$AF$13,"",SUMIFS($AD$4:$AD$203,$AC$4:$AC$203,"&gt;="&amp;$AG$44,$AC$4:$AC$203,IF(41=$AF$13,"&lt;=","&lt;")&amp;($AG$44+$AF$16)))</f>
        <v/>
      </c>
      <c r="AI44">
        <f>IF(AND(MOD(30,$AF$17)=0,MOD((INT(30/$AF$17)+1)-1,$AF$13/5)=0),TEXT(INDEX($AG$4:$AG$53,(INT(30/$AF$17)+1)),"#,##0"),"")</f>
        <v/>
      </c>
      <c r="AJ44">
        <f>IF(MOD(30,$AF$17)=$AF$17-1,0,INDEX($AH$4:$AH$53,(INT(30/$AF$17)+1)))</f>
        <v/>
      </c>
      <c r="AK44">
        <f>IFERROR(IF(AND($AM$24&gt;=$AF$14,$AM$24&lt;=$AF$15),10+0.5+100*($AM$24-$AF$14)/($AF$15-$AF$14),NA()),NA())</f>
        <v/>
      </c>
      <c r="AL44">
        <f>IF(ISNA($AK$44),NA(),0)</f>
        <v/>
      </c>
    </row>
    <row r="45">
      <c r="B45" t="n">
        <v>611.5</v>
      </c>
      <c r="C45" t="n">
        <v>612.25</v>
      </c>
      <c r="D45" t="n">
        <v>15</v>
      </c>
      <c r="G45">
        <f>IF(42&lt;=$F$13,$F$14+(42-1)*$F$16,"")</f>
        <v/>
      </c>
      <c r="H45">
        <f>IF(42&gt;$F$13,"",SUMIFS($D$4:$D$203,$C$4:$C$203,"&gt;="&amp;$G$45,$C$4:$C$203,IF(42=$F$13,"&lt;=","&lt;")&amp;($G$45+$F$16)))</f>
        <v/>
      </c>
      <c r="I45">
        <f>IF(AND(MOD(31,$F$17)=0,MOD((INT(31/$F$17)+1)-1,$F$13/5)=0),TEXT(INDEX($G$4:$G$53,(INT(31/$F$17)+1)),"#,##0"),"")</f>
        <v/>
      </c>
      <c r="J45">
        <f>IF(MOD(31,$F$17)=$F$17-1,0,INDEX($H$4:$H$53,(INT(31/$F$17)+1)))</f>
        <v/>
      </c>
      <c r="K45">
        <f>IFERROR(IF(AND($M$24&gt;=$F$14,$M$24&lt;=$F$15),10+0.5+100*($M$24-$F$14)/($F$15-$F$14),NA()),NA())</f>
        <v/>
      </c>
      <c r="L45">
        <f>IF(ISNA($K$45),NA(),MAX($J$4:$J$123))</f>
        <v/>
      </c>
      <c r="O45" t="n">
        <v>12300</v>
      </c>
      <c r="P45" t="n">
        <v>12450</v>
      </c>
      <c r="Q45" t="n">
        <v>43</v>
      </c>
      <c r="T45">
        <f>IF(42&lt;=$S$13,$S$14+(42-1)*$S$16,"")</f>
        <v/>
      </c>
      <c r="U45">
        <f>IF(42&gt;$S$13,"",SUMIFS($Q$4:$Q$203,$P$4:$P$203,"&gt;="&amp;$T$45,$P$4:$P$203,IF(42=$S$13,"&lt;=","&lt;")&amp;($T$45+$S$16)))</f>
        <v/>
      </c>
      <c r="V45">
        <f>IF(AND(MOD(31,$S$17)=0,MOD((INT(31/$S$17)+1)-1,$S$13/5)=0),TEXT(INDEX($T$4:$T$53,(INT(31/$S$17)+1)),"#,##0"),"")</f>
        <v/>
      </c>
      <c r="W45">
        <f>IF(MOD(31,$S$17)=$S$17-1,0,INDEX($U$4:$U$53,(INT(31/$S$17)+1)))</f>
        <v/>
      </c>
      <c r="X45">
        <f>IFERROR(IF(AND($Z$24&gt;=$S$14,$Z$24&lt;=$S$15),10+0.5+100*($Z$24-$S$14)/($S$15-$S$14),NA()),NA())</f>
        <v/>
      </c>
      <c r="Y45">
        <f>IF(ISNA($X$45),NA(),MAX($W$4:$W$123))</f>
        <v/>
      </c>
      <c r="AB45" t="n">
        <v>6150</v>
      </c>
      <c r="AC45" t="n">
        <v>6225</v>
      </c>
      <c r="AD45" t="n">
        <v>63</v>
      </c>
      <c r="AG45">
        <f>IF(42&lt;=$AF$13,$AF$14+(42-1)*$AF$16,"")</f>
        <v/>
      </c>
      <c r="AH45">
        <f>IF(42&gt;$AF$13,"",SUMIFS($AD$4:$AD$203,$AC$4:$AC$203,"&gt;="&amp;$AG$45,$AC$4:$AC$203,IF(42=$AF$13,"&lt;=","&lt;")&amp;($AG$45+$AF$16)))</f>
        <v/>
      </c>
      <c r="AI45">
        <f>IF(AND(MOD(31,$AF$17)=0,MOD((INT(31/$AF$17)+1)-1,$AF$13/5)=0),TEXT(INDEX($AG$4:$AG$53,(INT(31/$AF$17)+1)),"#,##0"),"")</f>
        <v/>
      </c>
      <c r="AJ45">
        <f>IF(MOD(31,$AF$17)=$AF$17-1,0,INDEX($AH$4:$AH$53,(INT(31/$AF$17)+1)))</f>
        <v/>
      </c>
      <c r="AK45">
        <f>IFERROR(IF(AND($AM$24&gt;=$AF$14,$AM$24&lt;=$AF$15),10+0.5+100*($AM$24-$AF$14)/($AF$15-$AF$14),NA()),NA())</f>
        <v/>
      </c>
      <c r="AL45">
        <f>IF(ISNA($AK$45),NA(),MAX($AJ$4:$AJ$123))</f>
        <v/>
      </c>
    </row>
    <row r="46">
      <c r="B46" t="n">
        <v>613</v>
      </c>
      <c r="C46" t="n">
        <v>613.75</v>
      </c>
      <c r="D46" t="n">
        <v>36</v>
      </c>
      <c r="G46">
        <f>IF(43&lt;=$F$13,$F$14+(43-1)*$F$16,"")</f>
        <v/>
      </c>
      <c r="H46">
        <f>IF(43&gt;$F$13,"",SUMIFS($D$4:$D$203,$C$4:$C$203,"&gt;="&amp;$G$46,$C$4:$C$203,IF(43=$F$13,"&lt;=","&lt;")&amp;($G$46+$F$16)))</f>
        <v/>
      </c>
      <c r="I46">
        <f>IF(AND(MOD(32,$F$17)=0,MOD((INT(32/$F$17)+1)-1,$F$13/5)=0),TEXT(INDEX($G$4:$G$53,(INT(32/$F$17)+1)),"#,##0"),"")</f>
        <v/>
      </c>
      <c r="J46">
        <f>IF(MOD(32,$F$17)=$F$17-1,0,INDEX($H$4:$H$53,(INT(32/$F$17)+1)))</f>
        <v/>
      </c>
      <c r="K46">
        <f>IFERROR(IF(AND($M$25&gt;=$F$14,$M$25&lt;=$F$15),10+0.5+100*($M$25-$F$14)/($F$15-$F$14),NA()),NA())</f>
        <v/>
      </c>
      <c r="L46">
        <f>IF(ISNA($K$46),NA(),0)</f>
        <v/>
      </c>
      <c r="O46" t="n">
        <v>12600</v>
      </c>
      <c r="P46" t="n">
        <v>12750</v>
      </c>
      <c r="Q46" t="n">
        <v>44</v>
      </c>
      <c r="T46">
        <f>IF(43&lt;=$S$13,$S$14+(43-1)*$S$16,"")</f>
        <v/>
      </c>
      <c r="U46">
        <f>IF(43&gt;$S$13,"",SUMIFS($Q$4:$Q$203,$P$4:$P$203,"&gt;="&amp;$T$46,$P$4:$P$203,IF(43=$S$13,"&lt;=","&lt;")&amp;($T$46+$S$16)))</f>
        <v/>
      </c>
      <c r="V46">
        <f>IF(AND(MOD(32,$S$17)=0,MOD((INT(32/$S$17)+1)-1,$S$13/5)=0),TEXT(INDEX($T$4:$T$53,(INT(32/$S$17)+1)),"#,##0"),"")</f>
        <v/>
      </c>
      <c r="W46">
        <f>IF(MOD(32,$S$17)=$S$17-1,0,INDEX($U$4:$U$53,(INT(32/$S$17)+1)))</f>
        <v/>
      </c>
      <c r="X46">
        <f>IFERROR(IF(AND($Z$25&gt;=$S$14,$Z$25&lt;=$S$15),10+0.5+100*($Z$25-$S$14)/($S$15-$S$14),NA()),NA())</f>
        <v/>
      </c>
      <c r="Y46">
        <f>IF(ISNA($X$46),NA(),0)</f>
        <v/>
      </c>
      <c r="AB46" t="n">
        <v>6300</v>
      </c>
      <c r="AC46" t="n">
        <v>6375</v>
      </c>
      <c r="AD46" t="n">
        <v>71</v>
      </c>
      <c r="AG46">
        <f>IF(43&lt;=$AF$13,$AF$14+(43-1)*$AF$16,"")</f>
        <v/>
      </c>
      <c r="AH46">
        <f>IF(43&gt;$AF$13,"",SUMIFS($AD$4:$AD$203,$AC$4:$AC$203,"&gt;="&amp;$AG$46,$AC$4:$AC$203,IF(43=$AF$13,"&lt;=","&lt;")&amp;($AG$46+$AF$16)))</f>
        <v/>
      </c>
      <c r="AI46">
        <f>IF(AND(MOD(32,$AF$17)=0,MOD((INT(32/$AF$17)+1)-1,$AF$13/5)=0),TEXT(INDEX($AG$4:$AG$53,(INT(32/$AF$17)+1)),"#,##0"),"")</f>
        <v/>
      </c>
      <c r="AJ46">
        <f>IF(MOD(32,$AF$17)=$AF$17-1,0,INDEX($AH$4:$AH$53,(INT(32/$AF$17)+1)))</f>
        <v/>
      </c>
      <c r="AK46">
        <f>IFERROR(IF(AND($AM$25&gt;=$AF$14,$AM$25&lt;=$AF$15),10+0.5+100*($AM$25-$AF$14)/($AF$15-$AF$14),NA()),NA())</f>
        <v/>
      </c>
      <c r="AL46">
        <f>IF(ISNA($AK$46),NA(),0)</f>
        <v/>
      </c>
    </row>
    <row r="47">
      <c r="B47" t="n">
        <v>614.5</v>
      </c>
      <c r="C47" t="n">
        <v>615.25</v>
      </c>
      <c r="D47" t="n">
        <v>22</v>
      </c>
      <c r="G47">
        <f>IF(44&lt;=$F$13,$F$14+(44-1)*$F$16,"")</f>
        <v/>
      </c>
      <c r="H47">
        <f>IF(44&gt;$F$13,"",SUMIFS($D$4:$D$203,$C$4:$C$203,"&gt;="&amp;$G$47,$C$4:$C$203,IF(44=$F$13,"&lt;=","&lt;")&amp;($G$47+$F$16)))</f>
        <v/>
      </c>
      <c r="I47">
        <f>IF(AND(MOD(33,$F$17)=0,MOD((INT(33/$F$17)+1)-1,$F$13/5)=0),TEXT(INDEX($G$4:$G$53,(INT(33/$F$17)+1)),"#,##0"),"")</f>
        <v/>
      </c>
      <c r="J47">
        <f>IF(MOD(33,$F$17)=$F$17-1,0,INDEX($H$4:$H$53,(INT(33/$F$17)+1)))</f>
        <v/>
      </c>
      <c r="K47">
        <f>IFERROR(IF(AND($M$25&gt;=$F$14,$M$25&lt;=$F$15),10+0.5+100*($M$25-$F$14)/($F$15-$F$14),NA()),NA())</f>
        <v/>
      </c>
      <c r="L47">
        <f>IF(ISNA($K$47),NA(),MAX($J$4:$J$123))</f>
        <v/>
      </c>
      <c r="O47" t="n">
        <v>12900</v>
      </c>
      <c r="P47" t="n">
        <v>13050</v>
      </c>
      <c r="Q47" t="n">
        <v>43</v>
      </c>
      <c r="T47">
        <f>IF(44&lt;=$S$13,$S$14+(44-1)*$S$16,"")</f>
        <v/>
      </c>
      <c r="U47">
        <f>IF(44&gt;$S$13,"",SUMIFS($Q$4:$Q$203,$P$4:$P$203,"&gt;="&amp;$T$47,$P$4:$P$203,IF(44=$S$13,"&lt;=","&lt;")&amp;($T$47+$S$16)))</f>
        <v/>
      </c>
      <c r="V47">
        <f>IF(AND(MOD(33,$S$17)=0,MOD((INT(33/$S$17)+1)-1,$S$13/5)=0),TEXT(INDEX($T$4:$T$53,(INT(33/$S$17)+1)),"#,##0"),"")</f>
        <v/>
      </c>
      <c r="W47">
        <f>IF(MOD(33,$S$17)=$S$17-1,0,INDEX($U$4:$U$53,(INT(33/$S$17)+1)))</f>
        <v/>
      </c>
      <c r="X47">
        <f>IFERROR(IF(AND($Z$25&gt;=$S$14,$Z$25&lt;=$S$15),10+0.5+100*($Z$25-$S$14)/($S$15-$S$14),NA()),NA())</f>
        <v/>
      </c>
      <c r="Y47">
        <f>IF(ISNA($X$47),NA(),MAX($W$4:$W$123))</f>
        <v/>
      </c>
      <c r="AB47" t="n">
        <v>6450</v>
      </c>
      <c r="AC47" t="n">
        <v>6525</v>
      </c>
      <c r="AD47" t="n">
        <v>76</v>
      </c>
      <c r="AG47">
        <f>IF(44&lt;=$AF$13,$AF$14+(44-1)*$AF$16,"")</f>
        <v/>
      </c>
      <c r="AH47">
        <f>IF(44&gt;$AF$13,"",SUMIFS($AD$4:$AD$203,$AC$4:$AC$203,"&gt;="&amp;$AG$47,$AC$4:$AC$203,IF(44=$AF$13,"&lt;=","&lt;")&amp;($AG$47+$AF$16)))</f>
        <v/>
      </c>
      <c r="AI47">
        <f>IF(AND(MOD(33,$AF$17)=0,MOD((INT(33/$AF$17)+1)-1,$AF$13/5)=0),TEXT(INDEX($AG$4:$AG$53,(INT(33/$AF$17)+1)),"#,##0"),"")</f>
        <v/>
      </c>
      <c r="AJ47">
        <f>IF(MOD(33,$AF$17)=$AF$17-1,0,INDEX($AH$4:$AH$53,(INT(33/$AF$17)+1)))</f>
        <v/>
      </c>
      <c r="AK47">
        <f>IFERROR(IF(AND($AM$25&gt;=$AF$14,$AM$25&lt;=$AF$15),10+0.5+100*($AM$25-$AF$14)/($AF$15-$AF$14),NA()),NA())</f>
        <v/>
      </c>
      <c r="AL47">
        <f>IF(ISNA($AK$47),NA(),MAX($AJ$4:$AJ$123))</f>
        <v/>
      </c>
    </row>
    <row r="48">
      <c r="B48" t="n">
        <v>616</v>
      </c>
      <c r="C48" t="n">
        <v>616.75</v>
      </c>
      <c r="D48" t="n">
        <v>32</v>
      </c>
      <c r="G48">
        <f>IF(45&lt;=$F$13,$F$14+(45-1)*$F$16,"")</f>
        <v/>
      </c>
      <c r="H48">
        <f>IF(45&gt;$F$13,"",SUMIFS($D$4:$D$203,$C$4:$C$203,"&gt;="&amp;$G$48,$C$4:$C$203,IF(45=$F$13,"&lt;=","&lt;")&amp;($G$48+$F$16)))</f>
        <v/>
      </c>
      <c r="I48">
        <f>IF(AND(MOD(34,$F$17)=0,MOD((INT(34/$F$17)+1)-1,$F$13/5)=0),TEXT(INDEX($G$4:$G$53,(INT(34/$F$17)+1)),"#,##0"),"")</f>
        <v/>
      </c>
      <c r="J48">
        <f>IF(MOD(34,$F$17)=$F$17-1,0,INDEX($H$4:$H$53,(INT(34/$F$17)+1)))</f>
        <v/>
      </c>
      <c r="K48">
        <f>IFERROR(IF(AND($M$26&gt;=$F$14,$M$26&lt;=$F$15),10+0.5+100*($M$26-$F$14)/($F$15-$F$14),NA()),NA())</f>
        <v/>
      </c>
      <c r="L48">
        <f>IF(ISNA($K$48),NA(),0)</f>
        <v/>
      </c>
      <c r="O48" t="n">
        <v>13200</v>
      </c>
      <c r="P48" t="n">
        <v>13350</v>
      </c>
      <c r="Q48" t="n">
        <v>56</v>
      </c>
      <c r="T48">
        <f>IF(45&lt;=$S$13,$S$14+(45-1)*$S$16,"")</f>
        <v/>
      </c>
      <c r="U48">
        <f>IF(45&gt;$S$13,"",SUMIFS($Q$4:$Q$203,$P$4:$P$203,"&gt;="&amp;$T$48,$P$4:$P$203,IF(45=$S$13,"&lt;=","&lt;")&amp;($T$48+$S$16)))</f>
        <v/>
      </c>
      <c r="V48">
        <f>IF(AND(MOD(34,$S$17)=0,MOD((INT(34/$S$17)+1)-1,$S$13/5)=0),TEXT(INDEX($T$4:$T$53,(INT(34/$S$17)+1)),"#,##0"),"")</f>
        <v/>
      </c>
      <c r="W48">
        <f>IF(MOD(34,$S$17)=$S$17-1,0,INDEX($U$4:$U$53,(INT(34/$S$17)+1)))</f>
        <v/>
      </c>
      <c r="X48">
        <f>IFERROR(IF(AND($Z$26&gt;=$S$14,$Z$26&lt;=$S$15),10+0.5+100*($Z$26-$S$14)/($S$15-$S$14),NA()),NA())</f>
        <v/>
      </c>
      <c r="Y48">
        <f>IF(ISNA($X$48),NA(),0)</f>
        <v/>
      </c>
      <c r="AB48" t="n">
        <v>6600</v>
      </c>
      <c r="AC48" t="n">
        <v>6675</v>
      </c>
      <c r="AD48" t="n">
        <v>73</v>
      </c>
      <c r="AG48">
        <f>IF(45&lt;=$AF$13,$AF$14+(45-1)*$AF$16,"")</f>
        <v/>
      </c>
      <c r="AH48">
        <f>IF(45&gt;$AF$13,"",SUMIFS($AD$4:$AD$203,$AC$4:$AC$203,"&gt;="&amp;$AG$48,$AC$4:$AC$203,IF(45=$AF$13,"&lt;=","&lt;")&amp;($AG$48+$AF$16)))</f>
        <v/>
      </c>
      <c r="AI48">
        <f>IF(AND(MOD(34,$AF$17)=0,MOD((INT(34/$AF$17)+1)-1,$AF$13/5)=0),TEXT(INDEX($AG$4:$AG$53,(INT(34/$AF$17)+1)),"#,##0"),"")</f>
        <v/>
      </c>
      <c r="AJ48">
        <f>IF(MOD(34,$AF$17)=$AF$17-1,0,INDEX($AH$4:$AH$53,(INT(34/$AF$17)+1)))</f>
        <v/>
      </c>
      <c r="AK48">
        <f>IFERROR(IF(AND($AM$26&gt;=$AF$14,$AM$26&lt;=$AF$15),10+0.5+100*($AM$26-$AF$14)/($AF$15-$AF$14),NA()),NA())</f>
        <v/>
      </c>
      <c r="AL48">
        <f>IF(ISNA($AK$48),NA(),0)</f>
        <v/>
      </c>
    </row>
    <row r="49">
      <c r="B49" t="n">
        <v>617.5</v>
      </c>
      <c r="C49" t="n">
        <v>618.25</v>
      </c>
      <c r="D49" t="n">
        <v>21</v>
      </c>
      <c r="G49">
        <f>IF(46&lt;=$F$13,$F$14+(46-1)*$F$16,"")</f>
        <v/>
      </c>
      <c r="H49">
        <f>IF(46&gt;$F$13,"",SUMIFS($D$4:$D$203,$C$4:$C$203,"&gt;="&amp;$G$49,$C$4:$C$203,IF(46=$F$13,"&lt;=","&lt;")&amp;($G$49+$F$16)))</f>
        <v/>
      </c>
      <c r="I49">
        <f>IF(AND(MOD(35,$F$17)=0,MOD((INT(35/$F$17)+1)-1,$F$13/5)=0),TEXT(INDEX($G$4:$G$53,(INT(35/$F$17)+1)),"#,##0"),"")</f>
        <v/>
      </c>
      <c r="J49">
        <f>IF(MOD(35,$F$17)=$F$17-1,0,INDEX($H$4:$H$53,(INT(35/$F$17)+1)))</f>
        <v/>
      </c>
      <c r="K49">
        <f>IFERROR(IF(AND($M$26&gt;=$F$14,$M$26&lt;=$F$15),10+0.5+100*($M$26-$F$14)/($F$15-$F$14),NA()),NA())</f>
        <v/>
      </c>
      <c r="L49">
        <f>IF(ISNA($K$49),NA(),MAX($J$4:$J$123))</f>
        <v/>
      </c>
      <c r="O49" t="n">
        <v>13500</v>
      </c>
      <c r="P49" t="n">
        <v>13650</v>
      </c>
      <c r="Q49" t="n">
        <v>45</v>
      </c>
      <c r="T49">
        <f>IF(46&lt;=$S$13,$S$14+(46-1)*$S$16,"")</f>
        <v/>
      </c>
      <c r="U49">
        <f>IF(46&gt;$S$13,"",SUMIFS($Q$4:$Q$203,$P$4:$P$203,"&gt;="&amp;$T$49,$P$4:$P$203,IF(46=$S$13,"&lt;=","&lt;")&amp;($T$49+$S$16)))</f>
        <v/>
      </c>
      <c r="V49">
        <f>IF(AND(MOD(35,$S$17)=0,MOD((INT(35/$S$17)+1)-1,$S$13/5)=0),TEXT(INDEX($T$4:$T$53,(INT(35/$S$17)+1)),"#,##0"),"")</f>
        <v/>
      </c>
      <c r="W49">
        <f>IF(MOD(35,$S$17)=$S$17-1,0,INDEX($U$4:$U$53,(INT(35/$S$17)+1)))</f>
        <v/>
      </c>
      <c r="X49">
        <f>IFERROR(IF(AND($Z$26&gt;=$S$14,$Z$26&lt;=$S$15),10+0.5+100*($Z$26-$S$14)/($S$15-$S$14),NA()),NA())</f>
        <v/>
      </c>
      <c r="Y49">
        <f>IF(ISNA($X$49),NA(),MAX($W$4:$W$123))</f>
        <v/>
      </c>
      <c r="AB49" t="n">
        <v>6750</v>
      </c>
      <c r="AC49" t="n">
        <v>6825</v>
      </c>
      <c r="AD49" t="n">
        <v>58</v>
      </c>
      <c r="AG49">
        <f>IF(46&lt;=$AF$13,$AF$14+(46-1)*$AF$16,"")</f>
        <v/>
      </c>
      <c r="AH49">
        <f>IF(46&gt;$AF$13,"",SUMIFS($AD$4:$AD$203,$AC$4:$AC$203,"&gt;="&amp;$AG$49,$AC$4:$AC$203,IF(46=$AF$13,"&lt;=","&lt;")&amp;($AG$49+$AF$16)))</f>
        <v/>
      </c>
      <c r="AI49">
        <f>IF(AND(MOD(35,$AF$17)=0,MOD((INT(35/$AF$17)+1)-1,$AF$13/5)=0),TEXT(INDEX($AG$4:$AG$53,(INT(35/$AF$17)+1)),"#,##0"),"")</f>
        <v/>
      </c>
      <c r="AJ49">
        <f>IF(MOD(35,$AF$17)=$AF$17-1,0,INDEX($AH$4:$AH$53,(INT(35/$AF$17)+1)))</f>
        <v/>
      </c>
      <c r="AK49">
        <f>IFERROR(IF(AND($AM$26&gt;=$AF$14,$AM$26&lt;=$AF$15),10+0.5+100*($AM$26-$AF$14)/($AF$15-$AF$14),NA()),NA())</f>
        <v/>
      </c>
      <c r="AL49">
        <f>IF(ISNA($AK$49),NA(),MAX($AJ$4:$AJ$123))</f>
        <v/>
      </c>
    </row>
    <row r="50">
      <c r="B50" t="n">
        <v>619</v>
      </c>
      <c r="C50" t="n">
        <v>619.75</v>
      </c>
      <c r="D50" t="n">
        <v>30</v>
      </c>
      <c r="G50">
        <f>IF(47&lt;=$F$13,$F$14+(47-1)*$F$16,"")</f>
        <v/>
      </c>
      <c r="H50">
        <f>IF(47&gt;$F$13,"",SUMIFS($D$4:$D$203,$C$4:$C$203,"&gt;="&amp;$G$50,$C$4:$C$203,IF(47=$F$13,"&lt;=","&lt;")&amp;($G$50+$F$16)))</f>
        <v/>
      </c>
      <c r="I50">
        <f>IF(AND(MOD(36,$F$17)=0,MOD((INT(36/$F$17)+1)-1,$F$13/5)=0),TEXT(INDEX($G$4:$G$53,(INT(36/$F$17)+1)),"#,##0"),"")</f>
        <v/>
      </c>
      <c r="J50">
        <f>IF(MOD(36,$F$17)=$F$17-1,0,INDEX($H$4:$H$53,(INT(36/$F$17)+1)))</f>
        <v/>
      </c>
      <c r="K50">
        <f>IFERROR(IF(AND($M$27&gt;=$F$14,$M$27&lt;=$F$15),10+0.5+100*($M$27-$F$14)/($F$15-$F$14),NA()),NA())</f>
        <v/>
      </c>
      <c r="L50">
        <f>IF(ISNA($K$50),NA(),0)</f>
        <v/>
      </c>
      <c r="O50" t="n">
        <v>13800</v>
      </c>
      <c r="P50" t="n">
        <v>13950</v>
      </c>
      <c r="Q50" t="n">
        <v>45</v>
      </c>
      <c r="T50">
        <f>IF(47&lt;=$S$13,$S$14+(47-1)*$S$16,"")</f>
        <v/>
      </c>
      <c r="U50">
        <f>IF(47&gt;$S$13,"",SUMIFS($Q$4:$Q$203,$P$4:$P$203,"&gt;="&amp;$T$50,$P$4:$P$203,IF(47=$S$13,"&lt;=","&lt;")&amp;($T$50+$S$16)))</f>
        <v/>
      </c>
      <c r="V50">
        <f>IF(AND(MOD(36,$S$17)=0,MOD((INT(36/$S$17)+1)-1,$S$13/5)=0),TEXT(INDEX($T$4:$T$53,(INT(36/$S$17)+1)),"#,##0"),"")</f>
        <v/>
      </c>
      <c r="W50">
        <f>IF(MOD(36,$S$17)=$S$17-1,0,INDEX($U$4:$U$53,(INT(36/$S$17)+1)))</f>
        <v/>
      </c>
      <c r="X50">
        <f>IFERROR(IF(AND($Z$27&gt;=$S$14,$Z$27&lt;=$S$15),10+0.5+100*($Z$27-$S$14)/($S$15-$S$14),NA()),NA())</f>
        <v/>
      </c>
      <c r="Y50">
        <f>IF(ISNA($X$50),NA(),0)</f>
        <v/>
      </c>
      <c r="AB50" t="n">
        <v>6900</v>
      </c>
      <c r="AC50" t="n">
        <v>6975</v>
      </c>
      <c r="AD50" t="n">
        <v>78</v>
      </c>
      <c r="AG50">
        <f>IF(47&lt;=$AF$13,$AF$14+(47-1)*$AF$16,"")</f>
        <v/>
      </c>
      <c r="AH50">
        <f>IF(47&gt;$AF$13,"",SUMIFS($AD$4:$AD$203,$AC$4:$AC$203,"&gt;="&amp;$AG$50,$AC$4:$AC$203,IF(47=$AF$13,"&lt;=","&lt;")&amp;($AG$50+$AF$16)))</f>
        <v/>
      </c>
      <c r="AI50">
        <f>IF(AND(MOD(36,$AF$17)=0,MOD((INT(36/$AF$17)+1)-1,$AF$13/5)=0),TEXT(INDEX($AG$4:$AG$53,(INT(36/$AF$17)+1)),"#,##0"),"")</f>
        <v/>
      </c>
      <c r="AJ50">
        <f>IF(MOD(36,$AF$17)=$AF$17-1,0,INDEX($AH$4:$AH$53,(INT(36/$AF$17)+1)))</f>
        <v/>
      </c>
      <c r="AK50">
        <f>IFERROR(IF(AND($AM$27&gt;=$AF$14,$AM$27&lt;=$AF$15),10+0.5+100*($AM$27-$AF$14)/($AF$15-$AF$14),NA()),NA())</f>
        <v/>
      </c>
      <c r="AL50">
        <f>IF(ISNA($AK$50),NA(),0)</f>
        <v/>
      </c>
    </row>
    <row r="51">
      <c r="B51" t="n">
        <v>620.5</v>
      </c>
      <c r="C51" t="n">
        <v>621.25</v>
      </c>
      <c r="D51" t="n">
        <v>30</v>
      </c>
      <c r="G51">
        <f>IF(48&lt;=$F$13,$F$14+(48-1)*$F$16,"")</f>
        <v/>
      </c>
      <c r="H51">
        <f>IF(48&gt;$F$13,"",SUMIFS($D$4:$D$203,$C$4:$C$203,"&gt;="&amp;$G$51,$C$4:$C$203,IF(48=$F$13,"&lt;=","&lt;")&amp;($G$51+$F$16)))</f>
        <v/>
      </c>
      <c r="I51">
        <f>IF(AND(MOD(37,$F$17)=0,MOD((INT(37/$F$17)+1)-1,$F$13/5)=0),TEXT(INDEX($G$4:$G$53,(INT(37/$F$17)+1)),"#,##0"),"")</f>
        <v/>
      </c>
      <c r="J51">
        <f>IF(MOD(37,$F$17)=$F$17-1,0,INDEX($H$4:$H$53,(INT(37/$F$17)+1)))</f>
        <v/>
      </c>
      <c r="K51">
        <f>IFERROR(IF(AND($M$27&gt;=$F$14,$M$27&lt;=$F$15),10+0.5+100*($M$27-$F$14)/($F$15-$F$14),NA()),NA())</f>
        <v/>
      </c>
      <c r="L51">
        <f>IF(ISNA($K$51),NA(),MAX($J$4:$J$123))</f>
        <v/>
      </c>
      <c r="O51" t="n">
        <v>14100</v>
      </c>
      <c r="P51" t="n">
        <v>14250</v>
      </c>
      <c r="Q51" t="n">
        <v>44</v>
      </c>
      <c r="T51">
        <f>IF(48&lt;=$S$13,$S$14+(48-1)*$S$16,"")</f>
        <v/>
      </c>
      <c r="U51">
        <f>IF(48&gt;$S$13,"",SUMIFS($Q$4:$Q$203,$P$4:$P$203,"&gt;="&amp;$T$51,$P$4:$P$203,IF(48=$S$13,"&lt;=","&lt;")&amp;($T$51+$S$16)))</f>
        <v/>
      </c>
      <c r="V51">
        <f>IF(AND(MOD(37,$S$17)=0,MOD((INT(37/$S$17)+1)-1,$S$13/5)=0),TEXT(INDEX($T$4:$T$53,(INT(37/$S$17)+1)),"#,##0"),"")</f>
        <v/>
      </c>
      <c r="W51">
        <f>IF(MOD(37,$S$17)=$S$17-1,0,INDEX($U$4:$U$53,(INT(37/$S$17)+1)))</f>
        <v/>
      </c>
      <c r="X51">
        <f>IFERROR(IF(AND($Z$27&gt;=$S$14,$Z$27&lt;=$S$15),10+0.5+100*($Z$27-$S$14)/($S$15-$S$14),NA()),NA())</f>
        <v/>
      </c>
      <c r="Y51">
        <f>IF(ISNA($X$51),NA(),MAX($W$4:$W$123))</f>
        <v/>
      </c>
      <c r="AB51" t="n">
        <v>7050</v>
      </c>
      <c r="AC51" t="n">
        <v>7125</v>
      </c>
      <c r="AD51" t="n">
        <v>81</v>
      </c>
      <c r="AG51">
        <f>IF(48&lt;=$AF$13,$AF$14+(48-1)*$AF$16,"")</f>
        <v/>
      </c>
      <c r="AH51">
        <f>IF(48&gt;$AF$13,"",SUMIFS($AD$4:$AD$203,$AC$4:$AC$203,"&gt;="&amp;$AG$51,$AC$4:$AC$203,IF(48=$AF$13,"&lt;=","&lt;")&amp;($AG$51+$AF$16)))</f>
        <v/>
      </c>
      <c r="AI51">
        <f>IF(AND(MOD(37,$AF$17)=0,MOD((INT(37/$AF$17)+1)-1,$AF$13/5)=0),TEXT(INDEX($AG$4:$AG$53,(INT(37/$AF$17)+1)),"#,##0"),"")</f>
        <v/>
      </c>
      <c r="AJ51">
        <f>IF(MOD(37,$AF$17)=$AF$17-1,0,INDEX($AH$4:$AH$53,(INT(37/$AF$17)+1)))</f>
        <v/>
      </c>
      <c r="AK51">
        <f>IFERROR(IF(AND($AM$27&gt;=$AF$14,$AM$27&lt;=$AF$15),10+0.5+100*($AM$27-$AF$14)/($AF$15-$AF$14),NA()),NA())</f>
        <v/>
      </c>
      <c r="AL51">
        <f>IF(ISNA($AK$51),NA(),MAX($AJ$4:$AJ$123))</f>
        <v/>
      </c>
    </row>
    <row r="52">
      <c r="B52" t="n">
        <v>622</v>
      </c>
      <c r="C52" t="n">
        <v>622.75</v>
      </c>
      <c r="D52" t="n">
        <v>43</v>
      </c>
      <c r="G52">
        <f>IF(49&lt;=$F$13,$F$14+(49-1)*$F$16,"")</f>
        <v/>
      </c>
      <c r="H52">
        <f>IF(49&gt;$F$13,"",SUMIFS($D$4:$D$203,$C$4:$C$203,"&gt;="&amp;$G$52,$C$4:$C$203,IF(49=$F$13,"&lt;=","&lt;")&amp;($G$52+$F$16)))</f>
        <v/>
      </c>
      <c r="I52">
        <f>IF(AND(MOD(38,$F$17)=0,MOD((INT(38/$F$17)+1)-1,$F$13/5)=0),TEXT(INDEX($G$4:$G$53,(INT(38/$F$17)+1)),"#,##0"),"")</f>
        <v/>
      </c>
      <c r="J52">
        <f>IF(MOD(38,$F$17)=$F$17-1,0,INDEX($H$4:$H$53,(INT(38/$F$17)+1)))</f>
        <v/>
      </c>
      <c r="O52" t="n">
        <v>14400</v>
      </c>
      <c r="P52" t="n">
        <v>14550</v>
      </c>
      <c r="Q52" t="n">
        <v>45</v>
      </c>
      <c r="T52">
        <f>IF(49&lt;=$S$13,$S$14+(49-1)*$S$16,"")</f>
        <v/>
      </c>
      <c r="U52">
        <f>IF(49&gt;$S$13,"",SUMIFS($Q$4:$Q$203,$P$4:$P$203,"&gt;="&amp;$T$52,$P$4:$P$203,IF(49=$S$13,"&lt;=","&lt;")&amp;($T$52+$S$16)))</f>
        <v/>
      </c>
      <c r="V52">
        <f>IF(AND(MOD(38,$S$17)=0,MOD((INT(38/$S$17)+1)-1,$S$13/5)=0),TEXT(INDEX($T$4:$T$53,(INT(38/$S$17)+1)),"#,##0"),"")</f>
        <v/>
      </c>
      <c r="W52">
        <f>IF(MOD(38,$S$17)=$S$17-1,0,INDEX($U$4:$U$53,(INT(38/$S$17)+1)))</f>
        <v/>
      </c>
      <c r="AB52" t="n">
        <v>7200</v>
      </c>
      <c r="AC52" t="n">
        <v>7275</v>
      </c>
      <c r="AD52" t="n">
        <v>70</v>
      </c>
      <c r="AG52">
        <f>IF(49&lt;=$AF$13,$AF$14+(49-1)*$AF$16,"")</f>
        <v/>
      </c>
      <c r="AH52">
        <f>IF(49&gt;$AF$13,"",SUMIFS($AD$4:$AD$203,$AC$4:$AC$203,"&gt;="&amp;$AG$52,$AC$4:$AC$203,IF(49=$AF$13,"&lt;=","&lt;")&amp;($AG$52+$AF$16)))</f>
        <v/>
      </c>
      <c r="AI52">
        <f>IF(AND(MOD(38,$AF$17)=0,MOD((INT(38/$AF$17)+1)-1,$AF$13/5)=0),TEXT(INDEX($AG$4:$AG$53,(INT(38/$AF$17)+1)),"#,##0"),"")</f>
        <v/>
      </c>
      <c r="AJ52">
        <f>IF(MOD(38,$AF$17)=$AF$17-1,0,INDEX($AH$4:$AH$53,(INT(38/$AF$17)+1)))</f>
        <v/>
      </c>
    </row>
    <row r="53">
      <c r="B53" t="n">
        <v>623.5</v>
      </c>
      <c r="C53" t="n">
        <v>624.25</v>
      </c>
      <c r="D53" t="n">
        <v>16</v>
      </c>
      <c r="G53">
        <f>IF(50&lt;=$F$13,$F$14+(50-1)*$F$16,"")</f>
        <v/>
      </c>
      <c r="H53">
        <f>IF(50&gt;$F$13,"",SUMIFS($D$4:$D$203,$C$4:$C$203,"&gt;="&amp;$G$53,$C$4:$C$203,IF(50=$F$13,"&lt;=","&lt;")&amp;($G$53+$F$16)))</f>
        <v/>
      </c>
      <c r="I53">
        <f>IF(AND(MOD(39,$F$17)=0,MOD((INT(39/$F$17)+1)-1,$F$13/5)=0),TEXT(INDEX($G$4:$G$53,(INT(39/$F$17)+1)),"#,##0"),"")</f>
        <v/>
      </c>
      <c r="J53">
        <f>IF(MOD(39,$F$17)=$F$17-1,0,INDEX($H$4:$H$53,(INT(39/$F$17)+1)))</f>
        <v/>
      </c>
      <c r="O53" t="n">
        <v>14700</v>
      </c>
      <c r="P53" t="n">
        <v>14850</v>
      </c>
      <c r="Q53" t="n">
        <v>35</v>
      </c>
      <c r="T53">
        <f>IF(50&lt;=$S$13,$S$14+(50-1)*$S$16,"")</f>
        <v/>
      </c>
      <c r="U53">
        <f>IF(50&gt;$S$13,"",SUMIFS($Q$4:$Q$203,$P$4:$P$203,"&gt;="&amp;$T$53,$P$4:$P$203,IF(50=$S$13,"&lt;=","&lt;")&amp;($T$53+$S$16)))</f>
        <v/>
      </c>
      <c r="V53">
        <f>IF(AND(MOD(39,$S$17)=0,MOD((INT(39/$S$17)+1)-1,$S$13/5)=0),TEXT(INDEX($T$4:$T$53,(INT(39/$S$17)+1)),"#,##0"),"")</f>
        <v/>
      </c>
      <c r="W53">
        <f>IF(MOD(39,$S$17)=$S$17-1,0,INDEX($U$4:$U$53,(INT(39/$S$17)+1)))</f>
        <v/>
      </c>
      <c r="AB53" t="n">
        <v>7350</v>
      </c>
      <c r="AC53" t="n">
        <v>7425</v>
      </c>
      <c r="AD53" t="n">
        <v>74</v>
      </c>
      <c r="AG53">
        <f>IF(50&lt;=$AF$13,$AF$14+(50-1)*$AF$16,"")</f>
        <v/>
      </c>
      <c r="AH53">
        <f>IF(50&gt;$AF$13,"",SUMIFS($AD$4:$AD$203,$AC$4:$AC$203,"&gt;="&amp;$AG$53,$AC$4:$AC$203,IF(50=$AF$13,"&lt;=","&lt;")&amp;($AG$53+$AF$16)))</f>
        <v/>
      </c>
      <c r="AI53">
        <f>IF(AND(MOD(39,$AF$17)=0,MOD((INT(39/$AF$17)+1)-1,$AF$13/5)=0),TEXT(INDEX($AG$4:$AG$53,(INT(39/$AF$17)+1)),"#,##0"),"")</f>
        <v/>
      </c>
      <c r="AJ53">
        <f>IF(MOD(39,$AF$17)=$AF$17-1,0,INDEX($AH$4:$AH$53,(INT(39/$AF$17)+1)))</f>
        <v/>
      </c>
    </row>
    <row r="54">
      <c r="B54" t="n">
        <v>625</v>
      </c>
      <c r="C54" t="n">
        <v>625.75</v>
      </c>
      <c r="D54" t="n">
        <v>46</v>
      </c>
      <c r="I54">
        <f>IF(AND(MOD(40,$F$17)=0,MOD((INT(40/$F$17)+1)-1,$F$13/5)=0),TEXT(INDEX($G$4:$G$53,(INT(40/$F$17)+1)),"#,##0"),"")</f>
        <v/>
      </c>
      <c r="J54">
        <f>IF(MOD(40,$F$17)=$F$17-1,0,INDEX($H$4:$H$53,(INT(40/$F$17)+1)))</f>
        <v/>
      </c>
      <c r="O54" t="n">
        <v>15000</v>
      </c>
      <c r="P54" t="n">
        <v>15150</v>
      </c>
      <c r="Q54" t="n">
        <v>42</v>
      </c>
      <c r="V54">
        <f>IF(AND(MOD(40,$S$17)=0,MOD((INT(40/$S$17)+1)-1,$S$13/5)=0),TEXT(INDEX($T$4:$T$53,(INT(40/$S$17)+1)),"#,##0"),"")</f>
        <v/>
      </c>
      <c r="W54">
        <f>IF(MOD(40,$S$17)=$S$17-1,0,INDEX($U$4:$U$53,(INT(40/$S$17)+1)))</f>
        <v/>
      </c>
      <c r="AB54" t="n">
        <v>7500</v>
      </c>
      <c r="AC54" t="n">
        <v>7575</v>
      </c>
      <c r="AD54" t="n">
        <v>70</v>
      </c>
      <c r="AI54">
        <f>IF(AND(MOD(40,$AF$17)=0,MOD((INT(40/$AF$17)+1)-1,$AF$13/5)=0),TEXT(INDEX($AG$4:$AG$53,(INT(40/$AF$17)+1)),"#,##0"),"")</f>
        <v/>
      </c>
      <c r="AJ54">
        <f>IF(MOD(40,$AF$17)=$AF$17-1,0,INDEX($AH$4:$AH$53,(INT(40/$AF$17)+1)))</f>
        <v/>
      </c>
    </row>
    <row r="55">
      <c r="B55" t="n">
        <v>626.5</v>
      </c>
      <c r="C55" t="n">
        <v>627.25</v>
      </c>
      <c r="D55" t="n">
        <v>24</v>
      </c>
      <c r="I55">
        <f>IF(AND(MOD(41,$F$17)=0,MOD((INT(41/$F$17)+1)-1,$F$13/5)=0),TEXT(INDEX($G$4:$G$53,(INT(41/$F$17)+1)),"#,##0"),"")</f>
        <v/>
      </c>
      <c r="J55">
        <f>IF(MOD(41,$F$17)=$F$17-1,0,INDEX($H$4:$H$53,(INT(41/$F$17)+1)))</f>
        <v/>
      </c>
      <c r="O55" t="n">
        <v>15300</v>
      </c>
      <c r="P55" t="n">
        <v>15450</v>
      </c>
      <c r="Q55" t="n">
        <v>39</v>
      </c>
      <c r="V55">
        <f>IF(AND(MOD(41,$S$17)=0,MOD((INT(41/$S$17)+1)-1,$S$13/5)=0),TEXT(INDEX($T$4:$T$53,(INT(41/$S$17)+1)),"#,##0"),"")</f>
        <v/>
      </c>
      <c r="W55">
        <f>IF(MOD(41,$S$17)=$S$17-1,0,INDEX($U$4:$U$53,(INT(41/$S$17)+1)))</f>
        <v/>
      </c>
      <c r="AB55" t="n">
        <v>7650</v>
      </c>
      <c r="AC55" t="n">
        <v>7725</v>
      </c>
      <c r="AD55" t="n">
        <v>60</v>
      </c>
      <c r="AI55">
        <f>IF(AND(MOD(41,$AF$17)=0,MOD((INT(41/$AF$17)+1)-1,$AF$13/5)=0),TEXT(INDEX($AG$4:$AG$53,(INT(41/$AF$17)+1)),"#,##0"),"")</f>
        <v/>
      </c>
      <c r="AJ55">
        <f>IF(MOD(41,$AF$17)=$AF$17-1,0,INDEX($AH$4:$AH$53,(INT(41/$AF$17)+1)))</f>
        <v/>
      </c>
    </row>
    <row r="56">
      <c r="B56" t="n">
        <v>628</v>
      </c>
      <c r="C56" t="n">
        <v>628.75</v>
      </c>
      <c r="D56" t="n">
        <v>56</v>
      </c>
      <c r="I56">
        <f>IF(AND(MOD(42,$F$17)=0,MOD((INT(42/$F$17)+1)-1,$F$13/5)=0),TEXT(INDEX($G$4:$G$53,(INT(42/$F$17)+1)),"#,##0"),"")</f>
        <v/>
      </c>
      <c r="J56">
        <f>IF(MOD(42,$F$17)=$F$17-1,0,INDEX($H$4:$H$53,(INT(42/$F$17)+1)))</f>
        <v/>
      </c>
      <c r="O56" t="n">
        <v>15600</v>
      </c>
      <c r="P56" t="n">
        <v>15750</v>
      </c>
      <c r="Q56" t="n">
        <v>42</v>
      </c>
      <c r="V56">
        <f>IF(AND(MOD(42,$S$17)=0,MOD((INT(42/$S$17)+1)-1,$S$13/5)=0),TEXT(INDEX($T$4:$T$53,(INT(42/$S$17)+1)),"#,##0"),"")</f>
        <v/>
      </c>
      <c r="W56">
        <f>IF(MOD(42,$S$17)=$S$17-1,0,INDEX($U$4:$U$53,(INT(42/$S$17)+1)))</f>
        <v/>
      </c>
      <c r="AB56" t="n">
        <v>7800</v>
      </c>
      <c r="AC56" t="n">
        <v>7875</v>
      </c>
      <c r="AD56" t="n">
        <v>69</v>
      </c>
      <c r="AI56">
        <f>IF(AND(MOD(42,$AF$17)=0,MOD((INT(42/$AF$17)+1)-1,$AF$13/5)=0),TEXT(INDEX($AG$4:$AG$53,(INT(42/$AF$17)+1)),"#,##0"),"")</f>
        <v/>
      </c>
      <c r="AJ56">
        <f>IF(MOD(42,$AF$17)=$AF$17-1,0,INDEX($AH$4:$AH$53,(INT(42/$AF$17)+1)))</f>
        <v/>
      </c>
    </row>
    <row r="57">
      <c r="B57" t="n">
        <v>629.5</v>
      </c>
      <c r="C57" t="n">
        <v>630.25</v>
      </c>
      <c r="D57" t="n">
        <v>28</v>
      </c>
      <c r="I57">
        <f>IF(AND(MOD(43,$F$17)=0,MOD((INT(43/$F$17)+1)-1,$F$13/5)=0),TEXT(INDEX($G$4:$G$53,(INT(43/$F$17)+1)),"#,##0"),"")</f>
        <v/>
      </c>
      <c r="J57">
        <f>IF(MOD(43,$F$17)=$F$17-1,0,INDEX($H$4:$H$53,(INT(43/$F$17)+1)))</f>
        <v/>
      </c>
      <c r="O57" t="n">
        <v>15900</v>
      </c>
      <c r="P57" t="n">
        <v>16050</v>
      </c>
      <c r="Q57" t="n">
        <v>44</v>
      </c>
      <c r="V57">
        <f>IF(AND(MOD(43,$S$17)=0,MOD((INT(43/$S$17)+1)-1,$S$13/5)=0),TEXT(INDEX($T$4:$T$53,(INT(43/$S$17)+1)),"#,##0"),"")</f>
        <v/>
      </c>
      <c r="W57">
        <f>IF(MOD(43,$S$17)=$S$17-1,0,INDEX($U$4:$U$53,(INT(43/$S$17)+1)))</f>
        <v/>
      </c>
      <c r="AB57" t="n">
        <v>7950</v>
      </c>
      <c r="AC57" t="n">
        <v>8025</v>
      </c>
      <c r="AD57" t="n">
        <v>61</v>
      </c>
      <c r="AI57">
        <f>IF(AND(MOD(43,$AF$17)=0,MOD((INT(43/$AF$17)+1)-1,$AF$13/5)=0),TEXT(INDEX($AG$4:$AG$53,(INT(43/$AF$17)+1)),"#,##0"),"")</f>
        <v/>
      </c>
      <c r="AJ57">
        <f>IF(MOD(43,$AF$17)=$AF$17-1,0,INDEX($AH$4:$AH$53,(INT(43/$AF$17)+1)))</f>
        <v/>
      </c>
    </row>
    <row r="58">
      <c r="B58" t="n">
        <v>631</v>
      </c>
      <c r="C58" t="n">
        <v>631.75</v>
      </c>
      <c r="D58" t="n">
        <v>58</v>
      </c>
      <c r="I58">
        <f>IF(AND(MOD(44,$F$17)=0,MOD((INT(44/$F$17)+1)-1,$F$13/5)=0),TEXT(INDEX($G$4:$G$53,(INT(44/$F$17)+1)),"#,##0"),"")</f>
        <v/>
      </c>
      <c r="J58">
        <f>IF(MOD(44,$F$17)=$F$17-1,0,INDEX($H$4:$H$53,(INT(44/$F$17)+1)))</f>
        <v/>
      </c>
      <c r="O58" t="n">
        <v>16200</v>
      </c>
      <c r="P58" t="n">
        <v>16350</v>
      </c>
      <c r="Q58" t="n">
        <v>44</v>
      </c>
      <c r="V58">
        <f>IF(AND(MOD(44,$S$17)=0,MOD((INT(44/$S$17)+1)-1,$S$13/5)=0),TEXT(INDEX($T$4:$T$53,(INT(44/$S$17)+1)),"#,##0"),"")</f>
        <v/>
      </c>
      <c r="W58">
        <f>IF(MOD(44,$S$17)=$S$17-1,0,INDEX($U$4:$U$53,(INT(44/$S$17)+1)))</f>
        <v/>
      </c>
      <c r="AB58" t="n">
        <v>8100</v>
      </c>
      <c r="AC58" t="n">
        <v>8175</v>
      </c>
      <c r="AD58" t="n">
        <v>64</v>
      </c>
      <c r="AI58">
        <f>IF(AND(MOD(44,$AF$17)=0,MOD((INT(44/$AF$17)+1)-1,$AF$13/5)=0),TEXT(INDEX($AG$4:$AG$53,(INT(44/$AF$17)+1)),"#,##0"),"")</f>
        <v/>
      </c>
      <c r="AJ58">
        <f>IF(MOD(44,$AF$17)=$AF$17-1,0,INDEX($AH$4:$AH$53,(INT(44/$AF$17)+1)))</f>
        <v/>
      </c>
    </row>
    <row r="59">
      <c r="B59" t="n">
        <v>632.5</v>
      </c>
      <c r="C59" t="n">
        <v>633.25</v>
      </c>
      <c r="D59" t="n">
        <v>27</v>
      </c>
      <c r="I59">
        <f>IF(AND(MOD(45,$F$17)=0,MOD((INT(45/$F$17)+1)-1,$F$13/5)=0),TEXT(INDEX($G$4:$G$53,(INT(45/$F$17)+1)),"#,##0"),"")</f>
        <v/>
      </c>
      <c r="J59">
        <f>IF(MOD(45,$F$17)=$F$17-1,0,INDEX($H$4:$H$53,(INT(45/$F$17)+1)))</f>
        <v/>
      </c>
      <c r="O59" t="n">
        <v>16500</v>
      </c>
      <c r="P59" t="n">
        <v>16650</v>
      </c>
      <c r="Q59" t="n">
        <v>50</v>
      </c>
      <c r="V59">
        <f>IF(AND(MOD(45,$S$17)=0,MOD((INT(45/$S$17)+1)-1,$S$13/5)=0),TEXT(INDEX($T$4:$T$53,(INT(45/$S$17)+1)),"#,##0"),"")</f>
        <v/>
      </c>
      <c r="W59">
        <f>IF(MOD(45,$S$17)=$S$17-1,0,INDEX($U$4:$U$53,(INT(45/$S$17)+1)))</f>
        <v/>
      </c>
      <c r="AB59" t="n">
        <v>8250</v>
      </c>
      <c r="AC59" t="n">
        <v>8325</v>
      </c>
      <c r="AD59" t="n">
        <v>76</v>
      </c>
      <c r="AI59">
        <f>IF(AND(MOD(45,$AF$17)=0,MOD((INT(45/$AF$17)+1)-1,$AF$13/5)=0),TEXT(INDEX($AG$4:$AG$53,(INT(45/$AF$17)+1)),"#,##0"),"")</f>
        <v/>
      </c>
      <c r="AJ59">
        <f>IF(MOD(45,$AF$17)=$AF$17-1,0,INDEX($AH$4:$AH$53,(INT(45/$AF$17)+1)))</f>
        <v/>
      </c>
    </row>
    <row r="60">
      <c r="B60" t="n">
        <v>634</v>
      </c>
      <c r="C60" t="n">
        <v>634.75</v>
      </c>
      <c r="D60" t="n">
        <v>52</v>
      </c>
      <c r="I60">
        <f>IF(AND(MOD(46,$F$17)=0,MOD((INT(46/$F$17)+1)-1,$F$13/5)=0),TEXT(INDEX($G$4:$G$53,(INT(46/$F$17)+1)),"#,##0"),"")</f>
        <v/>
      </c>
      <c r="J60">
        <f>IF(MOD(46,$F$17)=$F$17-1,0,INDEX($H$4:$H$53,(INT(46/$F$17)+1)))</f>
        <v/>
      </c>
      <c r="O60" t="n">
        <v>16800</v>
      </c>
      <c r="P60" t="n">
        <v>16950</v>
      </c>
      <c r="Q60" t="n">
        <v>47</v>
      </c>
      <c r="V60">
        <f>IF(AND(MOD(46,$S$17)=0,MOD((INT(46/$S$17)+1)-1,$S$13/5)=0),TEXT(INDEX($T$4:$T$53,(INT(46/$S$17)+1)),"#,##0"),"")</f>
        <v/>
      </c>
      <c r="W60">
        <f>IF(MOD(46,$S$17)=$S$17-1,0,INDEX($U$4:$U$53,(INT(46/$S$17)+1)))</f>
        <v/>
      </c>
      <c r="AB60" t="n">
        <v>8400</v>
      </c>
      <c r="AC60" t="n">
        <v>8475</v>
      </c>
      <c r="AD60" t="n">
        <v>68</v>
      </c>
      <c r="AI60">
        <f>IF(AND(MOD(46,$AF$17)=0,MOD((INT(46/$AF$17)+1)-1,$AF$13/5)=0),TEXT(INDEX($AG$4:$AG$53,(INT(46/$AF$17)+1)),"#,##0"),"")</f>
        <v/>
      </c>
      <c r="AJ60">
        <f>IF(MOD(46,$AF$17)=$AF$17-1,0,INDEX($AH$4:$AH$53,(INT(46/$AF$17)+1)))</f>
        <v/>
      </c>
    </row>
    <row r="61">
      <c r="B61" t="n">
        <v>635.5</v>
      </c>
      <c r="C61" t="n">
        <v>636.25</v>
      </c>
      <c r="D61" t="n">
        <v>29</v>
      </c>
      <c r="I61">
        <f>IF(AND(MOD(47,$F$17)=0,MOD((INT(47/$F$17)+1)-1,$F$13/5)=0),TEXT(INDEX($G$4:$G$53,(INT(47/$F$17)+1)),"#,##0"),"")</f>
        <v/>
      </c>
      <c r="J61">
        <f>IF(MOD(47,$F$17)=$F$17-1,0,INDEX($H$4:$H$53,(INT(47/$F$17)+1)))</f>
        <v/>
      </c>
      <c r="O61" t="n">
        <v>17100</v>
      </c>
      <c r="P61" t="n">
        <v>17250</v>
      </c>
      <c r="Q61" t="n">
        <v>47</v>
      </c>
      <c r="V61">
        <f>IF(AND(MOD(47,$S$17)=0,MOD((INT(47/$S$17)+1)-1,$S$13/5)=0),TEXT(INDEX($T$4:$T$53,(INT(47/$S$17)+1)),"#,##0"),"")</f>
        <v/>
      </c>
      <c r="W61">
        <f>IF(MOD(47,$S$17)=$S$17-1,0,INDEX($U$4:$U$53,(INT(47/$S$17)+1)))</f>
        <v/>
      </c>
      <c r="AB61" t="n">
        <v>8550</v>
      </c>
      <c r="AC61" t="n">
        <v>8625</v>
      </c>
      <c r="AD61" t="n">
        <v>81</v>
      </c>
      <c r="AI61">
        <f>IF(AND(MOD(47,$AF$17)=0,MOD((INT(47/$AF$17)+1)-1,$AF$13/5)=0),TEXT(INDEX($AG$4:$AG$53,(INT(47/$AF$17)+1)),"#,##0"),"")</f>
        <v/>
      </c>
      <c r="AJ61">
        <f>IF(MOD(47,$AF$17)=$AF$17-1,0,INDEX($AH$4:$AH$53,(INT(47/$AF$17)+1)))</f>
        <v/>
      </c>
    </row>
    <row r="62">
      <c r="B62" t="n">
        <v>637</v>
      </c>
      <c r="C62" t="n">
        <v>637.75</v>
      </c>
      <c r="D62" t="n">
        <v>65</v>
      </c>
      <c r="I62">
        <f>IF(AND(MOD(48,$F$17)=0,MOD((INT(48/$F$17)+1)-1,$F$13/5)=0),TEXT(INDEX($G$4:$G$53,(INT(48/$F$17)+1)),"#,##0"),"")</f>
        <v/>
      </c>
      <c r="J62">
        <f>IF(MOD(48,$F$17)=$F$17-1,0,INDEX($H$4:$H$53,(INT(48/$F$17)+1)))</f>
        <v/>
      </c>
      <c r="O62" t="n">
        <v>17400</v>
      </c>
      <c r="P62" t="n">
        <v>17550</v>
      </c>
      <c r="Q62" t="n">
        <v>37</v>
      </c>
      <c r="V62">
        <f>IF(AND(MOD(48,$S$17)=0,MOD((INT(48/$S$17)+1)-1,$S$13/5)=0),TEXT(INDEX($T$4:$T$53,(INT(48/$S$17)+1)),"#,##0"),"")</f>
        <v/>
      </c>
      <c r="W62">
        <f>IF(MOD(48,$S$17)=$S$17-1,0,INDEX($U$4:$U$53,(INT(48/$S$17)+1)))</f>
        <v/>
      </c>
      <c r="AB62" t="n">
        <v>8700</v>
      </c>
      <c r="AC62" t="n">
        <v>8775</v>
      </c>
      <c r="AD62" t="n">
        <v>74</v>
      </c>
      <c r="AI62">
        <f>IF(AND(MOD(48,$AF$17)=0,MOD((INT(48/$AF$17)+1)-1,$AF$13/5)=0),TEXT(INDEX($AG$4:$AG$53,(INT(48/$AF$17)+1)),"#,##0"),"")</f>
        <v/>
      </c>
      <c r="AJ62">
        <f>IF(MOD(48,$AF$17)=$AF$17-1,0,INDEX($AH$4:$AH$53,(INT(48/$AF$17)+1)))</f>
        <v/>
      </c>
    </row>
    <row r="63">
      <c r="B63" t="n">
        <v>638.5</v>
      </c>
      <c r="C63" t="n">
        <v>639.25</v>
      </c>
      <c r="D63" t="n">
        <v>20</v>
      </c>
      <c r="I63">
        <f>IF(AND(MOD(49,$F$17)=0,MOD((INT(49/$F$17)+1)-1,$F$13/5)=0),TEXT(INDEX($G$4:$G$53,(INT(49/$F$17)+1)),"#,##0"),"")</f>
        <v/>
      </c>
      <c r="J63">
        <f>IF(MOD(49,$F$17)=$F$17-1,0,INDEX($H$4:$H$53,(INT(49/$F$17)+1)))</f>
        <v/>
      </c>
      <c r="O63" t="n">
        <v>17700</v>
      </c>
      <c r="P63" t="n">
        <v>17850</v>
      </c>
      <c r="Q63" t="n">
        <v>42</v>
      </c>
      <c r="V63">
        <f>IF(AND(MOD(49,$S$17)=0,MOD((INT(49/$S$17)+1)-1,$S$13/5)=0),TEXT(INDEX($T$4:$T$53,(INT(49/$S$17)+1)),"#,##0"),"")</f>
        <v/>
      </c>
      <c r="W63">
        <f>IF(MOD(49,$S$17)=$S$17-1,0,INDEX($U$4:$U$53,(INT(49/$S$17)+1)))</f>
        <v/>
      </c>
      <c r="AB63" t="n">
        <v>8850</v>
      </c>
      <c r="AC63" t="n">
        <v>8925</v>
      </c>
      <c r="AD63" t="n">
        <v>88</v>
      </c>
      <c r="AI63">
        <f>IF(AND(MOD(49,$AF$17)=0,MOD((INT(49/$AF$17)+1)-1,$AF$13/5)=0),TEXT(INDEX($AG$4:$AG$53,(INT(49/$AF$17)+1)),"#,##0"),"")</f>
        <v/>
      </c>
      <c r="AJ63">
        <f>IF(MOD(49,$AF$17)=$AF$17-1,0,INDEX($AH$4:$AH$53,(INT(49/$AF$17)+1)))</f>
        <v/>
      </c>
    </row>
    <row r="64">
      <c r="B64" t="n">
        <v>640</v>
      </c>
      <c r="C64" t="n">
        <v>640.75</v>
      </c>
      <c r="D64" t="n">
        <v>67</v>
      </c>
      <c r="I64">
        <f>IF(AND(MOD(50,$F$17)=0,MOD((INT(50/$F$17)+1)-1,$F$13/5)=0),TEXT(INDEX($G$4:$G$53,(INT(50/$F$17)+1)),"#,##0"),"")</f>
        <v/>
      </c>
      <c r="J64">
        <f>IF(MOD(50,$F$17)=$F$17-1,0,INDEX($H$4:$H$53,(INT(50/$F$17)+1)))</f>
        <v/>
      </c>
      <c r="O64" t="n">
        <v>18000</v>
      </c>
      <c r="P64" t="n">
        <v>18150</v>
      </c>
      <c r="Q64" t="n">
        <v>45</v>
      </c>
      <c r="V64">
        <f>IF(AND(MOD(50,$S$17)=0,MOD((INT(50/$S$17)+1)-1,$S$13/5)=0),TEXT(INDEX($T$4:$T$53,(INT(50/$S$17)+1)),"#,##0"),"")</f>
        <v/>
      </c>
      <c r="W64">
        <f>IF(MOD(50,$S$17)=$S$17-1,0,INDEX($U$4:$U$53,(INT(50/$S$17)+1)))</f>
        <v/>
      </c>
      <c r="AB64" t="n">
        <v>9000</v>
      </c>
      <c r="AC64" t="n">
        <v>9075</v>
      </c>
      <c r="AD64" t="n">
        <v>80</v>
      </c>
      <c r="AI64">
        <f>IF(AND(MOD(50,$AF$17)=0,MOD((INT(50/$AF$17)+1)-1,$AF$13/5)=0),TEXT(INDEX($AG$4:$AG$53,(INT(50/$AF$17)+1)),"#,##0"),"")</f>
        <v/>
      </c>
      <c r="AJ64">
        <f>IF(MOD(50,$AF$17)=$AF$17-1,0,INDEX($AH$4:$AH$53,(INT(50/$AF$17)+1)))</f>
        <v/>
      </c>
    </row>
    <row r="65">
      <c r="B65" t="n">
        <v>641.5</v>
      </c>
      <c r="C65" t="n">
        <v>642.25</v>
      </c>
      <c r="D65" t="n">
        <v>34</v>
      </c>
      <c r="I65">
        <f>IF(AND(MOD(51,$F$17)=0,MOD((INT(51/$F$17)+1)-1,$F$13/5)=0),TEXT(INDEX($G$4:$G$53,(INT(51/$F$17)+1)),"#,##0"),"")</f>
        <v/>
      </c>
      <c r="J65">
        <f>IF(MOD(51,$F$17)=$F$17-1,0,INDEX($H$4:$H$53,(INT(51/$F$17)+1)))</f>
        <v/>
      </c>
      <c r="O65" t="n">
        <v>18300</v>
      </c>
      <c r="P65" t="n">
        <v>18450</v>
      </c>
      <c r="Q65" t="n">
        <v>47</v>
      </c>
      <c r="V65">
        <f>IF(AND(MOD(51,$S$17)=0,MOD((INT(51/$S$17)+1)-1,$S$13/5)=0),TEXT(INDEX($T$4:$T$53,(INT(51/$S$17)+1)),"#,##0"),"")</f>
        <v/>
      </c>
      <c r="W65">
        <f>IF(MOD(51,$S$17)=$S$17-1,0,INDEX($U$4:$U$53,(INT(51/$S$17)+1)))</f>
        <v/>
      </c>
      <c r="AB65" t="n">
        <v>9150</v>
      </c>
      <c r="AC65" t="n">
        <v>9225</v>
      </c>
      <c r="AD65" t="n">
        <v>77</v>
      </c>
      <c r="AI65">
        <f>IF(AND(MOD(51,$AF$17)=0,MOD((INT(51/$AF$17)+1)-1,$AF$13/5)=0),TEXT(INDEX($AG$4:$AG$53,(INT(51/$AF$17)+1)),"#,##0"),"")</f>
        <v/>
      </c>
      <c r="AJ65">
        <f>IF(MOD(51,$AF$17)=$AF$17-1,0,INDEX($AH$4:$AH$53,(INT(51/$AF$17)+1)))</f>
        <v/>
      </c>
    </row>
    <row r="66">
      <c r="B66" t="n">
        <v>643</v>
      </c>
      <c r="C66" t="n">
        <v>643.75</v>
      </c>
      <c r="D66" t="n">
        <v>78</v>
      </c>
      <c r="I66">
        <f>IF(AND(MOD(52,$F$17)=0,MOD((INT(52/$F$17)+1)-1,$F$13/5)=0),TEXT(INDEX($G$4:$G$53,(INT(52/$F$17)+1)),"#,##0"),"")</f>
        <v/>
      </c>
      <c r="J66">
        <f>IF(MOD(52,$F$17)=$F$17-1,0,INDEX($H$4:$H$53,(INT(52/$F$17)+1)))</f>
        <v/>
      </c>
      <c r="O66" t="n">
        <v>18600</v>
      </c>
      <c r="P66" t="n">
        <v>18750</v>
      </c>
      <c r="Q66" t="n">
        <v>58</v>
      </c>
      <c r="V66">
        <f>IF(AND(MOD(52,$S$17)=0,MOD((INT(52/$S$17)+1)-1,$S$13/5)=0),TEXT(INDEX($T$4:$T$53,(INT(52/$S$17)+1)),"#,##0"),"")</f>
        <v/>
      </c>
      <c r="W66">
        <f>IF(MOD(52,$S$17)=$S$17-1,0,INDEX($U$4:$U$53,(INT(52/$S$17)+1)))</f>
        <v/>
      </c>
      <c r="AB66" t="n">
        <v>9300</v>
      </c>
      <c r="AC66" t="n">
        <v>9375</v>
      </c>
      <c r="AD66" t="n">
        <v>85</v>
      </c>
      <c r="AI66">
        <f>IF(AND(MOD(52,$AF$17)=0,MOD((INT(52/$AF$17)+1)-1,$AF$13/5)=0),TEXT(INDEX($AG$4:$AG$53,(INT(52/$AF$17)+1)),"#,##0"),"")</f>
        <v/>
      </c>
      <c r="AJ66">
        <f>IF(MOD(52,$AF$17)=$AF$17-1,0,INDEX($AH$4:$AH$53,(INT(52/$AF$17)+1)))</f>
        <v/>
      </c>
    </row>
    <row r="67">
      <c r="B67" t="n">
        <v>644.5</v>
      </c>
      <c r="C67" t="n">
        <v>645.25</v>
      </c>
      <c r="D67" t="n">
        <v>34</v>
      </c>
      <c r="I67">
        <f>IF(AND(MOD(53,$F$17)=0,MOD((INT(53/$F$17)+1)-1,$F$13/5)=0),TEXT(INDEX($G$4:$G$53,(INT(53/$F$17)+1)),"#,##0"),"")</f>
        <v/>
      </c>
      <c r="J67">
        <f>IF(MOD(53,$F$17)=$F$17-1,0,INDEX($H$4:$H$53,(INT(53/$F$17)+1)))</f>
        <v/>
      </c>
      <c r="O67" t="n">
        <v>18900</v>
      </c>
      <c r="P67" t="n">
        <v>19050</v>
      </c>
      <c r="Q67" t="n">
        <v>40</v>
      </c>
      <c r="V67">
        <f>IF(AND(MOD(53,$S$17)=0,MOD((INT(53/$S$17)+1)-1,$S$13/5)=0),TEXT(INDEX($T$4:$T$53,(INT(53/$S$17)+1)),"#,##0"),"")</f>
        <v/>
      </c>
      <c r="W67">
        <f>IF(MOD(53,$S$17)=$S$17-1,0,INDEX($U$4:$U$53,(INT(53/$S$17)+1)))</f>
        <v/>
      </c>
      <c r="AB67" t="n">
        <v>9450</v>
      </c>
      <c r="AC67" t="n">
        <v>9525</v>
      </c>
      <c r="AD67" t="n">
        <v>66</v>
      </c>
      <c r="AI67">
        <f>IF(AND(MOD(53,$AF$17)=0,MOD((INT(53/$AF$17)+1)-1,$AF$13/5)=0),TEXT(INDEX($AG$4:$AG$53,(INT(53/$AF$17)+1)),"#,##0"),"")</f>
        <v/>
      </c>
      <c r="AJ67">
        <f>IF(MOD(53,$AF$17)=$AF$17-1,0,INDEX($AH$4:$AH$53,(INT(53/$AF$17)+1)))</f>
        <v/>
      </c>
    </row>
    <row r="68">
      <c r="B68" t="n">
        <v>646</v>
      </c>
      <c r="C68" t="n">
        <v>646.75</v>
      </c>
      <c r="D68" t="n">
        <v>67</v>
      </c>
      <c r="I68">
        <f>IF(AND(MOD(54,$F$17)=0,MOD((INT(54/$F$17)+1)-1,$F$13/5)=0),TEXT(INDEX($G$4:$G$53,(INT(54/$F$17)+1)),"#,##0"),"")</f>
        <v/>
      </c>
      <c r="J68">
        <f>IF(MOD(54,$F$17)=$F$17-1,0,INDEX($H$4:$H$53,(INT(54/$F$17)+1)))</f>
        <v/>
      </c>
      <c r="O68" t="n">
        <v>19200</v>
      </c>
      <c r="P68" t="n">
        <v>19350</v>
      </c>
      <c r="Q68" t="n">
        <v>52</v>
      </c>
      <c r="V68">
        <f>IF(AND(MOD(54,$S$17)=0,MOD((INT(54/$S$17)+1)-1,$S$13/5)=0),TEXT(INDEX($T$4:$T$53,(INT(54/$S$17)+1)),"#,##0"),"")</f>
        <v/>
      </c>
      <c r="W68">
        <f>IF(MOD(54,$S$17)=$S$17-1,0,INDEX($U$4:$U$53,(INT(54/$S$17)+1)))</f>
        <v/>
      </c>
      <c r="AB68" t="n">
        <v>9600</v>
      </c>
      <c r="AC68" t="n">
        <v>9675</v>
      </c>
      <c r="AD68" t="n">
        <v>72</v>
      </c>
      <c r="AI68">
        <f>IF(AND(MOD(54,$AF$17)=0,MOD((INT(54/$AF$17)+1)-1,$AF$13/5)=0),TEXT(INDEX($AG$4:$AG$53,(INT(54/$AF$17)+1)),"#,##0"),"")</f>
        <v/>
      </c>
      <c r="AJ68">
        <f>IF(MOD(54,$AF$17)=$AF$17-1,0,INDEX($AH$4:$AH$53,(INT(54/$AF$17)+1)))</f>
        <v/>
      </c>
    </row>
    <row r="69">
      <c r="B69" t="n">
        <v>647.5</v>
      </c>
      <c r="C69" t="n">
        <v>648.25</v>
      </c>
      <c r="D69" t="n">
        <v>20</v>
      </c>
      <c r="I69">
        <f>IF(AND(MOD(55,$F$17)=0,MOD((INT(55/$F$17)+1)-1,$F$13/5)=0),TEXT(INDEX($G$4:$G$53,(INT(55/$F$17)+1)),"#,##0"),"")</f>
        <v/>
      </c>
      <c r="J69">
        <f>IF(MOD(55,$F$17)=$F$17-1,0,INDEX($H$4:$H$53,(INT(55/$F$17)+1)))</f>
        <v/>
      </c>
      <c r="O69" t="n">
        <v>19500</v>
      </c>
      <c r="P69" t="n">
        <v>19650</v>
      </c>
      <c r="Q69" t="n">
        <v>53</v>
      </c>
      <c r="V69">
        <f>IF(AND(MOD(55,$S$17)=0,MOD((INT(55/$S$17)+1)-1,$S$13/5)=0),TEXT(INDEX($T$4:$T$53,(INT(55/$S$17)+1)),"#,##0"),"")</f>
        <v/>
      </c>
      <c r="W69">
        <f>IF(MOD(55,$S$17)=$S$17-1,0,INDEX($U$4:$U$53,(INT(55/$S$17)+1)))</f>
        <v/>
      </c>
      <c r="AB69" t="n">
        <v>9750</v>
      </c>
      <c r="AC69" t="n">
        <v>9825</v>
      </c>
      <c r="AD69" t="n">
        <v>81</v>
      </c>
      <c r="AI69">
        <f>IF(AND(MOD(55,$AF$17)=0,MOD((INT(55/$AF$17)+1)-1,$AF$13/5)=0),TEXT(INDEX($AG$4:$AG$53,(INT(55/$AF$17)+1)),"#,##0"),"")</f>
        <v/>
      </c>
      <c r="AJ69">
        <f>IF(MOD(55,$AF$17)=$AF$17-1,0,INDEX($AH$4:$AH$53,(INT(55/$AF$17)+1)))</f>
        <v/>
      </c>
    </row>
    <row r="70">
      <c r="B70" t="n">
        <v>649</v>
      </c>
      <c r="C70" t="n">
        <v>649.75</v>
      </c>
      <c r="D70" t="n">
        <v>76</v>
      </c>
      <c r="I70">
        <f>IF(AND(MOD(56,$F$17)=0,MOD((INT(56/$F$17)+1)-1,$F$13/5)=0),TEXT(INDEX($G$4:$G$53,(INT(56/$F$17)+1)),"#,##0"),"")</f>
        <v/>
      </c>
      <c r="J70">
        <f>IF(MOD(56,$F$17)=$F$17-1,0,INDEX($H$4:$H$53,(INT(56/$F$17)+1)))</f>
        <v/>
      </c>
      <c r="O70" t="n">
        <v>19800</v>
      </c>
      <c r="P70" t="n">
        <v>19950</v>
      </c>
      <c r="Q70" t="n">
        <v>33</v>
      </c>
      <c r="V70">
        <f>IF(AND(MOD(56,$S$17)=0,MOD((INT(56/$S$17)+1)-1,$S$13/5)=0),TEXT(INDEX($T$4:$T$53,(INT(56/$S$17)+1)),"#,##0"),"")</f>
        <v/>
      </c>
      <c r="W70">
        <f>IF(MOD(56,$S$17)=$S$17-1,0,INDEX($U$4:$U$53,(INT(56/$S$17)+1)))</f>
        <v/>
      </c>
      <c r="AB70" t="n">
        <v>9900</v>
      </c>
      <c r="AC70" t="n">
        <v>9975</v>
      </c>
      <c r="AD70" t="n">
        <v>66</v>
      </c>
      <c r="AI70">
        <f>IF(AND(MOD(56,$AF$17)=0,MOD((INT(56/$AF$17)+1)-1,$AF$13/5)=0),TEXT(INDEX($AG$4:$AG$53,(INT(56/$AF$17)+1)),"#,##0"),"")</f>
        <v/>
      </c>
      <c r="AJ70">
        <f>IF(MOD(56,$AF$17)=$AF$17-1,0,INDEX($AH$4:$AH$53,(INT(56/$AF$17)+1)))</f>
        <v/>
      </c>
    </row>
    <row r="71">
      <c r="B71" t="n">
        <v>650.5</v>
      </c>
      <c r="C71" t="n">
        <v>651.25</v>
      </c>
      <c r="D71" t="n">
        <v>30</v>
      </c>
      <c r="I71">
        <f>IF(AND(MOD(57,$F$17)=0,MOD((INT(57/$F$17)+1)-1,$F$13/5)=0),TEXT(INDEX($G$4:$G$53,(INT(57/$F$17)+1)),"#,##0"),"")</f>
        <v/>
      </c>
      <c r="J71">
        <f>IF(MOD(57,$F$17)=$F$17-1,0,INDEX($H$4:$H$53,(INT(57/$F$17)+1)))</f>
        <v/>
      </c>
      <c r="O71" t="n">
        <v>20100</v>
      </c>
      <c r="P71" t="n">
        <v>20250</v>
      </c>
      <c r="Q71" t="n">
        <v>39</v>
      </c>
      <c r="V71">
        <f>IF(AND(MOD(57,$S$17)=0,MOD((INT(57/$S$17)+1)-1,$S$13/5)=0),TEXT(INDEX($T$4:$T$53,(INT(57/$S$17)+1)),"#,##0"),"")</f>
        <v/>
      </c>
      <c r="W71">
        <f>IF(MOD(57,$S$17)=$S$17-1,0,INDEX($U$4:$U$53,(INT(57/$S$17)+1)))</f>
        <v/>
      </c>
      <c r="AB71" t="n">
        <v>10050</v>
      </c>
      <c r="AC71" t="n">
        <v>10125</v>
      </c>
      <c r="AD71" t="n">
        <v>73</v>
      </c>
      <c r="AI71">
        <f>IF(AND(MOD(57,$AF$17)=0,MOD((INT(57/$AF$17)+1)-1,$AF$13/5)=0),TEXT(INDEX($AG$4:$AG$53,(INT(57/$AF$17)+1)),"#,##0"),"")</f>
        <v/>
      </c>
      <c r="AJ71">
        <f>IF(MOD(57,$AF$17)=$AF$17-1,0,INDEX($AH$4:$AH$53,(INT(57/$AF$17)+1)))</f>
        <v/>
      </c>
    </row>
    <row r="72">
      <c r="B72" t="n">
        <v>652</v>
      </c>
      <c r="C72" t="n">
        <v>652.75</v>
      </c>
      <c r="D72" t="n">
        <v>74</v>
      </c>
      <c r="I72">
        <f>IF(AND(MOD(58,$F$17)=0,MOD((INT(58/$F$17)+1)-1,$F$13/5)=0),TEXT(INDEX($G$4:$G$53,(INT(58/$F$17)+1)),"#,##0"),"")</f>
        <v/>
      </c>
      <c r="J72">
        <f>IF(MOD(58,$F$17)=$F$17-1,0,INDEX($H$4:$H$53,(INT(58/$F$17)+1)))</f>
        <v/>
      </c>
      <c r="O72" t="n">
        <v>20400</v>
      </c>
      <c r="P72" t="n">
        <v>20550</v>
      </c>
      <c r="Q72" t="n">
        <v>39</v>
      </c>
      <c r="V72">
        <f>IF(AND(MOD(58,$S$17)=0,MOD((INT(58/$S$17)+1)-1,$S$13/5)=0),TEXT(INDEX($T$4:$T$53,(INT(58/$S$17)+1)),"#,##0"),"")</f>
        <v/>
      </c>
      <c r="W72">
        <f>IF(MOD(58,$S$17)=$S$17-1,0,INDEX($U$4:$U$53,(INT(58/$S$17)+1)))</f>
        <v/>
      </c>
      <c r="AB72" t="n">
        <v>10200</v>
      </c>
      <c r="AC72" t="n">
        <v>10275</v>
      </c>
      <c r="AD72" t="n">
        <v>78</v>
      </c>
      <c r="AI72">
        <f>IF(AND(MOD(58,$AF$17)=0,MOD((INT(58/$AF$17)+1)-1,$AF$13/5)=0),TEXT(INDEX($AG$4:$AG$53,(INT(58/$AF$17)+1)),"#,##0"),"")</f>
        <v/>
      </c>
      <c r="AJ72">
        <f>IF(MOD(58,$AF$17)=$AF$17-1,0,INDEX($AH$4:$AH$53,(INT(58/$AF$17)+1)))</f>
        <v/>
      </c>
    </row>
    <row r="73">
      <c r="B73" t="n">
        <v>653.5</v>
      </c>
      <c r="C73" t="n">
        <v>654.25</v>
      </c>
      <c r="D73" t="n">
        <v>50</v>
      </c>
      <c r="I73">
        <f>IF(AND(MOD(59,$F$17)=0,MOD((INT(59/$F$17)+1)-1,$F$13/5)=0),TEXT(INDEX($G$4:$G$53,(INT(59/$F$17)+1)),"#,##0"),"")</f>
        <v/>
      </c>
      <c r="J73">
        <f>IF(MOD(59,$F$17)=$F$17-1,0,INDEX($H$4:$H$53,(INT(59/$F$17)+1)))</f>
        <v/>
      </c>
      <c r="O73" t="n">
        <v>20700</v>
      </c>
      <c r="P73" t="n">
        <v>20850</v>
      </c>
      <c r="Q73" t="n">
        <v>41</v>
      </c>
      <c r="V73">
        <f>IF(AND(MOD(59,$S$17)=0,MOD((INT(59/$S$17)+1)-1,$S$13/5)=0),TEXT(INDEX($T$4:$T$53,(INT(59/$S$17)+1)),"#,##0"),"")</f>
        <v/>
      </c>
      <c r="W73">
        <f>IF(MOD(59,$S$17)=$S$17-1,0,INDEX($U$4:$U$53,(INT(59/$S$17)+1)))</f>
        <v/>
      </c>
      <c r="AB73" t="n">
        <v>10350</v>
      </c>
      <c r="AC73" t="n">
        <v>10425</v>
      </c>
      <c r="AD73" t="n">
        <v>76</v>
      </c>
      <c r="AI73">
        <f>IF(AND(MOD(59,$AF$17)=0,MOD((INT(59/$AF$17)+1)-1,$AF$13/5)=0),TEXT(INDEX($AG$4:$AG$53,(INT(59/$AF$17)+1)),"#,##0"),"")</f>
        <v/>
      </c>
      <c r="AJ73">
        <f>IF(MOD(59,$AF$17)=$AF$17-1,0,INDEX($AH$4:$AH$53,(INT(59/$AF$17)+1)))</f>
        <v/>
      </c>
    </row>
    <row r="74">
      <c r="B74" t="n">
        <v>655</v>
      </c>
      <c r="C74" t="n">
        <v>655.75</v>
      </c>
      <c r="D74" t="n">
        <v>83</v>
      </c>
      <c r="I74">
        <f>IF(AND(MOD(60,$F$17)=0,MOD((INT(60/$F$17)+1)-1,$F$13/5)=0),TEXT(INDEX($G$4:$G$53,(INT(60/$F$17)+1)),"#,##0"),"")</f>
        <v/>
      </c>
      <c r="J74">
        <f>IF(MOD(60,$F$17)=$F$17-1,0,INDEX($H$4:$H$53,(INT(60/$F$17)+1)))</f>
        <v/>
      </c>
      <c r="O74" t="n">
        <v>21000</v>
      </c>
      <c r="P74" t="n">
        <v>21150</v>
      </c>
      <c r="Q74" t="n">
        <v>29</v>
      </c>
      <c r="V74">
        <f>IF(AND(MOD(60,$S$17)=0,MOD((INT(60/$S$17)+1)-1,$S$13/5)=0),TEXT(INDEX($T$4:$T$53,(INT(60/$S$17)+1)),"#,##0"),"")</f>
        <v/>
      </c>
      <c r="W74">
        <f>IF(MOD(60,$S$17)=$S$17-1,0,INDEX($U$4:$U$53,(INT(60/$S$17)+1)))</f>
        <v/>
      </c>
      <c r="AB74" t="n">
        <v>10500</v>
      </c>
      <c r="AC74" t="n">
        <v>10575</v>
      </c>
      <c r="AD74" t="n">
        <v>81</v>
      </c>
      <c r="AI74">
        <f>IF(AND(MOD(60,$AF$17)=0,MOD((INT(60/$AF$17)+1)-1,$AF$13/5)=0),TEXT(INDEX($AG$4:$AG$53,(INT(60/$AF$17)+1)),"#,##0"),"")</f>
        <v/>
      </c>
      <c r="AJ74">
        <f>IF(MOD(60,$AF$17)=$AF$17-1,0,INDEX($AH$4:$AH$53,(INT(60/$AF$17)+1)))</f>
        <v/>
      </c>
    </row>
    <row r="75">
      <c r="B75" t="n">
        <v>656.5</v>
      </c>
      <c r="C75" t="n">
        <v>657.25</v>
      </c>
      <c r="D75" t="n">
        <v>49</v>
      </c>
      <c r="I75">
        <f>IF(AND(MOD(61,$F$17)=0,MOD((INT(61/$F$17)+1)-1,$F$13/5)=0),TEXT(INDEX($G$4:$G$53,(INT(61/$F$17)+1)),"#,##0"),"")</f>
        <v/>
      </c>
      <c r="J75">
        <f>IF(MOD(61,$F$17)=$F$17-1,0,INDEX($H$4:$H$53,(INT(61/$F$17)+1)))</f>
        <v/>
      </c>
      <c r="O75" t="n">
        <v>21300</v>
      </c>
      <c r="P75" t="n">
        <v>21450</v>
      </c>
      <c r="Q75" t="n">
        <v>39</v>
      </c>
      <c r="V75">
        <f>IF(AND(MOD(61,$S$17)=0,MOD((INT(61/$S$17)+1)-1,$S$13/5)=0),TEXT(INDEX($T$4:$T$53,(INT(61/$S$17)+1)),"#,##0"),"")</f>
        <v/>
      </c>
      <c r="W75">
        <f>IF(MOD(61,$S$17)=$S$17-1,0,INDEX($U$4:$U$53,(INT(61/$S$17)+1)))</f>
        <v/>
      </c>
      <c r="AB75" t="n">
        <v>10650</v>
      </c>
      <c r="AC75" t="n">
        <v>10725</v>
      </c>
      <c r="AD75" t="n">
        <v>94</v>
      </c>
      <c r="AI75">
        <f>IF(AND(MOD(61,$AF$17)=0,MOD((INT(61/$AF$17)+1)-1,$AF$13/5)=0),TEXT(INDEX($AG$4:$AG$53,(INT(61/$AF$17)+1)),"#,##0"),"")</f>
        <v/>
      </c>
      <c r="AJ75">
        <f>IF(MOD(61,$AF$17)=$AF$17-1,0,INDEX($AH$4:$AH$53,(INT(61/$AF$17)+1)))</f>
        <v/>
      </c>
    </row>
    <row r="76">
      <c r="B76" t="n">
        <v>658</v>
      </c>
      <c r="C76" t="n">
        <v>658.75</v>
      </c>
      <c r="D76" t="n">
        <v>84</v>
      </c>
      <c r="I76">
        <f>IF(AND(MOD(62,$F$17)=0,MOD((INT(62/$F$17)+1)-1,$F$13/5)=0),TEXT(INDEX($G$4:$G$53,(INT(62/$F$17)+1)),"#,##0"),"")</f>
        <v/>
      </c>
      <c r="J76">
        <f>IF(MOD(62,$F$17)=$F$17-1,0,INDEX($H$4:$H$53,(INT(62/$F$17)+1)))</f>
        <v/>
      </c>
      <c r="O76" t="n">
        <v>21600</v>
      </c>
      <c r="P76" t="n">
        <v>21750</v>
      </c>
      <c r="Q76" t="n">
        <v>51</v>
      </c>
      <c r="V76">
        <f>IF(AND(MOD(62,$S$17)=0,MOD((INT(62/$S$17)+1)-1,$S$13/5)=0),TEXT(INDEX($T$4:$T$53,(INT(62/$S$17)+1)),"#,##0"),"")</f>
        <v/>
      </c>
      <c r="W76">
        <f>IF(MOD(62,$S$17)=$S$17-1,0,INDEX($U$4:$U$53,(INT(62/$S$17)+1)))</f>
        <v/>
      </c>
      <c r="AB76" t="n">
        <v>10800</v>
      </c>
      <c r="AC76" t="n">
        <v>10875</v>
      </c>
      <c r="AD76" t="n">
        <v>82</v>
      </c>
      <c r="AI76">
        <f>IF(AND(MOD(62,$AF$17)=0,MOD((INT(62/$AF$17)+1)-1,$AF$13/5)=0),TEXT(INDEX($AG$4:$AG$53,(INT(62/$AF$17)+1)),"#,##0"),"")</f>
        <v/>
      </c>
      <c r="AJ76">
        <f>IF(MOD(62,$AF$17)=$AF$17-1,0,INDEX($AH$4:$AH$53,(INT(62/$AF$17)+1)))</f>
        <v/>
      </c>
    </row>
    <row r="77">
      <c r="B77" t="n">
        <v>659.5</v>
      </c>
      <c r="C77" t="n">
        <v>660.25</v>
      </c>
      <c r="D77" t="n">
        <v>43</v>
      </c>
      <c r="I77">
        <f>IF(AND(MOD(63,$F$17)=0,MOD((INT(63/$F$17)+1)-1,$F$13/5)=0),TEXT(INDEX($G$4:$G$53,(INT(63/$F$17)+1)),"#,##0"),"")</f>
        <v/>
      </c>
      <c r="J77">
        <f>IF(MOD(63,$F$17)=$F$17-1,0,INDEX($H$4:$H$53,(INT(63/$F$17)+1)))</f>
        <v/>
      </c>
      <c r="O77" t="n">
        <v>21900</v>
      </c>
      <c r="P77" t="n">
        <v>22050</v>
      </c>
      <c r="Q77" t="n">
        <v>42</v>
      </c>
      <c r="V77">
        <f>IF(AND(MOD(63,$S$17)=0,MOD((INT(63/$S$17)+1)-1,$S$13/5)=0),TEXT(INDEX($T$4:$T$53,(INT(63/$S$17)+1)),"#,##0"),"")</f>
        <v/>
      </c>
      <c r="W77">
        <f>IF(MOD(63,$S$17)=$S$17-1,0,INDEX($U$4:$U$53,(INT(63/$S$17)+1)))</f>
        <v/>
      </c>
      <c r="AB77" t="n">
        <v>10950</v>
      </c>
      <c r="AC77" t="n">
        <v>11025</v>
      </c>
      <c r="AD77" t="n">
        <v>68</v>
      </c>
      <c r="AI77">
        <f>IF(AND(MOD(63,$AF$17)=0,MOD((INT(63/$AF$17)+1)-1,$AF$13/5)=0),TEXT(INDEX($AG$4:$AG$53,(INT(63/$AF$17)+1)),"#,##0"),"")</f>
        <v/>
      </c>
      <c r="AJ77">
        <f>IF(MOD(63,$AF$17)=$AF$17-1,0,INDEX($AH$4:$AH$53,(INT(63/$AF$17)+1)))</f>
        <v/>
      </c>
    </row>
    <row r="78">
      <c r="B78" t="n">
        <v>661</v>
      </c>
      <c r="C78" t="n">
        <v>661.75</v>
      </c>
      <c r="D78" t="n">
        <v>75</v>
      </c>
      <c r="I78">
        <f>IF(AND(MOD(64,$F$17)=0,MOD((INT(64/$F$17)+1)-1,$F$13/5)=0),TEXT(INDEX($G$4:$G$53,(INT(64/$F$17)+1)),"#,##0"),"")</f>
        <v/>
      </c>
      <c r="J78">
        <f>IF(MOD(64,$F$17)=$F$17-1,0,INDEX($H$4:$H$53,(INT(64/$F$17)+1)))</f>
        <v/>
      </c>
      <c r="O78" t="n">
        <v>22200</v>
      </c>
      <c r="P78" t="n">
        <v>22350</v>
      </c>
      <c r="Q78" t="n">
        <v>42</v>
      </c>
      <c r="V78">
        <f>IF(AND(MOD(64,$S$17)=0,MOD((INT(64/$S$17)+1)-1,$S$13/5)=0),TEXT(INDEX($T$4:$T$53,(INT(64/$S$17)+1)),"#,##0"),"")</f>
        <v/>
      </c>
      <c r="W78">
        <f>IF(MOD(64,$S$17)=$S$17-1,0,INDEX($U$4:$U$53,(INT(64/$S$17)+1)))</f>
        <v/>
      </c>
      <c r="AB78" t="n">
        <v>11100</v>
      </c>
      <c r="AC78" t="n">
        <v>11175</v>
      </c>
      <c r="AD78" t="n">
        <v>74</v>
      </c>
      <c r="AI78">
        <f>IF(AND(MOD(64,$AF$17)=0,MOD((INT(64/$AF$17)+1)-1,$AF$13/5)=0),TEXT(INDEX($AG$4:$AG$53,(INT(64/$AF$17)+1)),"#,##0"),"")</f>
        <v/>
      </c>
      <c r="AJ78">
        <f>IF(MOD(64,$AF$17)=$AF$17-1,0,INDEX($AH$4:$AH$53,(INT(64/$AF$17)+1)))</f>
        <v/>
      </c>
    </row>
    <row r="79">
      <c r="B79" t="n">
        <v>662.5</v>
      </c>
      <c r="C79" t="n">
        <v>663.25</v>
      </c>
      <c r="D79" t="n">
        <v>40</v>
      </c>
      <c r="I79">
        <f>IF(AND(MOD(65,$F$17)=0,MOD((INT(65/$F$17)+1)-1,$F$13/5)=0),TEXT(INDEX($G$4:$G$53,(INT(65/$F$17)+1)),"#,##0"),"")</f>
        <v/>
      </c>
      <c r="J79">
        <f>IF(MOD(65,$F$17)=$F$17-1,0,INDEX($H$4:$H$53,(INT(65/$F$17)+1)))</f>
        <v/>
      </c>
      <c r="O79" t="n">
        <v>22500</v>
      </c>
      <c r="P79" t="n">
        <v>22650</v>
      </c>
      <c r="Q79" t="n">
        <v>55</v>
      </c>
      <c r="V79">
        <f>IF(AND(MOD(65,$S$17)=0,MOD((INT(65/$S$17)+1)-1,$S$13/5)=0),TEXT(INDEX($T$4:$T$53,(INT(65/$S$17)+1)),"#,##0"),"")</f>
        <v/>
      </c>
      <c r="W79">
        <f>IF(MOD(65,$S$17)=$S$17-1,0,INDEX($U$4:$U$53,(INT(65/$S$17)+1)))</f>
        <v/>
      </c>
      <c r="AB79" t="n">
        <v>11250</v>
      </c>
      <c r="AC79" t="n">
        <v>11325</v>
      </c>
      <c r="AD79" t="n">
        <v>79</v>
      </c>
      <c r="AI79">
        <f>IF(AND(MOD(65,$AF$17)=0,MOD((INT(65/$AF$17)+1)-1,$AF$13/5)=0),TEXT(INDEX($AG$4:$AG$53,(INT(65/$AF$17)+1)),"#,##0"),"")</f>
        <v/>
      </c>
      <c r="AJ79">
        <f>IF(MOD(65,$AF$17)=$AF$17-1,0,INDEX($AH$4:$AH$53,(INT(65/$AF$17)+1)))</f>
        <v/>
      </c>
    </row>
    <row r="80">
      <c r="B80" t="n">
        <v>664</v>
      </c>
      <c r="C80" t="n">
        <v>664.75</v>
      </c>
      <c r="D80" t="n">
        <v>86</v>
      </c>
      <c r="I80">
        <f>IF(AND(MOD(66,$F$17)=0,MOD((INT(66/$F$17)+1)-1,$F$13/5)=0),TEXT(INDEX($G$4:$G$53,(INT(66/$F$17)+1)),"#,##0"),"")</f>
        <v/>
      </c>
      <c r="J80">
        <f>IF(MOD(66,$F$17)=$F$17-1,0,INDEX($H$4:$H$53,(INT(66/$F$17)+1)))</f>
        <v/>
      </c>
      <c r="O80" t="n">
        <v>22800</v>
      </c>
      <c r="P80" t="n">
        <v>22950</v>
      </c>
      <c r="Q80" t="n">
        <v>45</v>
      </c>
      <c r="V80">
        <f>IF(AND(MOD(66,$S$17)=0,MOD((INT(66/$S$17)+1)-1,$S$13/5)=0),TEXT(INDEX($T$4:$T$53,(INT(66/$S$17)+1)),"#,##0"),"")</f>
        <v/>
      </c>
      <c r="W80">
        <f>IF(MOD(66,$S$17)=$S$17-1,0,INDEX($U$4:$U$53,(INT(66/$S$17)+1)))</f>
        <v/>
      </c>
      <c r="AB80" t="n">
        <v>11400</v>
      </c>
      <c r="AC80" t="n">
        <v>11475</v>
      </c>
      <c r="AD80" t="n">
        <v>76</v>
      </c>
      <c r="AI80">
        <f>IF(AND(MOD(66,$AF$17)=0,MOD((INT(66/$AF$17)+1)-1,$AF$13/5)=0),TEXT(INDEX($AG$4:$AG$53,(INT(66/$AF$17)+1)),"#,##0"),"")</f>
        <v/>
      </c>
      <c r="AJ80">
        <f>IF(MOD(66,$AF$17)=$AF$17-1,0,INDEX($AH$4:$AH$53,(INT(66/$AF$17)+1)))</f>
        <v/>
      </c>
    </row>
    <row r="81">
      <c r="B81" t="n">
        <v>665.5</v>
      </c>
      <c r="C81" t="n">
        <v>666.25</v>
      </c>
      <c r="D81" t="n">
        <v>54</v>
      </c>
      <c r="I81">
        <f>IF(AND(MOD(67,$F$17)=0,MOD((INT(67/$F$17)+1)-1,$F$13/5)=0),TEXT(INDEX($G$4:$G$53,(INT(67/$F$17)+1)),"#,##0"),"")</f>
        <v/>
      </c>
      <c r="J81">
        <f>IF(MOD(67,$F$17)=$F$17-1,0,INDEX($H$4:$H$53,(INT(67/$F$17)+1)))</f>
        <v/>
      </c>
      <c r="O81" t="n">
        <v>23100</v>
      </c>
      <c r="P81" t="n">
        <v>23250</v>
      </c>
      <c r="Q81" t="n">
        <v>41</v>
      </c>
      <c r="V81">
        <f>IF(AND(MOD(67,$S$17)=0,MOD((INT(67/$S$17)+1)-1,$S$13/5)=0),TEXT(INDEX($T$4:$T$53,(INT(67/$S$17)+1)),"#,##0"),"")</f>
        <v/>
      </c>
      <c r="W81">
        <f>IF(MOD(67,$S$17)=$S$17-1,0,INDEX($U$4:$U$53,(INT(67/$S$17)+1)))</f>
        <v/>
      </c>
      <c r="AB81" t="n">
        <v>11550</v>
      </c>
      <c r="AC81" t="n">
        <v>11625</v>
      </c>
      <c r="AD81" t="n">
        <v>72</v>
      </c>
      <c r="AI81">
        <f>IF(AND(MOD(67,$AF$17)=0,MOD((INT(67/$AF$17)+1)-1,$AF$13/5)=0),TEXT(INDEX($AG$4:$AG$53,(INT(67/$AF$17)+1)),"#,##0"),"")</f>
        <v/>
      </c>
      <c r="AJ81">
        <f>IF(MOD(67,$AF$17)=$AF$17-1,0,INDEX($AH$4:$AH$53,(INT(67/$AF$17)+1)))</f>
        <v/>
      </c>
    </row>
    <row r="82">
      <c r="B82" t="n">
        <v>667</v>
      </c>
      <c r="C82" t="n">
        <v>667.75</v>
      </c>
      <c r="D82" t="n">
        <v>98</v>
      </c>
      <c r="I82">
        <f>IF(AND(MOD(68,$F$17)=0,MOD((INT(68/$F$17)+1)-1,$F$13/5)=0),TEXT(INDEX($G$4:$G$53,(INT(68/$F$17)+1)),"#,##0"),"")</f>
        <v/>
      </c>
      <c r="J82">
        <f>IF(MOD(68,$F$17)=$F$17-1,0,INDEX($H$4:$H$53,(INT(68/$F$17)+1)))</f>
        <v/>
      </c>
      <c r="O82" t="n">
        <v>23400</v>
      </c>
      <c r="P82" t="n">
        <v>23550</v>
      </c>
      <c r="Q82" t="n">
        <v>42</v>
      </c>
      <c r="V82">
        <f>IF(AND(MOD(68,$S$17)=0,MOD((INT(68/$S$17)+1)-1,$S$13/5)=0),TEXT(INDEX($T$4:$T$53,(INT(68/$S$17)+1)),"#,##0"),"")</f>
        <v/>
      </c>
      <c r="W82">
        <f>IF(MOD(68,$S$17)=$S$17-1,0,INDEX($U$4:$U$53,(INT(68/$S$17)+1)))</f>
        <v/>
      </c>
      <c r="AB82" t="n">
        <v>11700</v>
      </c>
      <c r="AC82" t="n">
        <v>11775</v>
      </c>
      <c r="AD82" t="n">
        <v>72</v>
      </c>
      <c r="AI82">
        <f>IF(AND(MOD(68,$AF$17)=0,MOD((INT(68/$AF$17)+1)-1,$AF$13/5)=0),TEXT(INDEX($AG$4:$AG$53,(INT(68/$AF$17)+1)),"#,##0"),"")</f>
        <v/>
      </c>
      <c r="AJ82">
        <f>IF(MOD(68,$AF$17)=$AF$17-1,0,INDEX($AH$4:$AH$53,(INT(68/$AF$17)+1)))</f>
        <v/>
      </c>
    </row>
    <row r="83">
      <c r="B83" t="n">
        <v>668.5</v>
      </c>
      <c r="C83" t="n">
        <v>669.25</v>
      </c>
      <c r="D83" t="n">
        <v>53</v>
      </c>
      <c r="I83">
        <f>IF(AND(MOD(69,$F$17)=0,MOD((INT(69/$F$17)+1)-1,$F$13/5)=0),TEXT(INDEX($G$4:$G$53,(INT(69/$F$17)+1)),"#,##0"),"")</f>
        <v/>
      </c>
      <c r="J83">
        <f>IF(MOD(69,$F$17)=$F$17-1,0,INDEX($H$4:$H$53,(INT(69/$F$17)+1)))</f>
        <v/>
      </c>
      <c r="O83" t="n">
        <v>23700</v>
      </c>
      <c r="P83" t="n">
        <v>23850</v>
      </c>
      <c r="Q83" t="n">
        <v>48</v>
      </c>
      <c r="V83">
        <f>IF(AND(MOD(69,$S$17)=0,MOD((INT(69/$S$17)+1)-1,$S$13/5)=0),TEXT(INDEX($T$4:$T$53,(INT(69/$S$17)+1)),"#,##0"),"")</f>
        <v/>
      </c>
      <c r="W83">
        <f>IF(MOD(69,$S$17)=$S$17-1,0,INDEX($U$4:$U$53,(INT(69/$S$17)+1)))</f>
        <v/>
      </c>
      <c r="AB83" t="n">
        <v>11850</v>
      </c>
      <c r="AC83" t="n">
        <v>11925</v>
      </c>
      <c r="AD83" t="n">
        <v>78</v>
      </c>
      <c r="AI83">
        <f>IF(AND(MOD(69,$AF$17)=0,MOD((INT(69/$AF$17)+1)-1,$AF$13/5)=0),TEXT(INDEX($AG$4:$AG$53,(INT(69/$AF$17)+1)),"#,##0"),"")</f>
        <v/>
      </c>
      <c r="AJ83">
        <f>IF(MOD(69,$AF$17)=$AF$17-1,0,INDEX($AH$4:$AH$53,(INT(69/$AF$17)+1)))</f>
        <v/>
      </c>
    </row>
    <row r="84">
      <c r="B84" t="n">
        <v>670</v>
      </c>
      <c r="C84" t="n">
        <v>670.75</v>
      </c>
      <c r="D84" t="n">
        <v>108</v>
      </c>
      <c r="I84">
        <f>IF(AND(MOD(70,$F$17)=0,MOD((INT(70/$F$17)+1)-1,$F$13/5)=0),TEXT(INDEX($G$4:$G$53,(INT(70/$F$17)+1)),"#,##0"),"")</f>
        <v/>
      </c>
      <c r="J84">
        <f>IF(MOD(70,$F$17)=$F$17-1,0,INDEX($H$4:$H$53,(INT(70/$F$17)+1)))</f>
        <v/>
      </c>
      <c r="O84" t="n">
        <v>24000</v>
      </c>
      <c r="P84" t="n">
        <v>24150</v>
      </c>
      <c r="Q84" t="n">
        <v>44</v>
      </c>
      <c r="V84">
        <f>IF(AND(MOD(70,$S$17)=0,MOD((INT(70/$S$17)+1)-1,$S$13/5)=0),TEXT(INDEX($T$4:$T$53,(INT(70/$S$17)+1)),"#,##0"),"")</f>
        <v/>
      </c>
      <c r="W84">
        <f>IF(MOD(70,$S$17)=$S$17-1,0,INDEX($U$4:$U$53,(INT(70/$S$17)+1)))</f>
        <v/>
      </c>
      <c r="AB84" t="n">
        <v>12000</v>
      </c>
      <c r="AC84" t="n">
        <v>12075</v>
      </c>
      <c r="AD84" t="n">
        <v>76</v>
      </c>
      <c r="AI84">
        <f>IF(AND(MOD(70,$AF$17)=0,MOD((INT(70/$AF$17)+1)-1,$AF$13/5)=0),TEXT(INDEX($AG$4:$AG$53,(INT(70/$AF$17)+1)),"#,##0"),"")</f>
        <v/>
      </c>
      <c r="AJ84">
        <f>IF(MOD(70,$AF$17)=$AF$17-1,0,INDEX($AH$4:$AH$53,(INT(70/$AF$17)+1)))</f>
        <v/>
      </c>
    </row>
    <row r="85">
      <c r="B85" t="n">
        <v>671.5</v>
      </c>
      <c r="C85" t="n">
        <v>672.25</v>
      </c>
      <c r="D85" t="n">
        <v>57</v>
      </c>
      <c r="I85">
        <f>IF(AND(MOD(71,$F$17)=0,MOD((INT(71/$F$17)+1)-1,$F$13/5)=0),TEXT(INDEX($G$4:$G$53,(INT(71/$F$17)+1)),"#,##0"),"")</f>
        <v/>
      </c>
      <c r="J85">
        <f>IF(MOD(71,$F$17)=$F$17-1,0,INDEX($H$4:$H$53,(INT(71/$F$17)+1)))</f>
        <v/>
      </c>
      <c r="O85" t="n">
        <v>24300</v>
      </c>
      <c r="P85" t="n">
        <v>24450</v>
      </c>
      <c r="Q85" t="n">
        <v>49</v>
      </c>
      <c r="V85">
        <f>IF(AND(MOD(71,$S$17)=0,MOD((INT(71/$S$17)+1)-1,$S$13/5)=0),TEXT(INDEX($T$4:$T$53,(INT(71/$S$17)+1)),"#,##0"),"")</f>
        <v/>
      </c>
      <c r="W85">
        <f>IF(MOD(71,$S$17)=$S$17-1,0,INDEX($U$4:$U$53,(INT(71/$S$17)+1)))</f>
        <v/>
      </c>
      <c r="AB85" t="n">
        <v>12150</v>
      </c>
      <c r="AC85" t="n">
        <v>12225</v>
      </c>
      <c r="AD85" t="n">
        <v>72</v>
      </c>
      <c r="AI85">
        <f>IF(AND(MOD(71,$AF$17)=0,MOD((INT(71/$AF$17)+1)-1,$AF$13/5)=0),TEXT(INDEX($AG$4:$AG$53,(INT(71/$AF$17)+1)),"#,##0"),"")</f>
        <v/>
      </c>
      <c r="AJ85">
        <f>IF(MOD(71,$AF$17)=$AF$17-1,0,INDEX($AH$4:$AH$53,(INT(71/$AF$17)+1)))</f>
        <v/>
      </c>
    </row>
    <row r="86">
      <c r="B86" t="n">
        <v>673</v>
      </c>
      <c r="C86" t="n">
        <v>673.75</v>
      </c>
      <c r="D86" t="n">
        <v>103</v>
      </c>
      <c r="I86">
        <f>IF(AND(MOD(72,$F$17)=0,MOD((INT(72/$F$17)+1)-1,$F$13/5)=0),TEXT(INDEX($G$4:$G$53,(INT(72/$F$17)+1)),"#,##0"),"")</f>
        <v/>
      </c>
      <c r="J86">
        <f>IF(MOD(72,$F$17)=$F$17-1,0,INDEX($H$4:$H$53,(INT(72/$F$17)+1)))</f>
        <v/>
      </c>
      <c r="O86" t="n">
        <v>24600</v>
      </c>
      <c r="P86" t="n">
        <v>24750</v>
      </c>
      <c r="Q86" t="n">
        <v>40</v>
      </c>
      <c r="V86">
        <f>IF(AND(MOD(72,$S$17)=0,MOD((INT(72/$S$17)+1)-1,$S$13/5)=0),TEXT(INDEX($T$4:$T$53,(INT(72/$S$17)+1)),"#,##0"),"")</f>
        <v/>
      </c>
      <c r="W86">
        <f>IF(MOD(72,$S$17)=$S$17-1,0,INDEX($U$4:$U$53,(INT(72/$S$17)+1)))</f>
        <v/>
      </c>
      <c r="AB86" t="n">
        <v>12300</v>
      </c>
      <c r="AC86" t="n">
        <v>12375</v>
      </c>
      <c r="AD86" t="n">
        <v>68</v>
      </c>
      <c r="AI86">
        <f>IF(AND(MOD(72,$AF$17)=0,MOD((INT(72/$AF$17)+1)-1,$AF$13/5)=0),TEXT(INDEX($AG$4:$AG$53,(INT(72/$AF$17)+1)),"#,##0"),"")</f>
        <v/>
      </c>
      <c r="AJ86">
        <f>IF(MOD(72,$AF$17)=$AF$17-1,0,INDEX($AH$4:$AH$53,(INT(72/$AF$17)+1)))</f>
        <v/>
      </c>
    </row>
    <row r="87">
      <c r="B87" t="n">
        <v>674.5</v>
      </c>
      <c r="C87" t="n">
        <v>675.25</v>
      </c>
      <c r="D87" t="n">
        <v>53</v>
      </c>
      <c r="I87">
        <f>IF(AND(MOD(73,$F$17)=0,MOD((INT(73/$F$17)+1)-1,$F$13/5)=0),TEXT(INDEX($G$4:$G$53,(INT(73/$F$17)+1)),"#,##0"),"")</f>
        <v/>
      </c>
      <c r="J87">
        <f>IF(MOD(73,$F$17)=$F$17-1,0,INDEX($H$4:$H$53,(INT(73/$F$17)+1)))</f>
        <v/>
      </c>
      <c r="O87" t="n">
        <v>24900</v>
      </c>
      <c r="P87" t="n">
        <v>25050</v>
      </c>
      <c r="Q87" t="n">
        <v>39</v>
      </c>
      <c r="V87">
        <f>IF(AND(MOD(73,$S$17)=0,MOD((INT(73/$S$17)+1)-1,$S$13/5)=0),TEXT(INDEX($T$4:$T$53,(INT(73/$S$17)+1)),"#,##0"),"")</f>
        <v/>
      </c>
      <c r="W87">
        <f>IF(MOD(73,$S$17)=$S$17-1,0,INDEX($U$4:$U$53,(INT(73/$S$17)+1)))</f>
        <v/>
      </c>
      <c r="AB87" t="n">
        <v>12450</v>
      </c>
      <c r="AC87" t="n">
        <v>12525</v>
      </c>
      <c r="AD87" t="n">
        <v>76</v>
      </c>
      <c r="AI87">
        <f>IF(AND(MOD(73,$AF$17)=0,MOD((INT(73/$AF$17)+1)-1,$AF$13/5)=0),TEXT(INDEX($AG$4:$AG$53,(INT(73/$AF$17)+1)),"#,##0"),"")</f>
        <v/>
      </c>
      <c r="AJ87">
        <f>IF(MOD(73,$AF$17)=$AF$17-1,0,INDEX($AH$4:$AH$53,(INT(73/$AF$17)+1)))</f>
        <v/>
      </c>
    </row>
    <row r="88">
      <c r="B88" t="n">
        <v>676</v>
      </c>
      <c r="C88" t="n">
        <v>676.75</v>
      </c>
      <c r="D88" t="n">
        <v>92</v>
      </c>
      <c r="I88">
        <f>IF(AND(MOD(74,$F$17)=0,MOD((INT(74/$F$17)+1)-1,$F$13/5)=0),TEXT(INDEX($G$4:$G$53,(INT(74/$F$17)+1)),"#,##0"),"")</f>
        <v/>
      </c>
      <c r="J88">
        <f>IF(MOD(74,$F$17)=$F$17-1,0,INDEX($H$4:$H$53,(INT(74/$F$17)+1)))</f>
        <v/>
      </c>
      <c r="O88" t="n">
        <v>25200</v>
      </c>
      <c r="P88" t="n">
        <v>25350</v>
      </c>
      <c r="Q88" t="n">
        <v>47</v>
      </c>
      <c r="V88">
        <f>IF(AND(MOD(74,$S$17)=0,MOD((INT(74/$S$17)+1)-1,$S$13/5)=0),TEXT(INDEX($T$4:$T$53,(INT(74/$S$17)+1)),"#,##0"),"")</f>
        <v/>
      </c>
      <c r="W88">
        <f>IF(MOD(74,$S$17)=$S$17-1,0,INDEX($U$4:$U$53,(INT(74/$S$17)+1)))</f>
        <v/>
      </c>
      <c r="AB88" t="n">
        <v>12600</v>
      </c>
      <c r="AC88" t="n">
        <v>12675</v>
      </c>
      <c r="AD88" t="n">
        <v>83</v>
      </c>
      <c r="AI88">
        <f>IF(AND(MOD(74,$AF$17)=0,MOD((INT(74/$AF$17)+1)-1,$AF$13/5)=0),TEXT(INDEX($AG$4:$AG$53,(INT(74/$AF$17)+1)),"#,##0"),"")</f>
        <v/>
      </c>
      <c r="AJ88">
        <f>IF(MOD(74,$AF$17)=$AF$17-1,0,INDEX($AH$4:$AH$53,(INT(74/$AF$17)+1)))</f>
        <v/>
      </c>
    </row>
    <row r="89">
      <c r="B89" t="n">
        <v>677.5</v>
      </c>
      <c r="C89" t="n">
        <v>678.25</v>
      </c>
      <c r="D89" t="n">
        <v>57</v>
      </c>
      <c r="I89">
        <f>IF(AND(MOD(75,$F$17)=0,MOD((INT(75/$F$17)+1)-1,$F$13/5)=0),TEXT(INDEX($G$4:$G$53,(INT(75/$F$17)+1)),"#,##0"),"")</f>
        <v/>
      </c>
      <c r="J89">
        <f>IF(MOD(75,$F$17)=$F$17-1,0,INDEX($H$4:$H$53,(INT(75/$F$17)+1)))</f>
        <v/>
      </c>
      <c r="O89" t="n">
        <v>25500</v>
      </c>
      <c r="P89" t="n">
        <v>25650</v>
      </c>
      <c r="Q89" t="n">
        <v>46</v>
      </c>
      <c r="V89">
        <f>IF(AND(MOD(75,$S$17)=0,MOD((INT(75/$S$17)+1)-1,$S$13/5)=0),TEXT(INDEX($T$4:$T$53,(INT(75/$S$17)+1)),"#,##0"),"")</f>
        <v/>
      </c>
      <c r="W89">
        <f>IF(MOD(75,$S$17)=$S$17-1,0,INDEX($U$4:$U$53,(INT(75/$S$17)+1)))</f>
        <v/>
      </c>
      <c r="AB89" t="n">
        <v>12750</v>
      </c>
      <c r="AC89" t="n">
        <v>12825</v>
      </c>
      <c r="AD89" t="n">
        <v>56</v>
      </c>
      <c r="AI89">
        <f>IF(AND(MOD(75,$AF$17)=0,MOD((INT(75/$AF$17)+1)-1,$AF$13/5)=0),TEXT(INDEX($AG$4:$AG$53,(INT(75/$AF$17)+1)),"#,##0"),"")</f>
        <v/>
      </c>
      <c r="AJ89">
        <f>IF(MOD(75,$AF$17)=$AF$17-1,0,INDEX($AH$4:$AH$53,(INT(75/$AF$17)+1)))</f>
        <v/>
      </c>
    </row>
    <row r="90">
      <c r="B90" t="n">
        <v>679</v>
      </c>
      <c r="C90" t="n">
        <v>679.75</v>
      </c>
      <c r="D90" t="n">
        <v>103</v>
      </c>
      <c r="I90">
        <f>IF(AND(MOD(76,$F$17)=0,MOD((INT(76/$F$17)+1)-1,$F$13/5)=0),TEXT(INDEX($G$4:$G$53,(INT(76/$F$17)+1)),"#,##0"),"")</f>
        <v/>
      </c>
      <c r="J90">
        <f>IF(MOD(76,$F$17)=$F$17-1,0,INDEX($H$4:$H$53,(INT(76/$F$17)+1)))</f>
        <v/>
      </c>
      <c r="O90" t="n">
        <v>25800</v>
      </c>
      <c r="P90" t="n">
        <v>25950</v>
      </c>
      <c r="Q90" t="n">
        <v>41</v>
      </c>
      <c r="V90">
        <f>IF(AND(MOD(76,$S$17)=0,MOD((INT(76/$S$17)+1)-1,$S$13/5)=0),TEXT(INDEX($T$4:$T$53,(INT(76/$S$17)+1)),"#,##0"),"")</f>
        <v/>
      </c>
      <c r="W90">
        <f>IF(MOD(76,$S$17)=$S$17-1,0,INDEX($U$4:$U$53,(INT(76/$S$17)+1)))</f>
        <v/>
      </c>
      <c r="AB90" t="n">
        <v>12900</v>
      </c>
      <c r="AC90" t="n">
        <v>12975</v>
      </c>
      <c r="AD90" t="n">
        <v>66</v>
      </c>
      <c r="AI90">
        <f>IF(AND(MOD(76,$AF$17)=0,MOD((INT(76/$AF$17)+1)-1,$AF$13/5)=0),TEXT(INDEX($AG$4:$AG$53,(INT(76/$AF$17)+1)),"#,##0"),"")</f>
        <v/>
      </c>
      <c r="AJ90">
        <f>IF(MOD(76,$AF$17)=$AF$17-1,0,INDEX($AH$4:$AH$53,(INT(76/$AF$17)+1)))</f>
        <v/>
      </c>
    </row>
    <row r="91">
      <c r="B91" t="n">
        <v>680.5</v>
      </c>
      <c r="C91" t="n">
        <v>681.25</v>
      </c>
      <c r="D91" t="n">
        <v>34</v>
      </c>
      <c r="I91">
        <f>IF(AND(MOD(77,$F$17)=0,MOD((INT(77/$F$17)+1)-1,$F$13/5)=0),TEXT(INDEX($G$4:$G$53,(INT(77/$F$17)+1)),"#,##0"),"")</f>
        <v/>
      </c>
      <c r="J91">
        <f>IF(MOD(77,$F$17)=$F$17-1,0,INDEX($H$4:$H$53,(INT(77/$F$17)+1)))</f>
        <v/>
      </c>
      <c r="O91" t="n">
        <v>26100</v>
      </c>
      <c r="P91" t="n">
        <v>26250</v>
      </c>
      <c r="Q91" t="n">
        <v>48</v>
      </c>
      <c r="V91">
        <f>IF(AND(MOD(77,$S$17)=0,MOD((INT(77/$S$17)+1)-1,$S$13/5)=0),TEXT(INDEX($T$4:$T$53,(INT(77/$S$17)+1)),"#,##0"),"")</f>
        <v/>
      </c>
      <c r="W91">
        <f>IF(MOD(77,$S$17)=$S$17-1,0,INDEX($U$4:$U$53,(INT(77/$S$17)+1)))</f>
        <v/>
      </c>
      <c r="AB91" t="n">
        <v>13050</v>
      </c>
      <c r="AC91" t="n">
        <v>13125</v>
      </c>
      <c r="AD91" t="n">
        <v>69</v>
      </c>
      <c r="AI91">
        <f>IF(AND(MOD(77,$AF$17)=0,MOD((INT(77/$AF$17)+1)-1,$AF$13/5)=0),TEXT(INDEX($AG$4:$AG$53,(INT(77/$AF$17)+1)),"#,##0"),"")</f>
        <v/>
      </c>
      <c r="AJ91">
        <f>IF(MOD(77,$AF$17)=$AF$17-1,0,INDEX($AH$4:$AH$53,(INT(77/$AF$17)+1)))</f>
        <v/>
      </c>
    </row>
    <row r="92">
      <c r="B92" t="n">
        <v>682</v>
      </c>
      <c r="C92" t="n">
        <v>682.75</v>
      </c>
      <c r="D92" t="n">
        <v>109</v>
      </c>
      <c r="I92">
        <f>IF(AND(MOD(78,$F$17)=0,MOD((INT(78/$F$17)+1)-1,$F$13/5)=0),TEXT(INDEX($G$4:$G$53,(INT(78/$F$17)+1)),"#,##0"),"")</f>
        <v/>
      </c>
      <c r="J92">
        <f>IF(MOD(78,$F$17)=$F$17-1,0,INDEX($H$4:$H$53,(INT(78/$F$17)+1)))</f>
        <v/>
      </c>
      <c r="O92" t="n">
        <v>26400</v>
      </c>
      <c r="P92" t="n">
        <v>26550</v>
      </c>
      <c r="Q92" t="n">
        <v>41</v>
      </c>
      <c r="V92">
        <f>IF(AND(MOD(78,$S$17)=0,MOD((INT(78/$S$17)+1)-1,$S$13/5)=0),TEXT(INDEX($T$4:$T$53,(INT(78/$S$17)+1)),"#,##0"),"")</f>
        <v/>
      </c>
      <c r="W92">
        <f>IF(MOD(78,$S$17)=$S$17-1,0,INDEX($U$4:$U$53,(INT(78/$S$17)+1)))</f>
        <v/>
      </c>
      <c r="AB92" t="n">
        <v>13200</v>
      </c>
      <c r="AC92" t="n">
        <v>13275</v>
      </c>
      <c r="AD92" t="n">
        <v>59</v>
      </c>
      <c r="AI92">
        <f>IF(AND(MOD(78,$AF$17)=0,MOD((INT(78/$AF$17)+1)-1,$AF$13/5)=0),TEXT(INDEX($AG$4:$AG$53,(INT(78/$AF$17)+1)),"#,##0"),"")</f>
        <v/>
      </c>
      <c r="AJ92">
        <f>IF(MOD(78,$AF$17)=$AF$17-1,0,INDEX($AH$4:$AH$53,(INT(78/$AF$17)+1)))</f>
        <v/>
      </c>
    </row>
    <row r="93">
      <c r="B93" t="n">
        <v>683.5</v>
      </c>
      <c r="C93" t="n">
        <v>684.25</v>
      </c>
      <c r="D93" t="n">
        <v>52</v>
      </c>
      <c r="I93">
        <f>IF(AND(MOD(79,$F$17)=0,MOD((INT(79/$F$17)+1)-1,$F$13/5)=0),TEXT(INDEX($G$4:$G$53,(INT(79/$F$17)+1)),"#,##0"),"")</f>
        <v/>
      </c>
      <c r="J93">
        <f>IF(MOD(79,$F$17)=$F$17-1,0,INDEX($H$4:$H$53,(INT(79/$F$17)+1)))</f>
        <v/>
      </c>
      <c r="O93" t="n">
        <v>26700</v>
      </c>
      <c r="P93" t="n">
        <v>26850</v>
      </c>
      <c r="Q93" t="n">
        <v>43</v>
      </c>
      <c r="V93">
        <f>IF(AND(MOD(79,$S$17)=0,MOD((INT(79/$S$17)+1)-1,$S$13/5)=0),TEXT(INDEX($T$4:$T$53,(INT(79/$S$17)+1)),"#,##0"),"")</f>
        <v/>
      </c>
      <c r="W93">
        <f>IF(MOD(79,$S$17)=$S$17-1,0,INDEX($U$4:$U$53,(INT(79/$S$17)+1)))</f>
        <v/>
      </c>
      <c r="AB93" t="n">
        <v>13350</v>
      </c>
      <c r="AC93" t="n">
        <v>13425</v>
      </c>
      <c r="AD93" t="n">
        <v>77</v>
      </c>
      <c r="AI93">
        <f>IF(AND(MOD(79,$AF$17)=0,MOD((INT(79/$AF$17)+1)-1,$AF$13/5)=0),TEXT(INDEX($AG$4:$AG$53,(INT(79/$AF$17)+1)),"#,##0"),"")</f>
        <v/>
      </c>
      <c r="AJ93">
        <f>IF(MOD(79,$AF$17)=$AF$17-1,0,INDEX($AH$4:$AH$53,(INT(79/$AF$17)+1)))</f>
        <v/>
      </c>
    </row>
    <row r="94">
      <c r="B94" t="n">
        <v>685</v>
      </c>
      <c r="C94" t="n">
        <v>685.75</v>
      </c>
      <c r="D94" t="n">
        <v>116</v>
      </c>
      <c r="I94">
        <f>IF(AND(MOD(80,$F$17)=0,MOD((INT(80/$F$17)+1)-1,$F$13/5)=0),TEXT(INDEX($G$4:$G$53,(INT(80/$F$17)+1)),"#,##0"),"")</f>
        <v/>
      </c>
      <c r="J94">
        <f>IF(MOD(80,$F$17)=$F$17-1,0,INDEX($H$4:$H$53,(INT(80/$F$17)+1)))</f>
        <v/>
      </c>
      <c r="O94" t="n">
        <v>27000</v>
      </c>
      <c r="P94" t="n">
        <v>27150</v>
      </c>
      <c r="Q94" t="n">
        <v>39</v>
      </c>
      <c r="V94">
        <f>IF(AND(MOD(80,$S$17)=0,MOD((INT(80/$S$17)+1)-1,$S$13/5)=0),TEXT(INDEX($T$4:$T$53,(INT(80/$S$17)+1)),"#,##0"),"")</f>
        <v/>
      </c>
      <c r="W94">
        <f>IF(MOD(80,$S$17)=$S$17-1,0,INDEX($U$4:$U$53,(INT(80/$S$17)+1)))</f>
        <v/>
      </c>
      <c r="AB94" t="n">
        <v>13500</v>
      </c>
      <c r="AC94" t="n">
        <v>13575</v>
      </c>
      <c r="AD94" t="n">
        <v>80</v>
      </c>
      <c r="AI94">
        <f>IF(AND(MOD(80,$AF$17)=0,MOD((INT(80/$AF$17)+1)-1,$AF$13/5)=0),TEXT(INDEX($AG$4:$AG$53,(INT(80/$AF$17)+1)),"#,##0"),"")</f>
        <v/>
      </c>
      <c r="AJ94">
        <f>IF(MOD(80,$AF$17)=$AF$17-1,0,INDEX($AH$4:$AH$53,(INT(80/$AF$17)+1)))</f>
        <v/>
      </c>
    </row>
    <row r="95">
      <c r="B95" t="n">
        <v>686.5</v>
      </c>
      <c r="C95" t="n">
        <v>687.25</v>
      </c>
      <c r="D95" t="n">
        <v>53</v>
      </c>
      <c r="I95">
        <f>IF(AND(MOD(81,$F$17)=0,MOD((INT(81/$F$17)+1)-1,$F$13/5)=0),TEXT(INDEX($G$4:$G$53,(INT(81/$F$17)+1)),"#,##0"),"")</f>
        <v/>
      </c>
      <c r="J95">
        <f>IF(MOD(81,$F$17)=$F$17-1,0,INDEX($H$4:$H$53,(INT(81/$F$17)+1)))</f>
        <v/>
      </c>
      <c r="O95" t="n">
        <v>27300</v>
      </c>
      <c r="P95" t="n">
        <v>27450</v>
      </c>
      <c r="Q95" t="n">
        <v>45</v>
      </c>
      <c r="V95">
        <f>IF(AND(MOD(81,$S$17)=0,MOD((INT(81/$S$17)+1)-1,$S$13/5)=0),TEXT(INDEX($T$4:$T$53,(INT(81/$S$17)+1)),"#,##0"),"")</f>
        <v/>
      </c>
      <c r="W95">
        <f>IF(MOD(81,$S$17)=$S$17-1,0,INDEX($U$4:$U$53,(INT(81/$S$17)+1)))</f>
        <v/>
      </c>
      <c r="AB95" t="n">
        <v>13650</v>
      </c>
      <c r="AC95" t="n">
        <v>13725</v>
      </c>
      <c r="AD95" t="n">
        <v>63</v>
      </c>
      <c r="AI95">
        <f>IF(AND(MOD(81,$AF$17)=0,MOD((INT(81/$AF$17)+1)-1,$AF$13/5)=0),TEXT(INDEX($AG$4:$AG$53,(INT(81/$AF$17)+1)),"#,##0"),"")</f>
        <v/>
      </c>
      <c r="AJ95">
        <f>IF(MOD(81,$AF$17)=$AF$17-1,0,INDEX($AH$4:$AH$53,(INT(81/$AF$17)+1)))</f>
        <v/>
      </c>
    </row>
    <row r="96">
      <c r="B96" t="n">
        <v>688</v>
      </c>
      <c r="C96" t="n">
        <v>688.75</v>
      </c>
      <c r="D96" t="n">
        <v>129</v>
      </c>
      <c r="I96">
        <f>IF(AND(MOD(82,$F$17)=0,MOD((INT(82/$F$17)+1)-1,$F$13/5)=0),TEXT(INDEX($G$4:$G$53,(INT(82/$F$17)+1)),"#,##0"),"")</f>
        <v/>
      </c>
      <c r="J96">
        <f>IF(MOD(82,$F$17)=$F$17-1,0,INDEX($H$4:$H$53,(INT(82/$F$17)+1)))</f>
        <v/>
      </c>
      <c r="O96" t="n">
        <v>27600</v>
      </c>
      <c r="P96" t="n">
        <v>27750</v>
      </c>
      <c r="Q96" t="n">
        <v>39</v>
      </c>
      <c r="V96">
        <f>IF(AND(MOD(82,$S$17)=0,MOD((INT(82/$S$17)+1)-1,$S$13/5)=0),TEXT(INDEX($T$4:$T$53,(INT(82/$S$17)+1)),"#,##0"),"")</f>
        <v/>
      </c>
      <c r="W96">
        <f>IF(MOD(82,$S$17)=$S$17-1,0,INDEX($U$4:$U$53,(INT(82/$S$17)+1)))</f>
        <v/>
      </c>
      <c r="AB96" t="n">
        <v>13800</v>
      </c>
      <c r="AC96" t="n">
        <v>13875</v>
      </c>
      <c r="AD96" t="n">
        <v>81</v>
      </c>
      <c r="AI96">
        <f>IF(AND(MOD(82,$AF$17)=0,MOD((INT(82/$AF$17)+1)-1,$AF$13/5)=0),TEXT(INDEX($AG$4:$AG$53,(INT(82/$AF$17)+1)),"#,##0"),"")</f>
        <v/>
      </c>
      <c r="AJ96">
        <f>IF(MOD(82,$AF$17)=$AF$17-1,0,INDEX($AH$4:$AH$53,(INT(82/$AF$17)+1)))</f>
        <v/>
      </c>
    </row>
    <row r="97">
      <c r="B97" t="n">
        <v>689.5</v>
      </c>
      <c r="C97" t="n">
        <v>690.25</v>
      </c>
      <c r="D97" t="n">
        <v>60</v>
      </c>
      <c r="I97">
        <f>IF(AND(MOD(83,$F$17)=0,MOD((INT(83/$F$17)+1)-1,$F$13/5)=0),TEXT(INDEX($G$4:$G$53,(INT(83/$F$17)+1)),"#,##0"),"")</f>
        <v/>
      </c>
      <c r="J97">
        <f>IF(MOD(83,$F$17)=$F$17-1,0,INDEX($H$4:$H$53,(INT(83/$F$17)+1)))</f>
        <v/>
      </c>
      <c r="O97" t="n">
        <v>27900</v>
      </c>
      <c r="P97" t="n">
        <v>28050</v>
      </c>
      <c r="Q97" t="n">
        <v>38</v>
      </c>
      <c r="V97">
        <f>IF(AND(MOD(83,$S$17)=0,MOD((INT(83/$S$17)+1)-1,$S$13/5)=0),TEXT(INDEX($T$4:$T$53,(INT(83/$S$17)+1)),"#,##0"),"")</f>
        <v/>
      </c>
      <c r="W97">
        <f>IF(MOD(83,$S$17)=$S$17-1,0,INDEX($U$4:$U$53,(INT(83/$S$17)+1)))</f>
        <v/>
      </c>
      <c r="AB97" t="n">
        <v>13950</v>
      </c>
      <c r="AC97" t="n">
        <v>14025</v>
      </c>
      <c r="AD97" t="n">
        <v>58</v>
      </c>
      <c r="AI97">
        <f>IF(AND(MOD(83,$AF$17)=0,MOD((INT(83/$AF$17)+1)-1,$AF$13/5)=0),TEXT(INDEX($AG$4:$AG$53,(INT(83/$AF$17)+1)),"#,##0"),"")</f>
        <v/>
      </c>
      <c r="AJ97">
        <f>IF(MOD(83,$AF$17)=$AF$17-1,0,INDEX($AH$4:$AH$53,(INT(83/$AF$17)+1)))</f>
        <v/>
      </c>
    </row>
    <row r="98">
      <c r="B98" t="n">
        <v>691</v>
      </c>
      <c r="C98" t="n">
        <v>691.75</v>
      </c>
      <c r="D98" t="n">
        <v>134</v>
      </c>
      <c r="I98">
        <f>IF(AND(MOD(84,$F$17)=0,MOD((INT(84/$F$17)+1)-1,$F$13/5)=0),TEXT(INDEX($G$4:$G$53,(INT(84/$F$17)+1)),"#,##0"),"")</f>
        <v/>
      </c>
      <c r="J98">
        <f>IF(MOD(84,$F$17)=$F$17-1,0,INDEX($H$4:$H$53,(INT(84/$F$17)+1)))</f>
        <v/>
      </c>
      <c r="O98" t="n">
        <v>28200</v>
      </c>
      <c r="P98" t="n">
        <v>28350</v>
      </c>
      <c r="Q98" t="n">
        <v>44</v>
      </c>
      <c r="V98">
        <f>IF(AND(MOD(84,$S$17)=0,MOD((INT(84/$S$17)+1)-1,$S$13/5)=0),TEXT(INDEX($T$4:$T$53,(INT(84/$S$17)+1)),"#,##0"),"")</f>
        <v/>
      </c>
      <c r="W98">
        <f>IF(MOD(84,$S$17)=$S$17-1,0,INDEX($U$4:$U$53,(INT(84/$S$17)+1)))</f>
        <v/>
      </c>
      <c r="AB98" t="n">
        <v>14100</v>
      </c>
      <c r="AC98" t="n">
        <v>14175</v>
      </c>
      <c r="AD98" t="n">
        <v>58</v>
      </c>
      <c r="AI98">
        <f>IF(AND(MOD(84,$AF$17)=0,MOD((INT(84/$AF$17)+1)-1,$AF$13/5)=0),TEXT(INDEX($AG$4:$AG$53,(INT(84/$AF$17)+1)),"#,##0"),"")</f>
        <v/>
      </c>
      <c r="AJ98">
        <f>IF(MOD(84,$AF$17)=$AF$17-1,0,INDEX($AH$4:$AH$53,(INT(84/$AF$17)+1)))</f>
        <v/>
      </c>
    </row>
    <row r="99">
      <c r="B99" t="n">
        <v>692.5</v>
      </c>
      <c r="C99" t="n">
        <v>693.25</v>
      </c>
      <c r="D99" t="n">
        <v>58</v>
      </c>
      <c r="I99">
        <f>IF(AND(MOD(85,$F$17)=0,MOD((INT(85/$F$17)+1)-1,$F$13/5)=0),TEXT(INDEX($G$4:$G$53,(INT(85/$F$17)+1)),"#,##0"),"")</f>
        <v/>
      </c>
      <c r="J99">
        <f>IF(MOD(85,$F$17)=$F$17-1,0,INDEX($H$4:$H$53,(INT(85/$F$17)+1)))</f>
        <v/>
      </c>
      <c r="O99" t="n">
        <v>28500</v>
      </c>
      <c r="P99" t="n">
        <v>28650</v>
      </c>
      <c r="Q99" t="n">
        <v>41</v>
      </c>
      <c r="V99">
        <f>IF(AND(MOD(85,$S$17)=0,MOD((INT(85/$S$17)+1)-1,$S$13/5)=0),TEXT(INDEX($T$4:$T$53,(INT(85/$S$17)+1)),"#,##0"),"")</f>
        <v/>
      </c>
      <c r="W99">
        <f>IF(MOD(85,$S$17)=$S$17-1,0,INDEX($U$4:$U$53,(INT(85/$S$17)+1)))</f>
        <v/>
      </c>
      <c r="AB99" t="n">
        <v>14250</v>
      </c>
      <c r="AC99" t="n">
        <v>14325</v>
      </c>
      <c r="AD99" t="n">
        <v>41</v>
      </c>
      <c r="AI99">
        <f>IF(AND(MOD(85,$AF$17)=0,MOD((INT(85/$AF$17)+1)-1,$AF$13/5)=0),TEXT(INDEX($AG$4:$AG$53,(INT(85/$AF$17)+1)),"#,##0"),"")</f>
        <v/>
      </c>
      <c r="AJ99">
        <f>IF(MOD(85,$AF$17)=$AF$17-1,0,INDEX($AH$4:$AH$53,(INT(85/$AF$17)+1)))</f>
        <v/>
      </c>
    </row>
    <row r="100">
      <c r="B100" t="n">
        <v>694</v>
      </c>
      <c r="C100" t="n">
        <v>694.75</v>
      </c>
      <c r="D100" t="n">
        <v>110</v>
      </c>
      <c r="I100">
        <f>IF(AND(MOD(86,$F$17)=0,MOD((INT(86/$F$17)+1)-1,$F$13/5)=0),TEXT(INDEX($G$4:$G$53,(INT(86/$F$17)+1)),"#,##0"),"")</f>
        <v/>
      </c>
      <c r="J100">
        <f>IF(MOD(86,$F$17)=$F$17-1,0,INDEX($H$4:$H$53,(INT(86/$F$17)+1)))</f>
        <v/>
      </c>
      <c r="O100" t="n">
        <v>28800</v>
      </c>
      <c r="P100" t="n">
        <v>28950</v>
      </c>
      <c r="Q100" t="n">
        <v>40</v>
      </c>
      <c r="V100">
        <f>IF(AND(MOD(86,$S$17)=0,MOD((INT(86/$S$17)+1)-1,$S$13/5)=0),TEXT(INDEX($T$4:$T$53,(INT(86/$S$17)+1)),"#,##0"),"")</f>
        <v/>
      </c>
      <c r="W100">
        <f>IF(MOD(86,$S$17)=$S$17-1,0,INDEX($U$4:$U$53,(INT(86/$S$17)+1)))</f>
        <v/>
      </c>
      <c r="AB100" t="n">
        <v>14400</v>
      </c>
      <c r="AC100" t="n">
        <v>14475</v>
      </c>
      <c r="AD100" t="n">
        <v>67</v>
      </c>
      <c r="AI100">
        <f>IF(AND(MOD(86,$AF$17)=0,MOD((INT(86/$AF$17)+1)-1,$AF$13/5)=0),TEXT(INDEX($AG$4:$AG$53,(INT(86/$AF$17)+1)),"#,##0"),"")</f>
        <v/>
      </c>
      <c r="AJ100">
        <f>IF(MOD(86,$AF$17)=$AF$17-1,0,INDEX($AH$4:$AH$53,(INT(86/$AF$17)+1)))</f>
        <v/>
      </c>
    </row>
    <row r="101">
      <c r="B101" t="n">
        <v>695.5</v>
      </c>
      <c r="C101" t="n">
        <v>696.25</v>
      </c>
      <c r="D101" t="n">
        <v>52</v>
      </c>
      <c r="I101">
        <f>IF(AND(MOD(87,$F$17)=0,MOD((INT(87/$F$17)+1)-1,$F$13/5)=0),TEXT(INDEX($G$4:$G$53,(INT(87/$F$17)+1)),"#,##0"),"")</f>
        <v/>
      </c>
      <c r="J101">
        <f>IF(MOD(87,$F$17)=$F$17-1,0,INDEX($H$4:$H$53,(INT(87/$F$17)+1)))</f>
        <v/>
      </c>
      <c r="O101" t="n">
        <v>29100</v>
      </c>
      <c r="P101" t="n">
        <v>29250</v>
      </c>
      <c r="Q101" t="n">
        <v>47</v>
      </c>
      <c r="V101">
        <f>IF(AND(MOD(87,$S$17)=0,MOD((INT(87/$S$17)+1)-1,$S$13/5)=0),TEXT(INDEX($T$4:$T$53,(INT(87/$S$17)+1)),"#,##0"),"")</f>
        <v/>
      </c>
      <c r="W101">
        <f>IF(MOD(87,$S$17)=$S$17-1,0,INDEX($U$4:$U$53,(INT(87/$S$17)+1)))</f>
        <v/>
      </c>
      <c r="AB101" t="n">
        <v>14550</v>
      </c>
      <c r="AC101" t="n">
        <v>14625</v>
      </c>
      <c r="AD101" t="n">
        <v>58</v>
      </c>
      <c r="AI101">
        <f>IF(AND(MOD(87,$AF$17)=0,MOD((INT(87/$AF$17)+1)-1,$AF$13/5)=0),TEXT(INDEX($AG$4:$AG$53,(INT(87/$AF$17)+1)),"#,##0"),"")</f>
        <v/>
      </c>
      <c r="AJ101">
        <f>IF(MOD(87,$AF$17)=$AF$17-1,0,INDEX($AH$4:$AH$53,(INT(87/$AF$17)+1)))</f>
        <v/>
      </c>
    </row>
    <row r="102">
      <c r="B102" t="n">
        <v>697</v>
      </c>
      <c r="C102" t="n">
        <v>697.75</v>
      </c>
      <c r="D102" t="n">
        <v>115</v>
      </c>
      <c r="I102">
        <f>IF(AND(MOD(88,$F$17)=0,MOD((INT(88/$F$17)+1)-1,$F$13/5)=0),TEXT(INDEX($G$4:$G$53,(INT(88/$F$17)+1)),"#,##0"),"")</f>
        <v/>
      </c>
      <c r="J102">
        <f>IF(MOD(88,$F$17)=$F$17-1,0,INDEX($H$4:$H$53,(INT(88/$F$17)+1)))</f>
        <v/>
      </c>
      <c r="O102" t="n">
        <v>29400</v>
      </c>
      <c r="P102" t="n">
        <v>29550</v>
      </c>
      <c r="Q102" t="n">
        <v>35</v>
      </c>
      <c r="V102">
        <f>IF(AND(MOD(88,$S$17)=0,MOD((INT(88/$S$17)+1)-1,$S$13/5)=0),TEXT(INDEX($T$4:$T$53,(INT(88/$S$17)+1)),"#,##0"),"")</f>
        <v/>
      </c>
      <c r="W102">
        <f>IF(MOD(88,$S$17)=$S$17-1,0,INDEX($U$4:$U$53,(INT(88/$S$17)+1)))</f>
        <v/>
      </c>
      <c r="AB102" t="n">
        <v>14700</v>
      </c>
      <c r="AC102" t="n">
        <v>14775</v>
      </c>
      <c r="AD102" t="n">
        <v>56</v>
      </c>
      <c r="AI102">
        <f>IF(AND(MOD(88,$AF$17)=0,MOD((INT(88/$AF$17)+1)-1,$AF$13/5)=0),TEXT(INDEX($AG$4:$AG$53,(INT(88/$AF$17)+1)),"#,##0"),"")</f>
        <v/>
      </c>
      <c r="AJ102">
        <f>IF(MOD(88,$AF$17)=$AF$17-1,0,INDEX($AH$4:$AH$53,(INT(88/$AF$17)+1)))</f>
        <v/>
      </c>
    </row>
    <row r="103">
      <c r="B103" t="n">
        <v>698.5</v>
      </c>
      <c r="C103" t="n">
        <v>699.25</v>
      </c>
      <c r="D103" t="n">
        <v>56</v>
      </c>
      <c r="I103">
        <f>IF(AND(MOD(89,$F$17)=0,MOD((INT(89/$F$17)+1)-1,$F$13/5)=0),TEXT(INDEX($G$4:$G$53,(INT(89/$F$17)+1)),"#,##0"),"")</f>
        <v/>
      </c>
      <c r="J103">
        <f>IF(MOD(89,$F$17)=$F$17-1,0,INDEX($H$4:$H$53,(INT(89/$F$17)+1)))</f>
        <v/>
      </c>
      <c r="O103" t="n">
        <v>29700</v>
      </c>
      <c r="P103" t="n">
        <v>29850</v>
      </c>
      <c r="Q103" t="n">
        <v>43</v>
      </c>
      <c r="V103">
        <f>IF(AND(MOD(89,$S$17)=0,MOD((INT(89/$S$17)+1)-1,$S$13/5)=0),TEXT(INDEX($T$4:$T$53,(INT(89/$S$17)+1)),"#,##0"),"")</f>
        <v/>
      </c>
      <c r="W103">
        <f>IF(MOD(89,$S$17)=$S$17-1,0,INDEX($U$4:$U$53,(INT(89/$S$17)+1)))</f>
        <v/>
      </c>
      <c r="AB103" t="n">
        <v>14850</v>
      </c>
      <c r="AC103" t="n">
        <v>14925</v>
      </c>
      <c r="AD103" t="n">
        <v>58</v>
      </c>
      <c r="AI103">
        <f>IF(AND(MOD(89,$AF$17)=0,MOD((INT(89/$AF$17)+1)-1,$AF$13/5)=0),TEXT(INDEX($AG$4:$AG$53,(INT(89/$AF$17)+1)),"#,##0"),"")</f>
        <v/>
      </c>
      <c r="AJ103">
        <f>IF(MOD(89,$AF$17)=$AF$17-1,0,INDEX($AH$4:$AH$53,(INT(89/$AF$17)+1)))</f>
        <v/>
      </c>
    </row>
    <row r="104">
      <c r="B104" t="n">
        <v>700</v>
      </c>
      <c r="C104" t="n">
        <v>700.75</v>
      </c>
      <c r="D104" t="n">
        <v>117</v>
      </c>
      <c r="I104">
        <f>IF(AND(MOD(90,$F$17)=0,MOD((INT(90/$F$17)+1)-1,$F$13/5)=0),TEXT(INDEX($G$4:$G$53,(INT(90/$F$17)+1)),"#,##0"),"")</f>
        <v/>
      </c>
      <c r="J104">
        <f>IF(MOD(90,$F$17)=$F$17-1,0,INDEX($H$4:$H$53,(INT(90/$F$17)+1)))</f>
        <v/>
      </c>
      <c r="O104" t="n">
        <v>30000</v>
      </c>
      <c r="P104" t="n">
        <v>30150</v>
      </c>
      <c r="Q104" t="n">
        <v>38</v>
      </c>
      <c r="V104">
        <f>IF(AND(MOD(90,$S$17)=0,MOD((INT(90/$S$17)+1)-1,$S$13/5)=0),TEXT(INDEX($T$4:$T$53,(INT(90/$S$17)+1)),"#,##0"),"")</f>
        <v/>
      </c>
      <c r="W104">
        <f>IF(MOD(90,$S$17)=$S$17-1,0,INDEX($U$4:$U$53,(INT(90/$S$17)+1)))</f>
        <v/>
      </c>
      <c r="AB104" t="n">
        <v>15000</v>
      </c>
      <c r="AC104" t="n">
        <v>15075</v>
      </c>
      <c r="AD104" t="n">
        <v>59</v>
      </c>
      <c r="AI104">
        <f>IF(AND(MOD(90,$AF$17)=0,MOD((INT(90/$AF$17)+1)-1,$AF$13/5)=0),TEXT(INDEX($AG$4:$AG$53,(INT(90/$AF$17)+1)),"#,##0"),"")</f>
        <v/>
      </c>
      <c r="AJ104">
        <f>IF(MOD(90,$AF$17)=$AF$17-1,0,INDEX($AH$4:$AH$53,(INT(90/$AF$17)+1)))</f>
        <v/>
      </c>
    </row>
    <row r="105">
      <c r="B105" t="n">
        <v>701.5</v>
      </c>
      <c r="C105" t="n">
        <v>702.25</v>
      </c>
      <c r="D105" t="n">
        <v>55</v>
      </c>
      <c r="I105">
        <f>IF(AND(MOD(91,$F$17)=0,MOD((INT(91/$F$17)+1)-1,$F$13/5)=0),TEXT(INDEX($G$4:$G$53,(INT(91/$F$17)+1)),"#,##0"),"")</f>
        <v/>
      </c>
      <c r="J105">
        <f>IF(MOD(91,$F$17)=$F$17-1,0,INDEX($H$4:$H$53,(INT(91/$F$17)+1)))</f>
        <v/>
      </c>
      <c r="O105" t="n">
        <v>30300</v>
      </c>
      <c r="P105" t="n">
        <v>30450</v>
      </c>
      <c r="Q105" t="n">
        <v>42</v>
      </c>
      <c r="V105">
        <f>IF(AND(MOD(91,$S$17)=0,MOD((INT(91/$S$17)+1)-1,$S$13/5)=0),TEXT(INDEX($T$4:$T$53,(INT(91/$S$17)+1)),"#,##0"),"")</f>
        <v/>
      </c>
      <c r="W105">
        <f>IF(MOD(91,$S$17)=$S$17-1,0,INDEX($U$4:$U$53,(INT(91/$S$17)+1)))</f>
        <v/>
      </c>
      <c r="AB105" t="n">
        <v>15150</v>
      </c>
      <c r="AC105" t="n">
        <v>15225</v>
      </c>
      <c r="AD105" t="n">
        <v>62</v>
      </c>
      <c r="AI105">
        <f>IF(AND(MOD(91,$AF$17)=0,MOD((INT(91/$AF$17)+1)-1,$AF$13/5)=0),TEXT(INDEX($AG$4:$AG$53,(INT(91/$AF$17)+1)),"#,##0"),"")</f>
        <v/>
      </c>
      <c r="AJ105">
        <f>IF(MOD(91,$AF$17)=$AF$17-1,0,INDEX($AH$4:$AH$53,(INT(91/$AF$17)+1)))</f>
        <v/>
      </c>
    </row>
    <row r="106">
      <c r="B106" t="n">
        <v>703</v>
      </c>
      <c r="C106" t="n">
        <v>703.75</v>
      </c>
      <c r="D106" t="n">
        <v>120</v>
      </c>
      <c r="I106">
        <f>IF(AND(MOD(92,$F$17)=0,MOD((INT(92/$F$17)+1)-1,$F$13/5)=0),TEXT(INDEX($G$4:$G$53,(INT(92/$F$17)+1)),"#,##0"),"")</f>
        <v/>
      </c>
      <c r="J106">
        <f>IF(MOD(92,$F$17)=$F$17-1,0,INDEX($H$4:$H$53,(INT(92/$F$17)+1)))</f>
        <v/>
      </c>
      <c r="O106" t="n">
        <v>30600</v>
      </c>
      <c r="P106" t="n">
        <v>30750</v>
      </c>
      <c r="Q106" t="n">
        <v>46</v>
      </c>
      <c r="V106">
        <f>IF(AND(MOD(92,$S$17)=0,MOD((INT(92/$S$17)+1)-1,$S$13/5)=0),TEXT(INDEX($T$4:$T$53,(INT(92/$S$17)+1)),"#,##0"),"")</f>
        <v/>
      </c>
      <c r="W106">
        <f>IF(MOD(92,$S$17)=$S$17-1,0,INDEX($U$4:$U$53,(INT(92/$S$17)+1)))</f>
        <v/>
      </c>
      <c r="AB106" t="n">
        <v>15300</v>
      </c>
      <c r="AC106" t="n">
        <v>15375</v>
      </c>
      <c r="AD106" t="n">
        <v>62</v>
      </c>
      <c r="AI106">
        <f>IF(AND(MOD(92,$AF$17)=0,MOD((INT(92/$AF$17)+1)-1,$AF$13/5)=0),TEXT(INDEX($AG$4:$AG$53,(INT(92/$AF$17)+1)),"#,##0"),"")</f>
        <v/>
      </c>
      <c r="AJ106">
        <f>IF(MOD(92,$AF$17)=$AF$17-1,0,INDEX($AH$4:$AH$53,(INT(92/$AF$17)+1)))</f>
        <v/>
      </c>
    </row>
    <row r="107">
      <c r="B107" t="n">
        <v>704.5</v>
      </c>
      <c r="C107" t="n">
        <v>705.25</v>
      </c>
      <c r="D107" t="n">
        <v>49</v>
      </c>
      <c r="I107">
        <f>IF(AND(MOD(93,$F$17)=0,MOD((INT(93/$F$17)+1)-1,$F$13/5)=0),TEXT(INDEX($G$4:$G$53,(INT(93/$F$17)+1)),"#,##0"),"")</f>
        <v/>
      </c>
      <c r="J107">
        <f>IF(MOD(93,$F$17)=$F$17-1,0,INDEX($H$4:$H$53,(INT(93/$F$17)+1)))</f>
        <v/>
      </c>
      <c r="O107" t="n">
        <v>30900</v>
      </c>
      <c r="P107" t="n">
        <v>31050</v>
      </c>
      <c r="Q107" t="n">
        <v>37</v>
      </c>
      <c r="V107">
        <f>IF(AND(MOD(93,$S$17)=0,MOD((INT(93/$S$17)+1)-1,$S$13/5)=0),TEXT(INDEX($T$4:$T$53,(INT(93/$S$17)+1)),"#,##0"),"")</f>
        <v/>
      </c>
      <c r="W107">
        <f>IF(MOD(93,$S$17)=$S$17-1,0,INDEX($U$4:$U$53,(INT(93/$S$17)+1)))</f>
        <v/>
      </c>
      <c r="AB107" t="n">
        <v>15450</v>
      </c>
      <c r="AC107" t="n">
        <v>15525</v>
      </c>
      <c r="AD107" t="n">
        <v>61</v>
      </c>
      <c r="AI107">
        <f>IF(AND(MOD(93,$AF$17)=0,MOD((INT(93/$AF$17)+1)-1,$AF$13/5)=0),TEXT(INDEX($AG$4:$AG$53,(INT(93/$AF$17)+1)),"#,##0"),"")</f>
        <v/>
      </c>
      <c r="AJ107">
        <f>IF(MOD(93,$AF$17)=$AF$17-1,0,INDEX($AH$4:$AH$53,(INT(93/$AF$17)+1)))</f>
        <v/>
      </c>
    </row>
    <row r="108">
      <c r="B108" t="n">
        <v>706</v>
      </c>
      <c r="C108" t="n">
        <v>706.75</v>
      </c>
      <c r="D108" t="n">
        <v>128</v>
      </c>
      <c r="I108">
        <f>IF(AND(MOD(94,$F$17)=0,MOD((INT(94/$F$17)+1)-1,$F$13/5)=0),TEXT(INDEX($G$4:$G$53,(INT(94/$F$17)+1)),"#,##0"),"")</f>
        <v/>
      </c>
      <c r="J108">
        <f>IF(MOD(94,$F$17)=$F$17-1,0,INDEX($H$4:$H$53,(INT(94/$F$17)+1)))</f>
        <v/>
      </c>
      <c r="O108" t="n">
        <v>31200</v>
      </c>
      <c r="P108" t="n">
        <v>31350</v>
      </c>
      <c r="Q108" t="n">
        <v>38</v>
      </c>
      <c r="V108">
        <f>IF(AND(MOD(94,$S$17)=0,MOD((INT(94/$S$17)+1)-1,$S$13/5)=0),TEXT(INDEX($T$4:$T$53,(INT(94/$S$17)+1)),"#,##0"),"")</f>
        <v/>
      </c>
      <c r="W108">
        <f>IF(MOD(94,$S$17)=$S$17-1,0,INDEX($U$4:$U$53,(INT(94/$S$17)+1)))</f>
        <v/>
      </c>
      <c r="AB108" t="n">
        <v>15600</v>
      </c>
      <c r="AC108" t="n">
        <v>15675</v>
      </c>
      <c r="AD108" t="n">
        <v>57</v>
      </c>
      <c r="AI108">
        <f>IF(AND(MOD(94,$AF$17)=0,MOD((INT(94/$AF$17)+1)-1,$AF$13/5)=0),TEXT(INDEX($AG$4:$AG$53,(INT(94/$AF$17)+1)),"#,##0"),"")</f>
        <v/>
      </c>
      <c r="AJ108">
        <f>IF(MOD(94,$AF$17)=$AF$17-1,0,INDEX($AH$4:$AH$53,(INT(94/$AF$17)+1)))</f>
        <v/>
      </c>
    </row>
    <row r="109">
      <c r="B109" t="n">
        <v>707.5</v>
      </c>
      <c r="C109" t="n">
        <v>708.25</v>
      </c>
      <c r="D109" t="n">
        <v>76</v>
      </c>
      <c r="I109">
        <f>IF(AND(MOD(95,$F$17)=0,MOD((INT(95/$F$17)+1)-1,$F$13/5)=0),TEXT(INDEX($G$4:$G$53,(INT(95/$F$17)+1)),"#,##0"),"")</f>
        <v/>
      </c>
      <c r="J109">
        <f>IF(MOD(95,$F$17)=$F$17-1,0,INDEX($H$4:$H$53,(INT(95/$F$17)+1)))</f>
        <v/>
      </c>
      <c r="O109" t="n">
        <v>31500</v>
      </c>
      <c r="P109" t="n">
        <v>31650</v>
      </c>
      <c r="Q109" t="n">
        <v>49</v>
      </c>
      <c r="V109">
        <f>IF(AND(MOD(95,$S$17)=0,MOD((INT(95/$S$17)+1)-1,$S$13/5)=0),TEXT(INDEX($T$4:$T$53,(INT(95/$S$17)+1)),"#,##0"),"")</f>
        <v/>
      </c>
      <c r="W109">
        <f>IF(MOD(95,$S$17)=$S$17-1,0,INDEX($U$4:$U$53,(INT(95/$S$17)+1)))</f>
        <v/>
      </c>
      <c r="AB109" t="n">
        <v>15750</v>
      </c>
      <c r="AC109" t="n">
        <v>15825</v>
      </c>
      <c r="AD109" t="n">
        <v>58</v>
      </c>
      <c r="AI109">
        <f>IF(AND(MOD(95,$AF$17)=0,MOD((INT(95/$AF$17)+1)-1,$AF$13/5)=0),TEXT(INDEX($AG$4:$AG$53,(INT(95/$AF$17)+1)),"#,##0"),"")</f>
        <v/>
      </c>
      <c r="AJ109">
        <f>IF(MOD(95,$AF$17)=$AF$17-1,0,INDEX($AH$4:$AH$53,(INT(95/$AF$17)+1)))</f>
        <v/>
      </c>
    </row>
    <row r="110">
      <c r="B110" t="n">
        <v>709</v>
      </c>
      <c r="C110" t="n">
        <v>709.75</v>
      </c>
      <c r="D110" t="n">
        <v>120</v>
      </c>
      <c r="I110">
        <f>IF(AND(MOD(96,$F$17)=0,MOD((INT(96/$F$17)+1)-1,$F$13/5)=0),TEXT(INDEX($G$4:$G$53,(INT(96/$F$17)+1)),"#,##0"),"")</f>
        <v/>
      </c>
      <c r="J110">
        <f>IF(MOD(96,$F$17)=$F$17-1,0,INDEX($H$4:$H$53,(INT(96/$F$17)+1)))</f>
        <v/>
      </c>
      <c r="O110" t="n">
        <v>31800</v>
      </c>
      <c r="P110" t="n">
        <v>31950</v>
      </c>
      <c r="Q110" t="n">
        <v>43</v>
      </c>
      <c r="V110">
        <f>IF(AND(MOD(96,$S$17)=0,MOD((INT(96/$S$17)+1)-1,$S$13/5)=0),TEXT(INDEX($T$4:$T$53,(INT(96/$S$17)+1)),"#,##0"),"")</f>
        <v/>
      </c>
      <c r="W110">
        <f>IF(MOD(96,$S$17)=$S$17-1,0,INDEX($U$4:$U$53,(INT(96/$S$17)+1)))</f>
        <v/>
      </c>
      <c r="AB110" t="n">
        <v>15900</v>
      </c>
      <c r="AC110" t="n">
        <v>15975</v>
      </c>
      <c r="AD110" t="n">
        <v>51</v>
      </c>
      <c r="AI110">
        <f>IF(AND(MOD(96,$AF$17)=0,MOD((INT(96/$AF$17)+1)-1,$AF$13/5)=0),TEXT(INDEX($AG$4:$AG$53,(INT(96/$AF$17)+1)),"#,##0"),"")</f>
        <v/>
      </c>
      <c r="AJ110">
        <f>IF(MOD(96,$AF$17)=$AF$17-1,0,INDEX($AH$4:$AH$53,(INT(96/$AF$17)+1)))</f>
        <v/>
      </c>
    </row>
    <row r="111">
      <c r="B111" t="n">
        <v>710.5</v>
      </c>
      <c r="C111" t="n">
        <v>711.25</v>
      </c>
      <c r="D111" t="n">
        <v>70</v>
      </c>
      <c r="I111">
        <f>IF(AND(MOD(97,$F$17)=0,MOD((INT(97/$F$17)+1)-1,$F$13/5)=0),TEXT(INDEX($G$4:$G$53,(INT(97/$F$17)+1)),"#,##0"),"")</f>
        <v/>
      </c>
      <c r="J111">
        <f>IF(MOD(97,$F$17)=$F$17-1,0,INDEX($H$4:$H$53,(INT(97/$F$17)+1)))</f>
        <v/>
      </c>
      <c r="O111" t="n">
        <v>32100</v>
      </c>
      <c r="P111" t="n">
        <v>32250</v>
      </c>
      <c r="Q111" t="n">
        <v>48</v>
      </c>
      <c r="V111">
        <f>IF(AND(MOD(97,$S$17)=0,MOD((INT(97/$S$17)+1)-1,$S$13/5)=0),TEXT(INDEX($T$4:$T$53,(INT(97/$S$17)+1)),"#,##0"),"")</f>
        <v/>
      </c>
      <c r="W111">
        <f>IF(MOD(97,$S$17)=$S$17-1,0,INDEX($U$4:$U$53,(INT(97/$S$17)+1)))</f>
        <v/>
      </c>
      <c r="AB111" t="n">
        <v>16050</v>
      </c>
      <c r="AC111" t="n">
        <v>16125</v>
      </c>
      <c r="AD111" t="n">
        <v>51</v>
      </c>
      <c r="AI111">
        <f>IF(AND(MOD(97,$AF$17)=0,MOD((INT(97/$AF$17)+1)-1,$AF$13/5)=0),TEXT(INDEX($AG$4:$AG$53,(INT(97/$AF$17)+1)),"#,##0"),"")</f>
        <v/>
      </c>
      <c r="AJ111">
        <f>IF(MOD(97,$AF$17)=$AF$17-1,0,INDEX($AH$4:$AH$53,(INT(97/$AF$17)+1)))</f>
        <v/>
      </c>
    </row>
    <row r="112">
      <c r="B112" t="n">
        <v>712</v>
      </c>
      <c r="C112" t="n">
        <v>712.75</v>
      </c>
      <c r="D112" t="n">
        <v>108</v>
      </c>
      <c r="I112">
        <f>IF(AND(MOD(98,$F$17)=0,MOD((INT(98/$F$17)+1)-1,$F$13/5)=0),TEXT(INDEX($G$4:$G$53,(INT(98/$F$17)+1)),"#,##0"),"")</f>
        <v/>
      </c>
      <c r="J112">
        <f>IF(MOD(98,$F$17)=$F$17-1,0,INDEX($H$4:$H$53,(INT(98/$F$17)+1)))</f>
        <v/>
      </c>
      <c r="O112" t="n">
        <v>32400</v>
      </c>
      <c r="P112" t="n">
        <v>32550</v>
      </c>
      <c r="Q112" t="n">
        <v>36</v>
      </c>
      <c r="V112">
        <f>IF(AND(MOD(98,$S$17)=0,MOD((INT(98/$S$17)+1)-1,$S$13/5)=0),TEXT(INDEX($T$4:$T$53,(INT(98/$S$17)+1)),"#,##0"),"")</f>
        <v/>
      </c>
      <c r="W112">
        <f>IF(MOD(98,$S$17)=$S$17-1,0,INDEX($U$4:$U$53,(INT(98/$S$17)+1)))</f>
        <v/>
      </c>
      <c r="AB112" t="n">
        <v>16200</v>
      </c>
      <c r="AC112" t="n">
        <v>16275</v>
      </c>
      <c r="AD112" t="n">
        <v>48</v>
      </c>
      <c r="AI112">
        <f>IF(AND(MOD(98,$AF$17)=0,MOD((INT(98/$AF$17)+1)-1,$AF$13/5)=0),TEXT(INDEX($AG$4:$AG$53,(INT(98/$AF$17)+1)),"#,##0"),"")</f>
        <v/>
      </c>
      <c r="AJ112">
        <f>IF(MOD(98,$AF$17)=$AF$17-1,0,INDEX($AH$4:$AH$53,(INT(98/$AF$17)+1)))</f>
        <v/>
      </c>
    </row>
    <row r="113">
      <c r="B113" t="n">
        <v>713.5</v>
      </c>
      <c r="C113" t="n">
        <v>714.25</v>
      </c>
      <c r="D113" t="n">
        <v>46</v>
      </c>
      <c r="I113">
        <f>IF(AND(MOD(99,$F$17)=0,MOD((INT(99/$F$17)+1)-1,$F$13/5)=0),TEXT(INDEX($G$4:$G$53,(INT(99/$F$17)+1)),"#,##0"),"")</f>
        <v/>
      </c>
      <c r="J113">
        <f>IF(MOD(99,$F$17)=$F$17-1,0,INDEX($H$4:$H$53,(INT(99/$F$17)+1)))</f>
        <v/>
      </c>
      <c r="O113" t="n">
        <v>32700</v>
      </c>
      <c r="P113" t="n">
        <v>32850</v>
      </c>
      <c r="Q113" t="n">
        <v>41</v>
      </c>
      <c r="V113">
        <f>IF(AND(MOD(99,$S$17)=0,MOD((INT(99/$S$17)+1)-1,$S$13/5)=0),TEXT(INDEX($T$4:$T$53,(INT(99/$S$17)+1)),"#,##0"),"")</f>
        <v/>
      </c>
      <c r="W113">
        <f>IF(MOD(99,$S$17)=$S$17-1,0,INDEX($U$4:$U$53,(INT(99/$S$17)+1)))</f>
        <v/>
      </c>
      <c r="AB113" t="n">
        <v>16350</v>
      </c>
      <c r="AC113" t="n">
        <v>16425</v>
      </c>
      <c r="AD113" t="n">
        <v>52</v>
      </c>
      <c r="AI113">
        <f>IF(AND(MOD(99,$AF$17)=0,MOD((INT(99/$AF$17)+1)-1,$AF$13/5)=0),TEXT(INDEX($AG$4:$AG$53,(INT(99/$AF$17)+1)),"#,##0"),"")</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ORIG_BAL</t>
        </is>
      </c>
      <c r="D3" t="inlineStr">
        <is>
          <t>REV_DEBT</t>
        </is>
      </c>
    </row>
    <row r="4">
      <c r="A4" t="n">
        <v>716</v>
      </c>
      <c r="B4" t="n">
        <v>10811.91</v>
      </c>
      <c r="C4" t="n">
        <v>27999.47</v>
      </c>
      <c r="D4" t="n">
        <v>12884.7</v>
      </c>
    </row>
    <row r="5">
      <c r="A5" t="n">
        <v>717</v>
      </c>
      <c r="B5" t="n">
        <v>11645.78</v>
      </c>
      <c r="C5" t="n">
        <v>36988.01</v>
      </c>
      <c r="D5" t="n">
        <v>12480.23</v>
      </c>
    </row>
    <row r="6">
      <c r="A6" t="n">
        <v>770</v>
      </c>
      <c r="B6" t="n">
        <v>668.41</v>
      </c>
      <c r="C6" t="n">
        <v>24259.81</v>
      </c>
      <c r="D6" t="n">
        <v>7261.58</v>
      </c>
    </row>
    <row r="7">
      <c r="A7" t="n">
        <v>595</v>
      </c>
      <c r="B7" t="n">
        <v>0</v>
      </c>
      <c r="C7" t="n">
        <v>43337.31</v>
      </c>
      <c r="D7" t="n">
        <v>668.41</v>
      </c>
    </row>
    <row r="8">
      <c r="A8" t="n">
        <v>695</v>
      </c>
      <c r="B8" t="n">
        <v>6739.48</v>
      </c>
      <c r="C8" t="n">
        <v>11440.27</v>
      </c>
      <c r="D8" t="n">
        <v>7718.59</v>
      </c>
    </row>
    <row r="9">
      <c r="A9" t="n">
        <v>717</v>
      </c>
      <c r="B9" t="n">
        <v>8243.049999999999</v>
      </c>
      <c r="C9" t="n">
        <v>14691.98</v>
      </c>
      <c r="D9" t="n">
        <v>16870.13</v>
      </c>
    </row>
    <row r="10">
      <c r="A10" t="n">
        <v>688</v>
      </c>
      <c r="B10" t="n">
        <v>15413.06</v>
      </c>
      <c r="C10" t="n">
        <v>5225.15</v>
      </c>
      <c r="D10" t="n">
        <v>8243.049999999999</v>
      </c>
    </row>
    <row r="11">
      <c r="A11" t="n">
        <v>676</v>
      </c>
      <c r="B11" t="n">
        <v>6628.2</v>
      </c>
      <c r="C11" t="n">
        <v>12926.46</v>
      </c>
      <c r="D11" t="n">
        <v>17445.33</v>
      </c>
    </row>
    <row r="12">
      <c r="A12" t="n">
        <v>675</v>
      </c>
      <c r="B12" t="n">
        <v>16896.53</v>
      </c>
      <c r="C12" t="n">
        <v>52482.88</v>
      </c>
      <c r="D12" t="n">
        <v>8789.790000000001</v>
      </c>
    </row>
    <row r="13">
      <c r="A13" t="n">
        <v>650</v>
      </c>
      <c r="B13" t="n">
        <v>16145.24</v>
      </c>
      <c r="C13" t="n">
        <v>59342.09</v>
      </c>
      <c r="D13" t="n">
        <v>10747.07</v>
      </c>
    </row>
    <row r="14">
      <c r="A14" t="n">
        <v>707</v>
      </c>
      <c r="B14" t="n">
        <v>9492.4</v>
      </c>
      <c r="C14" t="n">
        <v>39323.65</v>
      </c>
      <c r="D14" t="n">
        <v>16145.24</v>
      </c>
    </row>
    <row r="15">
      <c r="A15" t="n">
        <v>665</v>
      </c>
      <c r="B15" t="n">
        <v>14647.48</v>
      </c>
      <c r="C15" t="n">
        <v>11594.7</v>
      </c>
      <c r="D15" t="n">
        <v>9492.4</v>
      </c>
    </row>
    <row r="16">
      <c r="A16" t="n">
        <v>727</v>
      </c>
      <c r="B16" t="n">
        <v>11777.39</v>
      </c>
      <c r="C16" t="n">
        <v>23288.45</v>
      </c>
      <c r="D16" t="n">
        <v>14647.48</v>
      </c>
    </row>
    <row r="17">
      <c r="A17" t="n">
        <v>845</v>
      </c>
      <c r="B17" t="n">
        <v>3652.97</v>
      </c>
      <c r="C17" t="n">
        <v>56560.71</v>
      </c>
      <c r="D17" t="n">
        <v>0</v>
      </c>
    </row>
    <row r="18">
      <c r="A18" t="n">
        <v>717</v>
      </c>
      <c r="B18" t="n">
        <v>7960.03</v>
      </c>
      <c r="C18" t="n">
        <v>10652.46</v>
      </c>
      <c r="D18" t="n">
        <v>3652.97</v>
      </c>
    </row>
    <row r="19">
      <c r="A19" t="n">
        <v>667</v>
      </c>
      <c r="B19" t="n">
        <v>15449.98</v>
      </c>
      <c r="C19" t="n">
        <v>12191.98</v>
      </c>
      <c r="D19" t="n">
        <v>5240.77</v>
      </c>
    </row>
    <row r="20">
      <c r="A20" t="n">
        <v>638</v>
      </c>
      <c r="B20" t="n">
        <v>14045.24</v>
      </c>
      <c r="C20" t="n">
        <v>22908.75</v>
      </c>
      <c r="D20" t="n">
        <v>100.68</v>
      </c>
    </row>
    <row r="21">
      <c r="A21" t="n">
        <v>636</v>
      </c>
      <c r="B21" t="n">
        <v>15067.64</v>
      </c>
      <c r="C21" t="n">
        <v>19606.03</v>
      </c>
      <c r="D21" t="n">
        <v>21221.28</v>
      </c>
    </row>
    <row r="22">
      <c r="A22" t="n">
        <v>746</v>
      </c>
      <c r="B22" t="n">
        <v>12931.5</v>
      </c>
      <c r="C22" t="n">
        <v>39894.17</v>
      </c>
      <c r="D22" t="n">
        <v>7790.73</v>
      </c>
    </row>
    <row r="23">
      <c r="A23" t="n">
        <v>770</v>
      </c>
      <c r="B23" t="n">
        <v>5759.68</v>
      </c>
      <c r="C23" t="n">
        <v>5635.05</v>
      </c>
      <c r="D23" t="n">
        <v>8187.39</v>
      </c>
    </row>
    <row r="24">
      <c r="A24" t="n">
        <v>811</v>
      </c>
      <c r="B24" t="n">
        <v>1238.4</v>
      </c>
      <c r="C24" t="n">
        <v>7032.21</v>
      </c>
      <c r="D24" t="n">
        <v>23071.19</v>
      </c>
    </row>
    <row r="25">
      <c r="A25" t="n">
        <v>708</v>
      </c>
      <c r="B25" t="n">
        <v>4378.93</v>
      </c>
      <c r="C25" t="n">
        <v>51537.35</v>
      </c>
      <c r="D25" t="n">
        <v>8055.27</v>
      </c>
    </row>
    <row r="26">
      <c r="A26" t="n">
        <v>672</v>
      </c>
      <c r="B26" t="n">
        <v>9695.58</v>
      </c>
      <c r="C26" t="n">
        <v>53634.66</v>
      </c>
      <c r="D26" t="n">
        <v>2446.05</v>
      </c>
    </row>
    <row r="27">
      <c r="A27" t="n">
        <v>708</v>
      </c>
      <c r="B27" t="n">
        <v>2192.04</v>
      </c>
      <c r="C27" t="n">
        <v>11923.06</v>
      </c>
      <c r="D27" t="n">
        <v>10855.78</v>
      </c>
    </row>
    <row r="28">
      <c r="A28" t="n">
        <v>749</v>
      </c>
      <c r="B28" t="n">
        <v>1928.74</v>
      </c>
      <c r="C28" t="n">
        <v>57466.9</v>
      </c>
      <c r="D28" t="n">
        <v>22309.43</v>
      </c>
    </row>
    <row r="29">
      <c r="A29" t="n">
        <v>728</v>
      </c>
      <c r="B29" t="n">
        <v>10340.66</v>
      </c>
      <c r="C29" t="n">
        <v>18665.59</v>
      </c>
      <c r="D29" t="n">
        <v>1928.74</v>
      </c>
    </row>
    <row r="30">
      <c r="A30" t="n">
        <v>657</v>
      </c>
      <c r="B30" t="n">
        <v>26053.25</v>
      </c>
      <c r="C30" t="n">
        <v>55595.61</v>
      </c>
      <c r="D30" t="n">
        <v>10340.66</v>
      </c>
    </row>
    <row r="31">
      <c r="A31" t="n">
        <v>689</v>
      </c>
      <c r="B31" t="n">
        <v>7362.47</v>
      </c>
      <c r="C31" t="n">
        <v>31141.73</v>
      </c>
      <c r="D31" t="n">
        <v>26053.25</v>
      </c>
    </row>
    <row r="32">
      <c r="A32" t="n">
        <v>740</v>
      </c>
      <c r="B32" t="n">
        <v>20583.1</v>
      </c>
      <c r="C32" t="n">
        <v>6198.31</v>
      </c>
      <c r="D32" t="n">
        <v>21594.51</v>
      </c>
    </row>
    <row r="33">
      <c r="A33" t="n">
        <v>831</v>
      </c>
      <c r="B33" t="n">
        <v>2900.23</v>
      </c>
      <c r="C33" t="n">
        <v>8456.85</v>
      </c>
      <c r="D33" t="n">
        <v>8147.15</v>
      </c>
    </row>
    <row r="34">
      <c r="A34" t="n">
        <v>692</v>
      </c>
      <c r="B34" t="n">
        <v>12496.14</v>
      </c>
      <c r="C34" t="n">
        <v>44414.97</v>
      </c>
      <c r="D34" t="n">
        <v>10672.84</v>
      </c>
    </row>
    <row r="35">
      <c r="A35" t="n">
        <v>685</v>
      </c>
      <c r="B35" t="n">
        <v>10365.93</v>
      </c>
      <c r="C35" t="n">
        <v>35392.71</v>
      </c>
      <c r="D35" t="n">
        <v>21737.44</v>
      </c>
    </row>
    <row r="36">
      <c r="A36" t="n">
        <v>685</v>
      </c>
      <c r="B36" t="n">
        <v>13258.43</v>
      </c>
      <c r="C36" t="n">
        <v>21158.02</v>
      </c>
      <c r="D36" t="n">
        <v>10365.93</v>
      </c>
    </row>
    <row r="37">
      <c r="A37" t="n">
        <v>744</v>
      </c>
      <c r="B37" t="n">
        <v>10241.21</v>
      </c>
      <c r="C37" t="n">
        <v>17952.72</v>
      </c>
      <c r="D37" t="n">
        <v>14834.6</v>
      </c>
    </row>
    <row r="38">
      <c r="A38" t="n">
        <v>781</v>
      </c>
      <c r="B38" t="n">
        <v>6787.82</v>
      </c>
      <c r="C38" t="n">
        <v>49810.9</v>
      </c>
      <c r="D38" t="n">
        <v>9822.870000000001</v>
      </c>
    </row>
    <row r="39">
      <c r="A39" t="n">
        <v>816</v>
      </c>
      <c r="B39" t="n">
        <v>6392.18</v>
      </c>
      <c r="C39" t="n">
        <v>7843.25</v>
      </c>
      <c r="D39" t="n">
        <v>14827.28</v>
      </c>
    </row>
    <row r="40">
      <c r="A40" t="n">
        <v>688</v>
      </c>
      <c r="B40" t="n">
        <v>13190.26</v>
      </c>
      <c r="C40" t="n">
        <v>49860.74</v>
      </c>
      <c r="D40" t="n">
        <v>15815.01</v>
      </c>
    </row>
    <row r="41">
      <c r="A41" t="n">
        <v>763</v>
      </c>
      <c r="B41" t="n">
        <v>14839.59</v>
      </c>
      <c r="C41" t="n">
        <v>32738.81</v>
      </c>
      <c r="D41" t="n">
        <v>14430.46</v>
      </c>
    </row>
    <row r="42">
      <c r="A42" t="n">
        <v>732</v>
      </c>
      <c r="B42" t="n">
        <v>8584.77</v>
      </c>
      <c r="C42" t="n">
        <v>7984.57</v>
      </c>
      <c r="D42" t="n">
        <v>23428.45</v>
      </c>
    </row>
    <row r="43">
      <c r="A43" t="n">
        <v>750</v>
      </c>
      <c r="B43" t="n">
        <v>12296.41</v>
      </c>
      <c r="C43" t="n">
        <v>42737.37</v>
      </c>
      <c r="D43" t="n">
        <v>21447.4</v>
      </c>
    </row>
    <row r="44">
      <c r="A44" t="n">
        <v>662</v>
      </c>
      <c r="B44" t="n">
        <v>18619.72</v>
      </c>
      <c r="C44" t="n">
        <v>38872.64</v>
      </c>
      <c r="D44" t="n">
        <v>8584.77</v>
      </c>
    </row>
    <row r="45">
      <c r="A45" t="n">
        <v>699</v>
      </c>
      <c r="B45" t="n">
        <v>10353.88</v>
      </c>
      <c r="C45" t="n">
        <v>42382.4</v>
      </c>
      <c r="D45" t="n">
        <v>13945.61</v>
      </c>
    </row>
    <row r="46">
      <c r="A46" t="n">
        <v>766</v>
      </c>
      <c r="B46" t="n">
        <v>3470.59</v>
      </c>
      <c r="C46" t="n">
        <v>28772.81</v>
      </c>
      <c r="D46" t="n">
        <v>15750.95</v>
      </c>
    </row>
    <row r="47">
      <c r="A47" t="n">
        <v>788</v>
      </c>
      <c r="B47" t="n">
        <v>6538.91</v>
      </c>
      <c r="C47" t="n">
        <v>29406.48</v>
      </c>
      <c r="D47" t="n">
        <v>5339.96</v>
      </c>
    </row>
    <row r="48">
      <c r="A48" t="n">
        <v>620</v>
      </c>
      <c r="B48" t="n">
        <v>14439.56</v>
      </c>
      <c r="C48" t="n">
        <v>17860.57</v>
      </c>
      <c r="D48" t="n">
        <v>11327.17</v>
      </c>
    </row>
    <row r="49">
      <c r="A49" t="n">
        <v>715</v>
      </c>
      <c r="B49" t="n">
        <v>10430.9</v>
      </c>
      <c r="C49" t="n">
        <v>8617.09</v>
      </c>
      <c r="D49" t="n">
        <v>11344.95</v>
      </c>
    </row>
    <row r="50">
      <c r="A50" t="n">
        <v>765</v>
      </c>
      <c r="B50" t="n">
        <v>0</v>
      </c>
      <c r="C50" t="n">
        <v>55068.38</v>
      </c>
      <c r="D50" t="n">
        <v>10430.9</v>
      </c>
    </row>
    <row r="51">
      <c r="A51" t="n">
        <v>531</v>
      </c>
      <c r="B51" t="n">
        <v>24006.75</v>
      </c>
      <c r="C51" t="n">
        <v>36599.75</v>
      </c>
      <c r="D51" t="n">
        <v>13221.46</v>
      </c>
    </row>
    <row r="52">
      <c r="A52" t="n">
        <v>698</v>
      </c>
      <c r="B52" t="n">
        <v>16069.22</v>
      </c>
      <c r="C52" t="n">
        <v>28217.15</v>
      </c>
      <c r="D52" t="n">
        <v>27714.23</v>
      </c>
    </row>
    <row r="53">
      <c r="A53" t="n">
        <v>659</v>
      </c>
      <c r="B53" t="n">
        <v>10830.47</v>
      </c>
      <c r="C53" t="n">
        <v>40546.49</v>
      </c>
      <c r="D53" t="n">
        <v>9988.24</v>
      </c>
    </row>
    <row r="54">
      <c r="A54" t="n">
        <v>685</v>
      </c>
      <c r="B54" t="n">
        <v>17518.34</v>
      </c>
      <c r="C54" t="n">
        <v>30410.99</v>
      </c>
      <c r="D54" t="n">
        <v>16069.22</v>
      </c>
    </row>
    <row r="55">
      <c r="A55" t="n">
        <v>642</v>
      </c>
      <c r="B55" t="n">
        <v>1147.23</v>
      </c>
      <c r="C55" t="n">
        <v>43139.16</v>
      </c>
      <c r="D55" t="n">
        <v>12742.14</v>
      </c>
    </row>
    <row r="56">
      <c r="A56" t="n">
        <v>672</v>
      </c>
      <c r="B56" t="n">
        <v>10107.77</v>
      </c>
      <c r="C56" t="n">
        <v>54197.19</v>
      </c>
      <c r="D56" t="n">
        <v>1147.23</v>
      </c>
    </row>
    <row r="57">
      <c r="A57" t="n">
        <v>728</v>
      </c>
      <c r="B57" t="n">
        <v>4189</v>
      </c>
      <c r="C57" t="n">
        <v>33692.85</v>
      </c>
      <c r="D57" t="n">
        <v>15916.81</v>
      </c>
    </row>
    <row r="58">
      <c r="A58" t="n">
        <v>711</v>
      </c>
      <c r="B58" t="n">
        <v>5695.6</v>
      </c>
      <c r="C58" t="n">
        <v>26982.63</v>
      </c>
      <c r="D58" t="n">
        <v>10107.77</v>
      </c>
    </row>
    <row r="59">
      <c r="A59" t="n">
        <v>682</v>
      </c>
      <c r="B59" t="n">
        <v>14722.21</v>
      </c>
      <c r="C59" t="n">
        <v>40320.96</v>
      </c>
      <c r="D59" t="n">
        <v>4189</v>
      </c>
    </row>
    <row r="60">
      <c r="A60" t="n">
        <v>680</v>
      </c>
      <c r="B60" t="n">
        <v>13289.65</v>
      </c>
      <c r="C60" t="n">
        <v>57347.27</v>
      </c>
      <c r="D60" t="n">
        <v>10916.61</v>
      </c>
    </row>
    <row r="61">
      <c r="A61" t="n">
        <v>693</v>
      </c>
      <c r="B61" t="n">
        <v>11513.2</v>
      </c>
      <c r="C61" t="n">
        <v>32195.39</v>
      </c>
      <c r="D61" t="n">
        <v>1739.55</v>
      </c>
    </row>
    <row r="62">
      <c r="A62" t="n">
        <v>607</v>
      </c>
      <c r="B62" t="n">
        <v>18901.58</v>
      </c>
      <c r="C62" t="n">
        <v>11513.24</v>
      </c>
      <c r="D62" t="n">
        <v>24797.43</v>
      </c>
    </row>
    <row r="63">
      <c r="A63" t="n">
        <v>677</v>
      </c>
      <c r="B63" t="n">
        <v>21001.69</v>
      </c>
      <c r="C63" t="n">
        <v>42542.34</v>
      </c>
      <c r="D63" t="n">
        <v>11513.2</v>
      </c>
    </row>
    <row r="64">
      <c r="A64" t="n">
        <v>675</v>
      </c>
      <c r="B64" t="n">
        <v>5777.03</v>
      </c>
      <c r="C64" t="n">
        <v>21108.56</v>
      </c>
      <c r="D64" t="n">
        <v>13846.06</v>
      </c>
    </row>
    <row r="65">
      <c r="A65" t="n">
        <v>702</v>
      </c>
      <c r="B65" t="n">
        <v>9416.219999999999</v>
      </c>
      <c r="C65" t="n">
        <v>41000.75</v>
      </c>
      <c r="D65" t="n">
        <v>19183.59</v>
      </c>
    </row>
    <row r="66">
      <c r="A66" t="n">
        <v>723</v>
      </c>
      <c r="B66" t="n">
        <v>10189.15</v>
      </c>
      <c r="C66" t="n">
        <v>36642.67</v>
      </c>
      <c r="D66" t="n">
        <v>2921.59</v>
      </c>
    </row>
    <row r="67">
      <c r="A67" t="n">
        <v>640</v>
      </c>
      <c r="B67" t="n">
        <v>7622.3</v>
      </c>
      <c r="C67" t="n">
        <v>39479.22</v>
      </c>
      <c r="D67" t="n">
        <v>11053.51</v>
      </c>
    </row>
    <row r="68">
      <c r="A68" t="n">
        <v>588</v>
      </c>
      <c r="B68" t="n">
        <v>6253.46</v>
      </c>
      <c r="C68" t="n">
        <v>37156.75</v>
      </c>
      <c r="D68" t="n">
        <v>10393.99</v>
      </c>
    </row>
    <row r="69">
      <c r="A69" t="n">
        <v>784</v>
      </c>
      <c r="B69" t="n">
        <v>9932.459999999999</v>
      </c>
      <c r="C69" t="n">
        <v>16698.15</v>
      </c>
      <c r="D69" t="n">
        <v>17821.49</v>
      </c>
    </row>
    <row r="70">
      <c r="A70" t="n">
        <v>688</v>
      </c>
      <c r="B70" t="n">
        <v>12577.68</v>
      </c>
      <c r="C70" t="n">
        <v>39800.84</v>
      </c>
      <c r="D70" t="n">
        <v>19372.33</v>
      </c>
    </row>
    <row r="71">
      <c r="A71" t="n">
        <v>571</v>
      </c>
      <c r="B71" t="n">
        <v>25323.12</v>
      </c>
      <c r="C71" t="n">
        <v>52463.36</v>
      </c>
      <c r="D71" t="n">
        <v>25323.12</v>
      </c>
    </row>
    <row r="72">
      <c r="A72" t="n">
        <v>672</v>
      </c>
      <c r="B72" t="n">
        <v>16947.99</v>
      </c>
      <c r="C72" t="n">
        <v>51046.98</v>
      </c>
      <c r="D72" t="n">
        <v>9855.299999999999</v>
      </c>
    </row>
    <row r="73">
      <c r="A73" t="n">
        <v>658</v>
      </c>
      <c r="B73" t="n">
        <v>18556.47</v>
      </c>
      <c r="C73" t="n">
        <v>12686.95</v>
      </c>
      <c r="D73" t="n">
        <v>3776.99</v>
      </c>
    </row>
    <row r="74">
      <c r="A74" t="n">
        <v>691</v>
      </c>
      <c r="B74" t="n">
        <v>13321.91</v>
      </c>
      <c r="C74" t="n">
        <v>8161.53</v>
      </c>
      <c r="D74" t="n">
        <v>11873.16</v>
      </c>
    </row>
    <row r="75">
      <c r="A75" t="n">
        <v>767</v>
      </c>
      <c r="B75" t="n">
        <v>12079.59</v>
      </c>
      <c r="C75" t="n">
        <v>12707.89</v>
      </c>
      <c r="D75" t="n">
        <v>18716.58</v>
      </c>
    </row>
    <row r="76">
      <c r="A76" t="n">
        <v>649</v>
      </c>
      <c r="B76" t="n">
        <v>14335.12</v>
      </c>
      <c r="C76" t="n">
        <v>44139.01</v>
      </c>
      <c r="D76" t="n">
        <v>5361.69</v>
      </c>
    </row>
    <row r="77">
      <c r="A77" t="n">
        <v>702</v>
      </c>
      <c r="B77" t="n">
        <v>9030.1</v>
      </c>
      <c r="C77" t="n">
        <v>51304.93</v>
      </c>
      <c r="D77" t="n">
        <v>14335.12</v>
      </c>
    </row>
    <row r="78">
      <c r="A78" t="n">
        <v>720</v>
      </c>
      <c r="B78" t="n">
        <v>10435.03</v>
      </c>
      <c r="C78" t="n">
        <v>44302.45</v>
      </c>
      <c r="D78" t="n">
        <v>10435.03</v>
      </c>
    </row>
    <row r="79">
      <c r="A79" t="n">
        <v>673</v>
      </c>
      <c r="B79" t="n">
        <v>20840.28</v>
      </c>
      <c r="C79" t="n">
        <v>9646.07</v>
      </c>
      <c r="D79" t="n">
        <v>7009.78</v>
      </c>
    </row>
    <row r="80">
      <c r="A80" t="n">
        <v>751</v>
      </c>
      <c r="B80" t="n">
        <v>5603.78</v>
      </c>
      <c r="C80" t="n">
        <v>20856.89</v>
      </c>
      <c r="D80" t="n">
        <v>2218.35</v>
      </c>
    </row>
    <row r="81">
      <c r="A81" t="n">
        <v>535</v>
      </c>
      <c r="B81" t="n">
        <v>18006.94</v>
      </c>
      <c r="C81" t="n">
        <v>36359.86</v>
      </c>
      <c r="D81" t="n">
        <v>19114.2</v>
      </c>
    </row>
    <row r="82">
      <c r="A82" t="n">
        <v>723</v>
      </c>
      <c r="B82" t="n">
        <v>13101.29</v>
      </c>
      <c r="C82" t="n">
        <v>21252.73</v>
      </c>
      <c r="D82" t="n">
        <v>17391.83</v>
      </c>
    </row>
    <row r="83">
      <c r="A83" t="n">
        <v>703</v>
      </c>
      <c r="B83" t="n">
        <v>5790.86</v>
      </c>
      <c r="C83" t="n">
        <v>33434.76</v>
      </c>
      <c r="D83" t="n">
        <v>6234.45</v>
      </c>
    </row>
    <row r="84">
      <c r="A84" t="n">
        <v>659</v>
      </c>
      <c r="B84" t="n">
        <v>20805.79</v>
      </c>
      <c r="C84" t="n">
        <v>51842.69</v>
      </c>
      <c r="D84" t="n">
        <v>4962.51</v>
      </c>
    </row>
    <row r="85">
      <c r="A85" t="n">
        <v>666</v>
      </c>
      <c r="B85" t="n">
        <v>17676.53</v>
      </c>
      <c r="C85" t="n">
        <v>26147.55</v>
      </c>
      <c r="D85" t="n">
        <v>20805.79</v>
      </c>
    </row>
    <row r="86">
      <c r="A86" t="n">
        <v>736</v>
      </c>
      <c r="B86" t="n">
        <v>11169.11</v>
      </c>
      <c r="C86" t="n">
        <v>39099.57</v>
      </c>
      <c r="D86" t="n">
        <v>4406.69</v>
      </c>
    </row>
    <row r="87">
      <c r="A87" t="n">
        <v>720</v>
      </c>
      <c r="B87" t="n">
        <v>13387.13</v>
      </c>
      <c r="C87" t="n">
        <v>49873.73</v>
      </c>
      <c r="D87" t="n">
        <v>10440.29</v>
      </c>
    </row>
    <row r="88">
      <c r="A88" t="n">
        <v>744</v>
      </c>
      <c r="B88" t="n">
        <v>6658.54</v>
      </c>
      <c r="C88" t="n">
        <v>39710.57</v>
      </c>
      <c r="D88" t="n">
        <v>4862.4</v>
      </c>
    </row>
    <row r="89">
      <c r="A89" t="n">
        <v>723</v>
      </c>
      <c r="B89" t="n">
        <v>12549.57</v>
      </c>
      <c r="C89" t="n">
        <v>39655.4</v>
      </c>
      <c r="D89" t="n">
        <v>6658.54</v>
      </c>
    </row>
    <row r="90">
      <c r="A90" t="n">
        <v>673</v>
      </c>
      <c r="B90" t="n">
        <v>11995.72</v>
      </c>
      <c r="C90" t="n">
        <v>24461.46</v>
      </c>
      <c r="D90" t="n">
        <v>11995.72</v>
      </c>
    </row>
    <row r="91">
      <c r="A91" t="n">
        <v>718</v>
      </c>
      <c r="B91" t="n">
        <v>10347.78</v>
      </c>
      <c r="C91" t="n">
        <v>54437.73</v>
      </c>
      <c r="D91" t="n">
        <v>11807.04</v>
      </c>
    </row>
    <row r="92">
      <c r="A92" t="n">
        <v>658</v>
      </c>
      <c r="B92" t="n">
        <v>22656.79</v>
      </c>
      <c r="C92" t="n">
        <v>35884.37</v>
      </c>
      <c r="D92" t="n">
        <v>5452.92</v>
      </c>
    </row>
    <row r="93">
      <c r="A93" t="n">
        <v>711</v>
      </c>
      <c r="B93" t="n">
        <v>7707.49</v>
      </c>
      <c r="C93" t="n">
        <v>16244.5</v>
      </c>
      <c r="D93" t="n">
        <v>20461.52</v>
      </c>
    </row>
    <row r="94">
      <c r="A94" t="n">
        <v>671</v>
      </c>
      <c r="B94" t="n">
        <v>13535.03</v>
      </c>
      <c r="C94" t="n">
        <v>37316.01</v>
      </c>
      <c r="D94" t="n">
        <v>7500.13</v>
      </c>
    </row>
    <row r="95">
      <c r="A95" t="n">
        <v>718</v>
      </c>
      <c r="B95" t="n">
        <v>8917.43</v>
      </c>
      <c r="C95" t="n">
        <v>22657.04</v>
      </c>
      <c r="D95" t="n">
        <v>11743.32</v>
      </c>
    </row>
    <row r="96">
      <c r="A96" t="n">
        <v>653</v>
      </c>
      <c r="B96" t="n">
        <v>22342.12</v>
      </c>
      <c r="C96" t="n">
        <v>41857.35</v>
      </c>
      <c r="D96" t="n">
        <v>16135.82</v>
      </c>
    </row>
    <row r="97">
      <c r="A97" t="n">
        <v>633</v>
      </c>
      <c r="B97" t="n">
        <v>16135.82</v>
      </c>
      <c r="C97" t="n">
        <v>20464.11</v>
      </c>
      <c r="D97" t="n">
        <v>7385.03</v>
      </c>
    </row>
    <row r="98">
      <c r="A98" t="n">
        <v>653</v>
      </c>
      <c r="B98" t="n">
        <v>16968.09</v>
      </c>
      <c r="C98" t="n">
        <v>45623.59</v>
      </c>
      <c r="D98" t="n">
        <v>16968.09</v>
      </c>
    </row>
    <row r="99">
      <c r="A99" t="n">
        <v>680</v>
      </c>
      <c r="B99" t="n">
        <v>9358.9</v>
      </c>
      <c r="C99" t="n">
        <v>31923.05</v>
      </c>
      <c r="D99" t="n">
        <v>17593.78</v>
      </c>
    </row>
    <row r="100">
      <c r="A100" t="n">
        <v>710</v>
      </c>
      <c r="B100" t="n">
        <v>1773.64</v>
      </c>
      <c r="C100" t="n">
        <v>40007.8</v>
      </c>
      <c r="D100" t="n">
        <v>19273.5</v>
      </c>
    </row>
    <row r="101">
      <c r="A101" t="n">
        <v>741</v>
      </c>
      <c r="B101" t="n">
        <v>10830.12</v>
      </c>
      <c r="C101" t="n">
        <v>5323.39</v>
      </c>
      <c r="D101" t="n">
        <v>9358.9</v>
      </c>
    </row>
    <row r="102">
      <c r="A102" t="n">
        <v>672</v>
      </c>
      <c r="B102" t="n">
        <v>19858.84</v>
      </c>
      <c r="C102" t="n">
        <v>25233.83</v>
      </c>
      <c r="D102" t="n">
        <v>1647.61</v>
      </c>
    </row>
    <row r="103">
      <c r="A103" t="n">
        <v>725</v>
      </c>
      <c r="B103" t="n">
        <v>15995.82</v>
      </c>
      <c r="C103" t="n">
        <v>54785.77</v>
      </c>
      <c r="D103" t="n">
        <v>87.05</v>
      </c>
    </row>
    <row r="104">
      <c r="A104" t="n">
        <v>773</v>
      </c>
      <c r="B104" t="n">
        <v>5646.85</v>
      </c>
      <c r="C104" t="n">
        <v>41107.36</v>
      </c>
      <c r="D104" t="n">
        <v>10065.98</v>
      </c>
    </row>
    <row r="105">
      <c r="A105" t="n">
        <v>727</v>
      </c>
      <c r="B105" t="n">
        <v>8791.559999999999</v>
      </c>
      <c r="C105" t="n">
        <v>45684.4</v>
      </c>
      <c r="D105" t="n">
        <v>10401.65</v>
      </c>
    </row>
    <row r="106">
      <c r="A106" t="n">
        <v>577</v>
      </c>
      <c r="B106" t="n">
        <v>10065.98</v>
      </c>
      <c r="C106" t="n">
        <v>35962.76</v>
      </c>
      <c r="D106" t="n">
        <v>5079.52</v>
      </c>
    </row>
    <row r="107">
      <c r="A107" t="n">
        <v>675</v>
      </c>
      <c r="B107" t="n">
        <v>13918.36</v>
      </c>
      <c r="C107" t="n">
        <v>48514.78</v>
      </c>
      <c r="D107" t="n">
        <v>4810.93</v>
      </c>
    </row>
    <row r="108">
      <c r="A108" t="n">
        <v>782</v>
      </c>
      <c r="B108" t="n">
        <v>8365.15</v>
      </c>
      <c r="C108" t="n">
        <v>57182.16</v>
      </c>
      <c r="D108" t="n">
        <v>30706.75</v>
      </c>
    </row>
    <row r="109">
      <c r="A109" t="n">
        <v>689</v>
      </c>
      <c r="B109" t="n">
        <v>15457.23</v>
      </c>
      <c r="C109" t="n">
        <v>22289.79</v>
      </c>
      <c r="D109" t="n">
        <v>19974.87</v>
      </c>
    </row>
    <row r="110">
      <c r="A110" t="n">
        <v>612</v>
      </c>
      <c r="B110" t="n">
        <v>12316.71</v>
      </c>
      <c r="C110" t="n">
        <v>24625.86</v>
      </c>
      <c r="D110" t="n">
        <v>14296.01</v>
      </c>
    </row>
    <row r="111">
      <c r="A111" t="n">
        <v>629</v>
      </c>
      <c r="B111" t="n">
        <v>27150.32</v>
      </c>
      <c r="C111" t="n">
        <v>42473.36</v>
      </c>
      <c r="D111" t="n">
        <v>1246.48</v>
      </c>
    </row>
    <row r="112">
      <c r="A112" t="n">
        <v>622</v>
      </c>
      <c r="B112" t="n">
        <v>287.38</v>
      </c>
      <c r="C112" t="n">
        <v>24273.64</v>
      </c>
      <c r="D112" t="n">
        <v>27150.32</v>
      </c>
    </row>
    <row r="113">
      <c r="A113" t="n">
        <v>753</v>
      </c>
      <c r="B113" t="n">
        <v>16377.57</v>
      </c>
      <c r="C113" t="n">
        <v>6268.96</v>
      </c>
      <c r="D113" t="n">
        <v>16377.57</v>
      </c>
    </row>
    <row r="114">
      <c r="A114" t="n">
        <v>729</v>
      </c>
      <c r="B114" t="n">
        <v>17355.46</v>
      </c>
      <c r="C114" t="n">
        <v>15349.73</v>
      </c>
      <c r="D114" t="n">
        <v>11218.03</v>
      </c>
    </row>
    <row r="115">
      <c r="A115" t="n">
        <v>622</v>
      </c>
      <c r="B115" t="n">
        <v>11218.03</v>
      </c>
      <c r="C115" t="n">
        <v>24681.46</v>
      </c>
      <c r="D115" t="n">
        <v>16953.33</v>
      </c>
    </row>
    <row r="116">
      <c r="A116" t="n">
        <v>640</v>
      </c>
      <c r="B116" t="n">
        <v>10885.19</v>
      </c>
      <c r="C116" t="n">
        <v>47679.54</v>
      </c>
      <c r="D116" t="n">
        <v>5569.73</v>
      </c>
    </row>
    <row r="117">
      <c r="A117" t="n">
        <v>620</v>
      </c>
      <c r="B117" t="n">
        <v>18473.91</v>
      </c>
      <c r="C117" t="n">
        <v>33782.73</v>
      </c>
      <c r="D117" t="n">
        <v>5879.91</v>
      </c>
    </row>
    <row r="118">
      <c r="A118" t="n">
        <v>610</v>
      </c>
      <c r="B118" t="n">
        <v>26446.42</v>
      </c>
      <c r="C118" t="n">
        <v>13282.62</v>
      </c>
      <c r="D118" t="n">
        <v>18473.91</v>
      </c>
    </row>
    <row r="119">
      <c r="A119" t="n">
        <v>704</v>
      </c>
      <c r="B119" t="n">
        <v>15302.58</v>
      </c>
      <c r="C119" t="n">
        <v>6688.86</v>
      </c>
      <c r="D119" t="n">
        <v>6034.2</v>
      </c>
    </row>
    <row r="120">
      <c r="A120" t="n">
        <v>796</v>
      </c>
      <c r="B120" t="n">
        <v>5659.1</v>
      </c>
      <c r="C120" t="n">
        <v>26844.57</v>
      </c>
      <c r="D120" t="n">
        <v>12013.63</v>
      </c>
    </row>
    <row r="121">
      <c r="A121" t="n">
        <v>692</v>
      </c>
      <c r="B121" t="n">
        <v>14778.03</v>
      </c>
      <c r="C121" t="n">
        <v>51924.72</v>
      </c>
      <c r="D121" t="n">
        <v>10225.29</v>
      </c>
    </row>
    <row r="122">
      <c r="A122" t="n">
        <v>763</v>
      </c>
      <c r="B122" t="n">
        <v>9253.75</v>
      </c>
      <c r="C122" t="n">
        <v>22914.16</v>
      </c>
      <c r="D122" t="n">
        <v>12717.65</v>
      </c>
    </row>
    <row r="123">
      <c r="A123" t="n">
        <v>676</v>
      </c>
      <c r="B123" t="n">
        <v>15763.31</v>
      </c>
      <c r="C123" t="n">
        <v>44476.79</v>
      </c>
      <c r="D123" t="n">
        <v>13353.05</v>
      </c>
    </row>
    <row r="124">
      <c r="A124" t="n">
        <v>666</v>
      </c>
      <c r="B124" t="n">
        <v>22037.75</v>
      </c>
      <c r="C124" t="n">
        <v>31214</v>
      </c>
      <c r="D124" t="n">
        <v>6851.1</v>
      </c>
    </row>
    <row r="125">
      <c r="A125" t="n">
        <v>702</v>
      </c>
      <c r="B125" t="n">
        <v>6798.4</v>
      </c>
      <c r="C125" t="n">
        <v>41314.56</v>
      </c>
      <c r="D125" t="n">
        <v>8167.84</v>
      </c>
    </row>
    <row r="126">
      <c r="A126" t="n">
        <v>726</v>
      </c>
      <c r="B126" t="n">
        <v>5745.53</v>
      </c>
      <c r="C126" t="n">
        <v>38982.38</v>
      </c>
      <c r="D126" t="n">
        <v>15925.93</v>
      </c>
    </row>
    <row r="127">
      <c r="A127" t="n">
        <v>688</v>
      </c>
      <c r="B127" t="n">
        <v>13896.69</v>
      </c>
      <c r="C127" t="n">
        <v>23119.78</v>
      </c>
      <c r="D127" t="n">
        <v>12051.55</v>
      </c>
    </row>
    <row r="128">
      <c r="A128" t="n">
        <v>670</v>
      </c>
      <c r="B128" t="n">
        <v>6664.37</v>
      </c>
      <c r="C128" t="n">
        <v>52464.86</v>
      </c>
      <c r="D128" t="n">
        <v>5069.95</v>
      </c>
    </row>
    <row r="129">
      <c r="A129" t="n">
        <v>685</v>
      </c>
      <c r="B129" t="n">
        <v>13927.16</v>
      </c>
      <c r="C129" t="n">
        <v>21773.21</v>
      </c>
      <c r="D129" t="n">
        <v>1592.85</v>
      </c>
    </row>
    <row r="130">
      <c r="A130" t="n">
        <v>734</v>
      </c>
      <c r="B130" t="n">
        <v>1592.85</v>
      </c>
      <c r="C130" t="n">
        <v>48784.87</v>
      </c>
      <c r="D130" t="n">
        <v>10382.11</v>
      </c>
    </row>
    <row r="131">
      <c r="A131" t="n">
        <v>787</v>
      </c>
      <c r="B131" t="n">
        <v>7214.27</v>
      </c>
      <c r="C131" t="n">
        <v>51106.66</v>
      </c>
      <c r="D131" t="n">
        <v>2294.37</v>
      </c>
    </row>
    <row r="132">
      <c r="A132" t="n">
        <v>731</v>
      </c>
      <c r="B132" t="n">
        <v>14331.57</v>
      </c>
      <c r="C132" t="n">
        <v>28351.73</v>
      </c>
      <c r="D132" t="n">
        <v>24438.12</v>
      </c>
    </row>
    <row r="133">
      <c r="A133" t="n">
        <v>751</v>
      </c>
      <c r="B133" t="n">
        <v>11434.05</v>
      </c>
      <c r="C133" t="n">
        <v>15117.23</v>
      </c>
      <c r="D133" t="n">
        <v>11434.05</v>
      </c>
    </row>
    <row r="134">
      <c r="A134" t="n">
        <v>677</v>
      </c>
      <c r="B134" t="n">
        <v>12042.12</v>
      </c>
      <c r="C134" t="n">
        <v>23936.42</v>
      </c>
      <c r="D134" t="n">
        <v>12042.12</v>
      </c>
    </row>
    <row r="135">
      <c r="A135" t="n">
        <v>693</v>
      </c>
      <c r="B135" t="n">
        <v>14443.55</v>
      </c>
      <c r="C135" t="n">
        <v>45019.31</v>
      </c>
      <c r="D135" t="n">
        <v>11843.5</v>
      </c>
    </row>
    <row r="136">
      <c r="A136" t="n">
        <v>731</v>
      </c>
      <c r="B136" t="n">
        <v>12231.19</v>
      </c>
      <c r="C136" t="n">
        <v>53038.86</v>
      </c>
      <c r="D136" t="n">
        <v>12042.64</v>
      </c>
    </row>
    <row r="137">
      <c r="A137" t="n">
        <v>762</v>
      </c>
      <c r="B137" t="n">
        <v>10755.35</v>
      </c>
      <c r="C137" t="n">
        <v>32287.09</v>
      </c>
      <c r="D137" t="n">
        <v>12231.19</v>
      </c>
    </row>
    <row r="138">
      <c r="A138" t="n">
        <v>735</v>
      </c>
      <c r="B138" t="n">
        <v>19612.05</v>
      </c>
      <c r="C138" t="n">
        <v>39003.66</v>
      </c>
      <c r="D138" t="n">
        <v>15080.22</v>
      </c>
    </row>
    <row r="139">
      <c r="A139" t="n">
        <v>636</v>
      </c>
      <c r="B139" t="n">
        <v>16902.03</v>
      </c>
      <c r="C139" t="n">
        <v>5592.12</v>
      </c>
      <c r="D139" t="n">
        <v>5712.91</v>
      </c>
    </row>
    <row r="140">
      <c r="A140" t="n">
        <v>754</v>
      </c>
      <c r="B140" t="n">
        <v>3047.25</v>
      </c>
      <c r="C140" t="n">
        <v>42334.32</v>
      </c>
      <c r="D140" t="n">
        <v>8716.360000000001</v>
      </c>
    </row>
    <row r="141">
      <c r="A141" t="n">
        <v>795</v>
      </c>
      <c r="B141" t="n">
        <v>4401.99</v>
      </c>
      <c r="C141" t="n">
        <v>23208.33</v>
      </c>
      <c r="D141" t="n">
        <v>19612.05</v>
      </c>
    </row>
    <row r="142">
      <c r="A142" t="n">
        <v>660</v>
      </c>
      <c r="B142" t="n">
        <v>21766.82</v>
      </c>
      <c r="C142" t="n">
        <v>54945.29</v>
      </c>
      <c r="D142" t="n">
        <v>16902.03</v>
      </c>
    </row>
    <row r="143">
      <c r="A143" t="n">
        <v>807</v>
      </c>
      <c r="B143" t="n">
        <v>4018.3</v>
      </c>
      <c r="C143" t="n">
        <v>40802.03</v>
      </c>
      <c r="D143" t="n">
        <v>3047.25</v>
      </c>
    </row>
    <row r="144">
      <c r="A144" t="n">
        <v>711</v>
      </c>
      <c r="B144" t="n">
        <v>15984.26</v>
      </c>
      <c r="C144" t="n">
        <v>34241.92</v>
      </c>
      <c r="D144" t="n">
        <v>7350.08</v>
      </c>
    </row>
    <row r="145">
      <c r="A145" t="n">
        <v>744</v>
      </c>
      <c r="B145" t="n">
        <v>17524.14</v>
      </c>
      <c r="C145" t="n">
        <v>7761.15</v>
      </c>
      <c r="D145" t="n">
        <v>9915.610000000001</v>
      </c>
    </row>
    <row r="146">
      <c r="A146" t="n">
        <v>798</v>
      </c>
      <c r="B146" t="n">
        <v>7441.83</v>
      </c>
      <c r="C146" t="n">
        <v>39060.2</v>
      </c>
      <c r="D146" t="n">
        <v>15984.26</v>
      </c>
    </row>
    <row r="147">
      <c r="A147" t="n">
        <v>715</v>
      </c>
      <c r="B147" t="n">
        <v>9239.27</v>
      </c>
      <c r="C147" t="n">
        <v>41354.97</v>
      </c>
      <c r="D147" t="n">
        <v>17524.14</v>
      </c>
    </row>
    <row r="148">
      <c r="A148" t="n">
        <v>689</v>
      </c>
      <c r="B148" t="n">
        <v>10702.2</v>
      </c>
      <c r="C148" t="n">
        <v>53507.84</v>
      </c>
      <c r="D148" t="n">
        <v>21106.35</v>
      </c>
    </row>
    <row r="149">
      <c r="A149" t="n">
        <v>810</v>
      </c>
      <c r="B149" t="n">
        <v>3908.97</v>
      </c>
      <c r="C149" t="n">
        <v>15419.62</v>
      </c>
      <c r="D149" t="n">
        <v>3470.06</v>
      </c>
    </row>
    <row r="150">
      <c r="A150" t="n">
        <v>568</v>
      </c>
      <c r="B150" t="n">
        <v>6349.13</v>
      </c>
      <c r="C150" t="n">
        <v>56579.9</v>
      </c>
      <c r="D150" t="n">
        <v>6684.1</v>
      </c>
    </row>
    <row r="151">
      <c r="A151" t="n">
        <v>624</v>
      </c>
      <c r="B151" t="n">
        <v>28943.27</v>
      </c>
      <c r="C151" t="n">
        <v>46934.87</v>
      </c>
      <c r="D151" t="n">
        <v>6349.13</v>
      </c>
    </row>
    <row r="152">
      <c r="A152" t="n">
        <v>682</v>
      </c>
      <c r="B152" t="n">
        <v>15726.65</v>
      </c>
      <c r="C152" t="n">
        <v>13903.12</v>
      </c>
      <c r="D152" t="n">
        <v>28943.27</v>
      </c>
    </row>
    <row r="153">
      <c r="A153" t="n">
        <v>750</v>
      </c>
      <c r="B153" t="n">
        <v>6597.51</v>
      </c>
      <c r="C153" t="n">
        <v>15854.31</v>
      </c>
      <c r="D153" t="n">
        <v>8599.200000000001</v>
      </c>
    </row>
    <row r="154">
      <c r="A154" t="n">
        <v>762</v>
      </c>
      <c r="B154" t="n">
        <v>10277.25</v>
      </c>
      <c r="C154" t="n">
        <v>26203.44</v>
      </c>
      <c r="D154" t="n">
        <v>8156.59</v>
      </c>
    </row>
    <row r="155">
      <c r="A155" t="n">
        <v>784</v>
      </c>
      <c r="B155" t="n">
        <v>5071.57</v>
      </c>
      <c r="C155" t="n">
        <v>42293.68</v>
      </c>
      <c r="D155" t="n">
        <v>10277.25</v>
      </c>
    </row>
    <row r="156">
      <c r="A156" t="n">
        <v>664</v>
      </c>
      <c r="B156" t="n">
        <v>6883.07</v>
      </c>
      <c r="C156" t="n">
        <v>26998.77</v>
      </c>
      <c r="D156" t="n">
        <v>5071.57</v>
      </c>
    </row>
    <row r="157">
      <c r="A157" t="n">
        <v>717</v>
      </c>
      <c r="B157" t="n">
        <v>8878.43</v>
      </c>
      <c r="C157" t="n">
        <v>55850.16</v>
      </c>
      <c r="D157" t="n">
        <v>13071.56</v>
      </c>
    </row>
    <row r="158">
      <c r="A158" t="n">
        <v>681</v>
      </c>
      <c r="B158" t="n">
        <v>18341.33</v>
      </c>
      <c r="C158" t="n">
        <v>44161.15</v>
      </c>
      <c r="D158" t="n">
        <v>5413.61</v>
      </c>
    </row>
    <row r="159">
      <c r="A159" t="n">
        <v>696</v>
      </c>
      <c r="B159" t="n">
        <v>14138.79</v>
      </c>
      <c r="C159" t="n">
        <v>17011.58</v>
      </c>
      <c r="D159" t="n">
        <v>8754.889999999999</v>
      </c>
    </row>
    <row r="160">
      <c r="A160" t="n">
        <v>712</v>
      </c>
      <c r="B160" t="n">
        <v>18340.71</v>
      </c>
      <c r="C160" t="n">
        <v>37463.5</v>
      </c>
      <c r="D160" t="n">
        <v>14138.79</v>
      </c>
    </row>
    <row r="161">
      <c r="A161" t="n">
        <v>716</v>
      </c>
      <c r="B161" t="n">
        <v>7397.95</v>
      </c>
      <c r="C161" t="n">
        <v>7433.29</v>
      </c>
      <c r="D161" t="n">
        <v>18375.02</v>
      </c>
    </row>
    <row r="162">
      <c r="A162" t="n">
        <v>622</v>
      </c>
      <c r="B162" t="n">
        <v>35977.89</v>
      </c>
      <c r="C162" t="n">
        <v>37204.54</v>
      </c>
      <c r="D162" t="n">
        <v>7267.37</v>
      </c>
    </row>
    <row r="163">
      <c r="A163" t="n">
        <v>777</v>
      </c>
      <c r="B163" t="n">
        <v>4816.5</v>
      </c>
      <c r="C163" t="n">
        <v>54996.47</v>
      </c>
      <c r="D163" t="n">
        <v>5092.92</v>
      </c>
    </row>
    <row r="164">
      <c r="A164" t="n">
        <v>679</v>
      </c>
      <c r="B164" t="n">
        <v>18375.02</v>
      </c>
      <c r="C164" t="n">
        <v>49149.61</v>
      </c>
      <c r="D164" t="n">
        <v>11125.39</v>
      </c>
    </row>
    <row r="165">
      <c r="A165" t="n">
        <v>785</v>
      </c>
      <c r="B165" t="n">
        <v>7800.89</v>
      </c>
      <c r="C165" t="n">
        <v>33039.52</v>
      </c>
      <c r="D165" t="n">
        <v>14544.09</v>
      </c>
    </row>
    <row r="166">
      <c r="A166" t="n">
        <v>733</v>
      </c>
      <c r="B166" t="n">
        <v>8889.99</v>
      </c>
      <c r="C166" t="n">
        <v>34918.48</v>
      </c>
      <c r="D166" t="n">
        <v>13209.8</v>
      </c>
    </row>
    <row r="167">
      <c r="A167" t="n">
        <v>739</v>
      </c>
      <c r="B167" t="n">
        <v>9401.32</v>
      </c>
      <c r="C167" t="n">
        <v>8534.1</v>
      </c>
      <c r="D167" t="n">
        <v>21927.39</v>
      </c>
    </row>
    <row r="168">
      <c r="A168" t="n">
        <v>742</v>
      </c>
      <c r="B168" t="n">
        <v>11909.74</v>
      </c>
      <c r="C168" t="n">
        <v>18472.6</v>
      </c>
      <c r="D168" t="n">
        <v>14632.98</v>
      </c>
    </row>
    <row r="169">
      <c r="A169" t="n">
        <v>645</v>
      </c>
      <c r="B169" t="n">
        <v>10448.51</v>
      </c>
      <c r="C169" t="n">
        <v>45127.9</v>
      </c>
      <c r="D169" t="n">
        <v>8290.219999999999</v>
      </c>
    </row>
    <row r="170">
      <c r="A170" t="n">
        <v>783</v>
      </c>
      <c r="B170" t="n">
        <v>4013.28</v>
      </c>
      <c r="C170" t="n">
        <v>18248.13</v>
      </c>
      <c r="D170" t="n">
        <v>16356.03</v>
      </c>
    </row>
    <row r="171">
      <c r="A171" t="n">
        <v>690</v>
      </c>
      <c r="B171" t="n">
        <v>13209.8</v>
      </c>
      <c r="C171" t="n">
        <v>10155.35</v>
      </c>
      <c r="D171" t="n">
        <v>12037.86</v>
      </c>
    </row>
    <row r="172">
      <c r="A172" t="n">
        <v>781</v>
      </c>
      <c r="B172" t="n">
        <v>10131.61</v>
      </c>
      <c r="C172" t="n">
        <v>10582.49</v>
      </c>
      <c r="D172" t="n">
        <v>15899.07</v>
      </c>
    </row>
    <row r="173">
      <c r="A173" t="n">
        <v>708</v>
      </c>
      <c r="B173" t="n">
        <v>11874.71</v>
      </c>
      <c r="C173" t="n">
        <v>23874.04</v>
      </c>
      <c r="D173" t="n">
        <v>10628.78</v>
      </c>
    </row>
    <row r="174">
      <c r="A174" t="n">
        <v>762</v>
      </c>
      <c r="B174" t="n">
        <v>13293.17</v>
      </c>
      <c r="C174" t="n">
        <v>38414.59</v>
      </c>
      <c r="D174" t="n">
        <v>21478.66</v>
      </c>
    </row>
    <row r="175">
      <c r="A175" t="n">
        <v>748</v>
      </c>
      <c r="B175" t="n">
        <v>6800.02</v>
      </c>
      <c r="C175" t="n">
        <v>36977.71</v>
      </c>
      <c r="D175" t="n">
        <v>266.63</v>
      </c>
    </row>
    <row r="176">
      <c r="A176" t="n">
        <v>683</v>
      </c>
      <c r="B176" t="n">
        <v>17812.24</v>
      </c>
      <c r="C176" t="n">
        <v>57612.25</v>
      </c>
      <c r="D176" t="n">
        <v>17469.61</v>
      </c>
    </row>
    <row r="177">
      <c r="A177" t="n">
        <v>729</v>
      </c>
      <c r="B177" t="n">
        <v>8579.280000000001</v>
      </c>
      <c r="C177" t="n">
        <v>45770.42</v>
      </c>
      <c r="D177" t="n">
        <v>22573.51</v>
      </c>
    </row>
    <row r="178">
      <c r="A178" t="n">
        <v>867</v>
      </c>
      <c r="B178" t="n">
        <v>266.63</v>
      </c>
      <c r="C178" t="n">
        <v>57684.78</v>
      </c>
      <c r="D178" t="n">
        <v>2375.04</v>
      </c>
    </row>
    <row r="179">
      <c r="A179" t="n">
        <v>760</v>
      </c>
      <c r="B179" t="n">
        <v>13074.63</v>
      </c>
      <c r="C179" t="n">
        <v>45439.72</v>
      </c>
      <c r="D179" t="n">
        <v>13074.63</v>
      </c>
    </row>
    <row r="180">
      <c r="A180" t="n">
        <v>573</v>
      </c>
      <c r="B180" t="n">
        <v>42693.02</v>
      </c>
      <c r="C180" t="n">
        <v>9278.66</v>
      </c>
      <c r="D180" t="n">
        <v>5071.62</v>
      </c>
    </row>
    <row r="181">
      <c r="A181" t="n">
        <v>647</v>
      </c>
      <c r="B181" t="n">
        <v>23579.28</v>
      </c>
      <c r="C181" t="n">
        <v>9034.18</v>
      </c>
      <c r="D181" t="n">
        <v>9711.469999999999</v>
      </c>
    </row>
    <row r="182">
      <c r="A182" t="n">
        <v>730</v>
      </c>
      <c r="B182" t="n">
        <v>9711.469999999999</v>
      </c>
      <c r="C182" t="n">
        <v>49283.74</v>
      </c>
      <c r="D182" t="n">
        <v>17977.76</v>
      </c>
    </row>
    <row r="183">
      <c r="A183" t="n">
        <v>657</v>
      </c>
      <c r="B183" t="n">
        <v>15252.61</v>
      </c>
      <c r="C183" t="n">
        <v>29983.23</v>
      </c>
      <c r="D183" t="n">
        <v>21411.02</v>
      </c>
    </row>
    <row r="184">
      <c r="A184" t="n">
        <v>697</v>
      </c>
      <c r="B184" t="n">
        <v>13143.58</v>
      </c>
      <c r="C184" t="n">
        <v>30396.56</v>
      </c>
      <c r="D184" t="n">
        <v>15498.26</v>
      </c>
    </row>
    <row r="185">
      <c r="A185" t="n">
        <v>731</v>
      </c>
      <c r="B185" t="n">
        <v>16815.96</v>
      </c>
      <c r="C185" t="n">
        <v>44397.72</v>
      </c>
      <c r="D185" t="n">
        <v>1452.53</v>
      </c>
    </row>
    <row r="186">
      <c r="A186" t="n">
        <v>696</v>
      </c>
      <c r="B186" t="n">
        <v>18012.41</v>
      </c>
      <c r="C186" t="n">
        <v>8669.059999999999</v>
      </c>
      <c r="D186" t="n">
        <v>10778.7</v>
      </c>
    </row>
    <row r="187">
      <c r="A187" t="n">
        <v>749</v>
      </c>
      <c r="B187" t="n">
        <v>10778.7</v>
      </c>
      <c r="C187" t="n">
        <v>30622.75</v>
      </c>
      <c r="D187" t="n">
        <v>6479.48</v>
      </c>
    </row>
    <row r="188">
      <c r="A188" t="n">
        <v>765</v>
      </c>
      <c r="B188" t="n">
        <v>6479.48</v>
      </c>
      <c r="C188" t="n">
        <v>55039.85</v>
      </c>
      <c r="D188" t="n">
        <v>10615.96</v>
      </c>
    </row>
    <row r="189">
      <c r="A189" t="n">
        <v>810</v>
      </c>
      <c r="B189" t="n">
        <v>8568.040000000001</v>
      </c>
      <c r="C189" t="n">
        <v>44382.08</v>
      </c>
      <c r="D189" t="n">
        <v>2947.7</v>
      </c>
    </row>
    <row r="190">
      <c r="A190" t="n">
        <v>666</v>
      </c>
      <c r="B190" t="n">
        <v>5583.01</v>
      </c>
      <c r="C190" t="n">
        <v>50192.01</v>
      </c>
      <c r="D190" t="n">
        <v>5583.01</v>
      </c>
    </row>
    <row r="191">
      <c r="A191" t="n">
        <v>706</v>
      </c>
      <c r="B191" t="n">
        <v>4511.24</v>
      </c>
      <c r="C191" t="n">
        <v>53336.3</v>
      </c>
      <c r="D191" t="n">
        <v>8679.91</v>
      </c>
    </row>
    <row r="192">
      <c r="A192" t="n">
        <v>798</v>
      </c>
      <c r="B192" t="n">
        <v>1547.07</v>
      </c>
      <c r="C192" t="n">
        <v>16463.14</v>
      </c>
      <c r="D192" t="n">
        <v>4614.91</v>
      </c>
    </row>
    <row r="193">
      <c r="A193" t="n">
        <v>622</v>
      </c>
      <c r="B193" t="n">
        <v>26467.7</v>
      </c>
      <c r="C193" t="n">
        <v>6918.69</v>
      </c>
      <c r="D193" t="n">
        <v>4465.09</v>
      </c>
    </row>
    <row r="194">
      <c r="A194" t="n">
        <v>748</v>
      </c>
      <c r="B194" t="n">
        <v>5448.21</v>
      </c>
      <c r="C194" t="n">
        <v>48387.79</v>
      </c>
      <c r="D194" t="n">
        <v>14647.93</v>
      </c>
    </row>
    <row r="195">
      <c r="A195" t="n">
        <v>621</v>
      </c>
      <c r="B195" t="n">
        <v>4930.88</v>
      </c>
      <c r="C195" t="n">
        <v>15083.83</v>
      </c>
      <c r="D195" t="n">
        <v>1361.32</v>
      </c>
    </row>
    <row r="196">
      <c r="A196" t="n">
        <v>752</v>
      </c>
      <c r="B196" t="n">
        <v>4465.09</v>
      </c>
      <c r="C196" t="n">
        <v>29104.58</v>
      </c>
      <c r="D196" t="n">
        <v>12472.96</v>
      </c>
    </row>
    <row r="197">
      <c r="A197" t="n">
        <v>733</v>
      </c>
      <c r="B197" t="n">
        <v>8606.84</v>
      </c>
      <c r="C197" t="n">
        <v>16903.85</v>
      </c>
      <c r="D197" t="n">
        <v>16577.91</v>
      </c>
    </row>
    <row r="198">
      <c r="A198" t="n">
        <v>735</v>
      </c>
      <c r="B198" t="n">
        <v>6837.42</v>
      </c>
      <c r="C198" t="n">
        <v>34621.14</v>
      </c>
      <c r="D198" t="n">
        <v>8775.379999999999</v>
      </c>
    </row>
    <row r="199">
      <c r="A199" t="n">
        <v>745</v>
      </c>
      <c r="B199" t="n">
        <v>13660.9</v>
      </c>
      <c r="C199" t="n">
        <v>58681.45</v>
      </c>
      <c r="D199" t="n">
        <v>7331.72</v>
      </c>
    </row>
    <row r="200">
      <c r="A200" t="n">
        <v>708</v>
      </c>
      <c r="B200" t="n">
        <v>4625.89</v>
      </c>
      <c r="C200" t="n">
        <v>42269.75</v>
      </c>
      <c r="D200" t="n">
        <v>2522.01</v>
      </c>
    </row>
    <row r="201">
      <c r="A201" t="n">
        <v>748</v>
      </c>
      <c r="B201" t="n">
        <v>7121.47</v>
      </c>
      <c r="C201" t="n">
        <v>56964.95</v>
      </c>
      <c r="D201" t="n">
        <v>4625.89</v>
      </c>
    </row>
    <row r="202">
      <c r="A202" t="n">
        <v>677</v>
      </c>
      <c r="B202" t="n">
        <v>8454.209999999999</v>
      </c>
      <c r="C202" t="n">
        <v>9030.879999999999</v>
      </c>
      <c r="D202" t="n">
        <v>15424.31</v>
      </c>
    </row>
    <row r="203">
      <c r="A203" t="n">
        <v>778</v>
      </c>
      <c r="B203" t="n">
        <v>12703.33</v>
      </c>
      <c r="C203" t="n">
        <v>51722.44</v>
      </c>
      <c r="D203" t="n">
        <v>5061.15</v>
      </c>
    </row>
    <row r="204">
      <c r="A204" t="n">
        <v>689</v>
      </c>
      <c r="B204" t="n">
        <v>12506.66</v>
      </c>
      <c r="C204" t="n">
        <v>38901.22</v>
      </c>
      <c r="D204" t="n">
        <v>12703.33</v>
      </c>
    </row>
    <row r="205">
      <c r="A205" t="n">
        <v>672</v>
      </c>
      <c r="B205" t="n">
        <v>18969.01</v>
      </c>
      <c r="C205" t="n">
        <v>7145.67</v>
      </c>
      <c r="D205" t="n">
        <v>11315.33</v>
      </c>
    </row>
    <row r="206">
      <c r="A206" t="n">
        <v>749</v>
      </c>
      <c r="B206" t="n">
        <v>7582.84</v>
      </c>
      <c r="C206" t="n">
        <v>33315.99</v>
      </c>
      <c r="D206" t="n">
        <v>11632.16</v>
      </c>
    </row>
    <row r="207">
      <c r="A207" t="n">
        <v>718</v>
      </c>
      <c r="B207" t="n">
        <v>11315.33</v>
      </c>
      <c r="C207" t="n">
        <v>36548.58</v>
      </c>
      <c r="D207" t="n">
        <v>19979.17</v>
      </c>
    </row>
    <row r="208">
      <c r="A208" t="n">
        <v>724</v>
      </c>
      <c r="B208" t="n">
        <v>12392.81</v>
      </c>
      <c r="C208" t="n">
        <v>53542.58</v>
      </c>
      <c r="D208" t="n">
        <v>11114.59</v>
      </c>
    </row>
    <row r="209">
      <c r="A209" t="n">
        <v>785</v>
      </c>
      <c r="B209" t="n">
        <v>6744.16</v>
      </c>
      <c r="C209" t="n">
        <v>52497.21</v>
      </c>
      <c r="D209" t="n">
        <v>9667.610000000001</v>
      </c>
    </row>
    <row r="210">
      <c r="A210" t="n">
        <v>698</v>
      </c>
      <c r="B210" t="n">
        <v>11632.16</v>
      </c>
      <c r="C210" t="n">
        <v>23877.42</v>
      </c>
      <c r="D210" t="n">
        <v>9610.51</v>
      </c>
    </row>
    <row r="211">
      <c r="A211" t="n">
        <v>650</v>
      </c>
      <c r="B211" t="n">
        <v>11313.72</v>
      </c>
      <c r="C211" t="n">
        <v>19276.08</v>
      </c>
      <c r="D211" t="n">
        <v>20051.33</v>
      </c>
    </row>
    <row r="212">
      <c r="A212" t="n">
        <v>689</v>
      </c>
      <c r="B212" t="n">
        <v>13790.39</v>
      </c>
      <c r="C212" t="n">
        <v>45959.93</v>
      </c>
      <c r="D212" t="n">
        <v>15914.77</v>
      </c>
    </row>
    <row r="213">
      <c r="A213" t="n">
        <v>703</v>
      </c>
      <c r="B213" t="n">
        <v>4173.34</v>
      </c>
      <c r="C213" t="n">
        <v>13827.37</v>
      </c>
      <c r="D213" t="n">
        <v>13370.89</v>
      </c>
    </row>
    <row r="214">
      <c r="A214" t="n">
        <v>664</v>
      </c>
      <c r="B214" t="n">
        <v>13370.89</v>
      </c>
      <c r="C214" t="n">
        <v>30826.21</v>
      </c>
      <c r="D214" t="n">
        <v>13531.03</v>
      </c>
    </row>
    <row r="215">
      <c r="A215" t="n">
        <v>746</v>
      </c>
      <c r="B215" t="n">
        <v>13480.74</v>
      </c>
      <c r="C215" t="n">
        <v>13917.05</v>
      </c>
      <c r="D215" t="n">
        <v>21342.62</v>
      </c>
    </row>
    <row r="216">
      <c r="A216" t="n">
        <v>759</v>
      </c>
      <c r="B216" t="n">
        <v>10433.55</v>
      </c>
      <c r="C216" t="n">
        <v>11498.94</v>
      </c>
      <c r="D216" t="n">
        <v>10433.55</v>
      </c>
    </row>
    <row r="217">
      <c r="A217" t="n">
        <v>706</v>
      </c>
      <c r="B217" t="n">
        <v>14226.16</v>
      </c>
      <c r="C217" t="n">
        <v>43122.36</v>
      </c>
      <c r="D217" t="n">
        <v>11575.35</v>
      </c>
    </row>
    <row r="218">
      <c r="A218" t="n">
        <v>696</v>
      </c>
      <c r="B218" t="n">
        <v>15330.97</v>
      </c>
      <c r="C218" t="n">
        <v>53426.62</v>
      </c>
      <c r="D218" t="n">
        <v>14226.16</v>
      </c>
    </row>
    <row r="219">
      <c r="A219" t="n">
        <v>625</v>
      </c>
      <c r="B219" t="n">
        <v>28843.04</v>
      </c>
      <c r="C219" t="n">
        <v>26186.12</v>
      </c>
      <c r="D219" t="n">
        <v>7251.38</v>
      </c>
    </row>
    <row r="220">
      <c r="A220" t="n">
        <v>616</v>
      </c>
      <c r="B220" t="n">
        <v>9766.049999999999</v>
      </c>
      <c r="C220" t="n">
        <v>28757.34</v>
      </c>
      <c r="D220" t="n">
        <v>15053.12</v>
      </c>
    </row>
    <row r="221">
      <c r="A221" t="n">
        <v>690</v>
      </c>
      <c r="B221" t="n">
        <v>12332.33</v>
      </c>
      <c r="C221" t="n">
        <v>7084.59</v>
      </c>
      <c r="D221" t="n">
        <v>20906.84</v>
      </c>
    </row>
    <row r="222">
      <c r="A222" t="n">
        <v>705</v>
      </c>
      <c r="B222" t="n">
        <v>21500.94</v>
      </c>
      <c r="C222" t="n">
        <v>31199.3</v>
      </c>
      <c r="D222" t="n">
        <v>3402.03</v>
      </c>
    </row>
    <row r="223">
      <c r="A223" t="n">
        <v>708</v>
      </c>
      <c r="B223" t="n">
        <v>12885.3</v>
      </c>
      <c r="C223" t="n">
        <v>45540.98</v>
      </c>
      <c r="D223" t="n">
        <v>15207.23</v>
      </c>
    </row>
    <row r="224">
      <c r="A224" t="n">
        <v>671</v>
      </c>
      <c r="B224" t="n">
        <v>7973.55</v>
      </c>
      <c r="C224" t="n">
        <v>33051.79</v>
      </c>
      <c r="D224" t="n">
        <v>16795.63</v>
      </c>
    </row>
    <row r="225">
      <c r="A225" t="n">
        <v>691</v>
      </c>
      <c r="B225" t="n">
        <v>20906.84</v>
      </c>
      <c r="C225" t="n">
        <v>37298.4</v>
      </c>
      <c r="D225" t="n">
        <v>8554.84</v>
      </c>
    </row>
    <row r="226">
      <c r="A226" t="n">
        <v>767</v>
      </c>
      <c r="B226" t="n">
        <v>9840.09</v>
      </c>
      <c r="C226" t="n">
        <v>31585.87</v>
      </c>
      <c r="D226" t="n">
        <v>20122.57</v>
      </c>
    </row>
    <row r="227">
      <c r="A227" t="n">
        <v>653</v>
      </c>
      <c r="B227" t="n">
        <v>20502.48</v>
      </c>
      <c r="C227" t="n">
        <v>48312.56</v>
      </c>
      <c r="D227" t="n">
        <v>6765.66</v>
      </c>
    </row>
    <row r="228">
      <c r="A228" t="n">
        <v>618</v>
      </c>
      <c r="B228" t="n">
        <v>22050.03</v>
      </c>
      <c r="C228" t="n">
        <v>52408.88</v>
      </c>
      <c r="D228" t="n">
        <v>7872.95</v>
      </c>
    </row>
    <row r="229">
      <c r="A229" t="n">
        <v>655</v>
      </c>
      <c r="B229" t="n">
        <v>12956.21</v>
      </c>
      <c r="C229" t="n">
        <v>36825.55</v>
      </c>
      <c r="D229" t="n">
        <v>12627.05</v>
      </c>
    </row>
    <row r="230">
      <c r="A230" t="n">
        <v>731</v>
      </c>
      <c r="B230" t="n">
        <v>14907.37</v>
      </c>
      <c r="C230" t="n">
        <v>35367.97</v>
      </c>
      <c r="D230" t="n">
        <v>7311.19</v>
      </c>
    </row>
    <row r="231">
      <c r="A231" t="n">
        <v>670</v>
      </c>
      <c r="B231" t="n">
        <v>6765.66</v>
      </c>
      <c r="C231" t="n">
        <v>13587.28</v>
      </c>
      <c r="D231" t="n">
        <v>9111.92</v>
      </c>
    </row>
    <row r="232">
      <c r="A232" t="n">
        <v>759</v>
      </c>
      <c r="B232" t="n">
        <v>11708.89</v>
      </c>
      <c r="C232" t="n">
        <v>53924.41</v>
      </c>
      <c r="D232" t="n">
        <v>8739.360000000001</v>
      </c>
    </row>
    <row r="233">
      <c r="A233" t="n">
        <v>732</v>
      </c>
      <c r="B233" t="n">
        <v>7311.19</v>
      </c>
      <c r="C233" t="n">
        <v>37697.02</v>
      </c>
      <c r="D233" t="n">
        <v>7132.47</v>
      </c>
    </row>
    <row r="234">
      <c r="A234" t="n">
        <v>688</v>
      </c>
      <c r="B234" t="n">
        <v>10453.83</v>
      </c>
      <c r="C234" t="n">
        <v>13669.42</v>
      </c>
      <c r="D234" t="n">
        <v>13535.53</v>
      </c>
    </row>
    <row r="235">
      <c r="A235" t="n">
        <v>723</v>
      </c>
      <c r="B235" t="n">
        <v>15663.98</v>
      </c>
      <c r="C235" t="n">
        <v>11274.43</v>
      </c>
      <c r="D235" t="n">
        <v>22495.36</v>
      </c>
    </row>
    <row r="236">
      <c r="A236" t="n">
        <v>696</v>
      </c>
      <c r="B236" t="n">
        <v>22663.39</v>
      </c>
      <c r="C236" t="n">
        <v>29039.76</v>
      </c>
      <c r="D236" t="n">
        <v>3043.14</v>
      </c>
    </row>
    <row r="237">
      <c r="A237" t="n">
        <v>742</v>
      </c>
      <c r="B237" t="n">
        <v>9664.5</v>
      </c>
      <c r="C237" t="n">
        <v>56339.76</v>
      </c>
      <c r="D237" t="n">
        <v>22822.06</v>
      </c>
    </row>
    <row r="238">
      <c r="A238" t="n">
        <v>673</v>
      </c>
      <c r="B238" t="n">
        <v>22822.06</v>
      </c>
      <c r="C238" t="n">
        <v>54355.86</v>
      </c>
      <c r="D238" t="n">
        <v>13668.14</v>
      </c>
    </row>
    <row r="239">
      <c r="A239" t="n">
        <v>817</v>
      </c>
      <c r="B239" t="n">
        <v>7163.14</v>
      </c>
      <c r="C239" t="n">
        <v>27279.48</v>
      </c>
      <c r="D239" t="n">
        <v>9403.959999999999</v>
      </c>
    </row>
    <row r="240">
      <c r="A240" t="n">
        <v>727</v>
      </c>
      <c r="B240" t="n">
        <v>6325.55</v>
      </c>
      <c r="C240" t="n">
        <v>13311.28</v>
      </c>
      <c r="D240" t="n">
        <v>9437.1</v>
      </c>
    </row>
    <row r="241">
      <c r="A241" t="n">
        <v>690</v>
      </c>
      <c r="B241" t="n">
        <v>25442.63</v>
      </c>
      <c r="C241" t="n">
        <v>45820.66</v>
      </c>
      <c r="D241" t="n">
        <v>31712.89</v>
      </c>
    </row>
    <row r="242">
      <c r="A242" t="n">
        <v>714</v>
      </c>
      <c r="B242" t="n">
        <v>13668.14</v>
      </c>
      <c r="C242" t="n">
        <v>10524.05</v>
      </c>
      <c r="D242" t="n">
        <v>14243</v>
      </c>
    </row>
    <row r="243">
      <c r="A243" t="n">
        <v>707</v>
      </c>
      <c r="B243" t="n">
        <v>9437.1</v>
      </c>
      <c r="C243" t="n">
        <v>54090.38</v>
      </c>
      <c r="D243" t="n">
        <v>7719.71</v>
      </c>
    </row>
    <row r="244">
      <c r="A244" t="n">
        <v>693</v>
      </c>
      <c r="B244" t="n">
        <v>14243</v>
      </c>
      <c r="C244" t="n">
        <v>15144.39</v>
      </c>
      <c r="D244" t="n">
        <v>9457.84</v>
      </c>
    </row>
    <row r="245">
      <c r="A245" t="n">
        <v>734</v>
      </c>
      <c r="B245" t="n">
        <v>7719.71</v>
      </c>
      <c r="C245" t="n">
        <v>41660.99</v>
      </c>
      <c r="D245" t="n">
        <v>19099.74</v>
      </c>
    </row>
    <row r="246">
      <c r="A246" t="n">
        <v>727</v>
      </c>
      <c r="B246" t="n">
        <v>15750.99</v>
      </c>
      <c r="C246" t="n">
        <v>58067.66</v>
      </c>
      <c r="D246" t="n">
        <v>13762.47</v>
      </c>
    </row>
    <row r="247">
      <c r="A247" t="n">
        <v>744</v>
      </c>
      <c r="B247" t="n">
        <v>8715.4</v>
      </c>
      <c r="C247" t="n">
        <v>23283.77</v>
      </c>
      <c r="D247" t="n">
        <v>22624.14</v>
      </c>
    </row>
    <row r="248">
      <c r="A248" t="n">
        <v>711</v>
      </c>
      <c r="B248" t="n">
        <v>16957.18</v>
      </c>
      <c r="C248" t="n">
        <v>52383.97</v>
      </c>
      <c r="D248" t="n">
        <v>16957.18</v>
      </c>
    </row>
    <row r="249">
      <c r="A249" t="n">
        <v>688</v>
      </c>
      <c r="B249" t="n">
        <v>10563.01</v>
      </c>
      <c r="C249" t="n">
        <v>6336.05</v>
      </c>
      <c r="D249" t="n">
        <v>7514.5</v>
      </c>
    </row>
    <row r="250">
      <c r="A250" t="n">
        <v>721</v>
      </c>
      <c r="B250" t="n">
        <v>9111.02</v>
      </c>
      <c r="C250" t="n">
        <v>59269.43</v>
      </c>
      <c r="D250" t="n">
        <v>9775.209999999999</v>
      </c>
    </row>
    <row r="251">
      <c r="A251" t="n">
        <v>740</v>
      </c>
      <c r="B251" t="n">
        <v>8426.74</v>
      </c>
      <c r="C251" t="n">
        <v>32117.38</v>
      </c>
      <c r="D251" t="n">
        <v>24593.3</v>
      </c>
    </row>
    <row r="252">
      <c r="A252" t="n">
        <v>691</v>
      </c>
      <c r="B252" t="n">
        <v>6130.9</v>
      </c>
      <c r="C252" t="n">
        <v>39543.71</v>
      </c>
      <c r="D252" t="n">
        <v>12048.32</v>
      </c>
    </row>
    <row r="253">
      <c r="A253" t="n">
        <v>680</v>
      </c>
      <c r="B253" t="n">
        <v>13937.46</v>
      </c>
      <c r="C253" t="n">
        <v>50434.72</v>
      </c>
      <c r="D253" t="n">
        <v>9209.610000000001</v>
      </c>
    </row>
    <row r="254">
      <c r="A254" t="n">
        <v>734</v>
      </c>
      <c r="B254" t="n">
        <v>11638.28</v>
      </c>
      <c r="C254" t="n">
        <v>38908.43</v>
      </c>
      <c r="D254" t="n">
        <v>11538.21</v>
      </c>
    </row>
    <row r="255">
      <c r="A255" t="n">
        <v>736</v>
      </c>
      <c r="B255" t="n">
        <v>9775.209999999999</v>
      </c>
      <c r="C255" t="n">
        <v>5765.68</v>
      </c>
      <c r="D255" t="n">
        <v>10400.54</v>
      </c>
    </row>
    <row r="256">
      <c r="A256" t="n">
        <v>687</v>
      </c>
      <c r="B256" t="n">
        <v>12742.41</v>
      </c>
      <c r="C256" t="n">
        <v>34244.95</v>
      </c>
      <c r="D256" t="n">
        <v>3333.83</v>
      </c>
    </row>
    <row r="257">
      <c r="A257" t="n">
        <v>677</v>
      </c>
      <c r="B257" t="n">
        <v>9209.610000000001</v>
      </c>
      <c r="C257" t="n">
        <v>25891.63</v>
      </c>
      <c r="D257" t="n">
        <v>3420.67</v>
      </c>
    </row>
    <row r="258">
      <c r="A258" t="n">
        <v>666</v>
      </c>
      <c r="B258" t="n">
        <v>5270.6</v>
      </c>
      <c r="C258" t="n">
        <v>58040.88</v>
      </c>
      <c r="D258" t="n">
        <v>4612.6</v>
      </c>
    </row>
    <row r="259">
      <c r="A259" t="n">
        <v>730</v>
      </c>
      <c r="B259" t="n">
        <v>15992.88</v>
      </c>
      <c r="C259" t="n">
        <v>59499.05</v>
      </c>
      <c r="D259" t="n">
        <v>12598.2</v>
      </c>
    </row>
    <row r="260">
      <c r="A260" t="n">
        <v>725</v>
      </c>
      <c r="B260" t="n">
        <v>8230.83</v>
      </c>
      <c r="C260" t="n">
        <v>56982.95</v>
      </c>
      <c r="D260" t="n">
        <v>22799.82</v>
      </c>
    </row>
    <row r="261">
      <c r="A261" t="n">
        <v>642</v>
      </c>
      <c r="B261" t="n">
        <v>3349.76</v>
      </c>
      <c r="C261" t="n">
        <v>58861.42</v>
      </c>
      <c r="D261" t="n">
        <v>6643.66</v>
      </c>
    </row>
    <row r="262">
      <c r="A262" t="n">
        <v>720</v>
      </c>
      <c r="B262" t="n">
        <v>3333.83</v>
      </c>
      <c r="C262" t="n">
        <v>31913.28</v>
      </c>
      <c r="D262" t="n">
        <v>7516.81</v>
      </c>
    </row>
    <row r="263">
      <c r="A263" t="n">
        <v>599</v>
      </c>
      <c r="B263" t="n">
        <v>11459.91</v>
      </c>
      <c r="C263" t="n">
        <v>20678.48</v>
      </c>
      <c r="D263" t="n">
        <v>4199.23</v>
      </c>
    </row>
    <row r="264">
      <c r="A264" t="n">
        <v>627</v>
      </c>
      <c r="B264" t="n">
        <v>23176.58</v>
      </c>
      <c r="C264" t="n">
        <v>42903.93</v>
      </c>
      <c r="D264" t="n">
        <v>16251.7</v>
      </c>
    </row>
    <row r="265">
      <c r="A265" t="n">
        <v>750</v>
      </c>
      <c r="B265" t="n">
        <v>14783.39</v>
      </c>
      <c r="C265" t="n">
        <v>11952.74</v>
      </c>
      <c r="D265" t="n">
        <v>4126.09</v>
      </c>
    </row>
    <row r="266">
      <c r="A266" t="n">
        <v>644</v>
      </c>
      <c r="B266" t="n">
        <v>20901.72</v>
      </c>
      <c r="C266" t="n">
        <v>24902.3</v>
      </c>
      <c r="D266" t="n">
        <v>11947.5</v>
      </c>
    </row>
    <row r="267">
      <c r="A267" t="n">
        <v>655</v>
      </c>
      <c r="B267" t="n">
        <v>7516.81</v>
      </c>
      <c r="C267" t="n">
        <v>30287.51</v>
      </c>
      <c r="D267" t="n">
        <v>14597.03</v>
      </c>
    </row>
    <row r="268">
      <c r="A268" t="n">
        <v>656</v>
      </c>
      <c r="B268" t="n">
        <v>24777.18</v>
      </c>
      <c r="C268" t="n">
        <v>40655.44</v>
      </c>
      <c r="D268" t="n">
        <v>15318.9</v>
      </c>
    </row>
    <row r="269">
      <c r="A269" t="n">
        <v>670</v>
      </c>
      <c r="B269" t="n">
        <v>12007.12</v>
      </c>
      <c r="C269" t="n">
        <v>53059.27</v>
      </c>
      <c r="D269" t="n">
        <v>8909.120000000001</v>
      </c>
    </row>
    <row r="270">
      <c r="A270" t="n">
        <v>686</v>
      </c>
      <c r="B270" t="n">
        <v>19630.99</v>
      </c>
      <c r="C270" t="n">
        <v>26310</v>
      </c>
      <c r="D270" t="n">
        <v>2188.71</v>
      </c>
    </row>
    <row r="271">
      <c r="A271" t="n">
        <v>693</v>
      </c>
      <c r="B271" t="n">
        <v>17498.89</v>
      </c>
      <c r="C271" t="n">
        <v>37655.9</v>
      </c>
      <c r="D271" t="n">
        <v>6587.98</v>
      </c>
    </row>
    <row r="272">
      <c r="A272" t="n">
        <v>674</v>
      </c>
      <c r="B272" t="n">
        <v>4126.09</v>
      </c>
      <c r="C272" t="n">
        <v>37371.5</v>
      </c>
      <c r="D272" t="n">
        <v>9066.57</v>
      </c>
    </row>
    <row r="273">
      <c r="A273" t="n">
        <v>654</v>
      </c>
      <c r="B273" t="n">
        <v>16900.59</v>
      </c>
      <c r="C273" t="n">
        <v>55168.91</v>
      </c>
      <c r="D273" t="n">
        <v>6030.1</v>
      </c>
    </row>
    <row r="274">
      <c r="A274" t="n">
        <v>665</v>
      </c>
      <c r="B274" t="n">
        <v>16117.43</v>
      </c>
      <c r="C274" t="n">
        <v>26730.45</v>
      </c>
      <c r="D274" t="n">
        <v>4053.56</v>
      </c>
    </row>
    <row r="275">
      <c r="A275" t="n">
        <v>763</v>
      </c>
      <c r="B275" t="n">
        <v>10954.94</v>
      </c>
      <c r="C275" t="n">
        <v>42051.69</v>
      </c>
      <c r="D275" t="n">
        <v>6704.18</v>
      </c>
    </row>
    <row r="276">
      <c r="A276" t="n">
        <v>753</v>
      </c>
      <c r="B276" t="n">
        <v>6030.1</v>
      </c>
      <c r="C276" t="n">
        <v>40362.22</v>
      </c>
      <c r="D276" t="n">
        <v>3747.6</v>
      </c>
    </row>
    <row r="277">
      <c r="A277" t="n">
        <v>671</v>
      </c>
      <c r="B277" t="n">
        <v>6704.18</v>
      </c>
      <c r="C277" t="n">
        <v>7307.02</v>
      </c>
      <c r="D277" t="n">
        <v>20395.24</v>
      </c>
    </row>
    <row r="278">
      <c r="A278" t="n">
        <v>642</v>
      </c>
      <c r="B278" t="n">
        <v>35611.57</v>
      </c>
      <c r="C278" t="n">
        <v>41245.05</v>
      </c>
      <c r="D278" t="n">
        <v>4931.55</v>
      </c>
    </row>
    <row r="279">
      <c r="A279" t="n">
        <v>836</v>
      </c>
      <c r="B279" t="n">
        <v>6431.91</v>
      </c>
      <c r="C279" t="n">
        <v>26181.31</v>
      </c>
      <c r="D279" t="n">
        <v>15316.38</v>
      </c>
    </row>
    <row r="280">
      <c r="A280" t="n">
        <v>583</v>
      </c>
      <c r="B280" t="n">
        <v>26760.42</v>
      </c>
      <c r="C280" t="n">
        <v>22452.45</v>
      </c>
      <c r="D280" t="n">
        <v>2388.97</v>
      </c>
    </row>
    <row r="281">
      <c r="A281" t="n">
        <v>636</v>
      </c>
      <c r="B281" t="n">
        <v>20395.24</v>
      </c>
      <c r="C281" t="n">
        <v>13451.48</v>
      </c>
      <c r="D281" t="n">
        <v>12810.07</v>
      </c>
    </row>
    <row r="282">
      <c r="A282" t="n">
        <v>706</v>
      </c>
      <c r="B282" t="n">
        <v>5180.96</v>
      </c>
      <c r="C282" t="n">
        <v>16953.92</v>
      </c>
      <c r="D282" t="n">
        <v>19791.6</v>
      </c>
    </row>
    <row r="283">
      <c r="A283" t="n">
        <v>727</v>
      </c>
      <c r="B283" t="n">
        <v>2388.97</v>
      </c>
      <c r="C283" t="n">
        <v>50894.46</v>
      </c>
      <c r="D283" t="n">
        <v>12824.38</v>
      </c>
    </row>
    <row r="284">
      <c r="A284" t="n">
        <v>800</v>
      </c>
      <c r="B284" t="n">
        <v>8323.629999999999</v>
      </c>
      <c r="C284" t="n">
        <v>46824.46</v>
      </c>
      <c r="D284" t="n">
        <v>12473.21</v>
      </c>
    </row>
    <row r="285">
      <c r="A285" t="n">
        <v>713</v>
      </c>
      <c r="B285" t="n">
        <v>10603.67</v>
      </c>
      <c r="C285" t="n">
        <v>34417.99</v>
      </c>
      <c r="D285" t="n">
        <v>11984.56</v>
      </c>
    </row>
    <row r="286">
      <c r="A286" t="n">
        <v>806</v>
      </c>
      <c r="B286" t="n">
        <v>8260.200000000001</v>
      </c>
      <c r="C286" t="n">
        <v>36998.9</v>
      </c>
      <c r="D286" t="n">
        <v>13133.3</v>
      </c>
    </row>
    <row r="287">
      <c r="A287" t="n">
        <v>740</v>
      </c>
      <c r="B287" t="n">
        <v>12824.38</v>
      </c>
      <c r="C287" t="n">
        <v>29714.49</v>
      </c>
      <c r="D287" t="n">
        <v>3235.09</v>
      </c>
    </row>
    <row r="288">
      <c r="A288" t="n">
        <v>743</v>
      </c>
      <c r="B288" t="n">
        <v>9916.57</v>
      </c>
      <c r="C288" t="n">
        <v>28732.44</v>
      </c>
      <c r="D288" t="n">
        <v>7005.21</v>
      </c>
    </row>
    <row r="289">
      <c r="A289" t="n">
        <v>726</v>
      </c>
      <c r="B289" t="n">
        <v>10219.78</v>
      </c>
      <c r="C289" t="n">
        <v>10782.28</v>
      </c>
      <c r="D289" t="n">
        <v>11409.58</v>
      </c>
    </row>
    <row r="290">
      <c r="A290" t="n">
        <v>807</v>
      </c>
      <c r="B290" t="n">
        <v>3840.63</v>
      </c>
      <c r="C290" t="n">
        <v>27175.7</v>
      </c>
      <c r="D290" t="n">
        <v>5399.02</v>
      </c>
    </row>
    <row r="291">
      <c r="A291" t="n">
        <v>676</v>
      </c>
      <c r="B291" t="n">
        <v>11936.39</v>
      </c>
      <c r="C291" t="n">
        <v>16125.35</v>
      </c>
      <c r="D291" t="n">
        <v>3810.45</v>
      </c>
    </row>
    <row r="292">
      <c r="A292" t="n">
        <v>668</v>
      </c>
      <c r="B292" t="n">
        <v>14584.84</v>
      </c>
      <c r="C292" t="n">
        <v>8185.61</v>
      </c>
      <c r="D292" t="n">
        <v>16749.07</v>
      </c>
    </row>
    <row r="293">
      <c r="A293" t="n">
        <v>752</v>
      </c>
      <c r="B293" t="n">
        <v>12847.36</v>
      </c>
      <c r="C293" t="n">
        <v>43509.22</v>
      </c>
      <c r="D293" t="n">
        <v>7869.07</v>
      </c>
    </row>
    <row r="294">
      <c r="A294" t="n">
        <v>829</v>
      </c>
      <c r="B294" t="n">
        <v>3810.45</v>
      </c>
      <c r="C294" t="n">
        <v>22199.93</v>
      </c>
      <c r="D294" t="n">
        <v>3617.65</v>
      </c>
    </row>
    <row r="295">
      <c r="A295" t="n">
        <v>838</v>
      </c>
      <c r="B295" t="n">
        <v>4376.11</v>
      </c>
      <c r="C295" t="n">
        <v>26420.23</v>
      </c>
      <c r="D295" t="n">
        <v>9025.860000000001</v>
      </c>
    </row>
    <row r="296">
      <c r="A296" t="n">
        <v>743</v>
      </c>
      <c r="B296" t="n">
        <v>3617.65</v>
      </c>
      <c r="C296" t="n">
        <v>43604.11</v>
      </c>
      <c r="D296" t="n">
        <v>18144.8</v>
      </c>
    </row>
    <row r="297">
      <c r="A297" t="n">
        <v>707</v>
      </c>
      <c r="B297" t="n">
        <v>16145.45</v>
      </c>
      <c r="C297" t="n">
        <v>56265.29</v>
      </c>
      <c r="D297" t="n">
        <v>5124.93</v>
      </c>
    </row>
    <row r="298">
      <c r="A298" t="n">
        <v>689</v>
      </c>
      <c r="B298" t="n">
        <v>15368.55</v>
      </c>
      <c r="C298" t="n">
        <v>25151.29</v>
      </c>
      <c r="D298" t="n">
        <v>7007.5</v>
      </c>
    </row>
    <row r="299">
      <c r="A299" t="n">
        <v>736</v>
      </c>
      <c r="B299" t="n">
        <v>14519.46</v>
      </c>
      <c r="C299" t="n">
        <v>27797.01</v>
      </c>
      <c r="D299" t="n">
        <v>2698.11</v>
      </c>
    </row>
    <row r="300">
      <c r="A300" t="n">
        <v>657</v>
      </c>
      <c r="B300" t="n">
        <v>2698.11</v>
      </c>
      <c r="C300" t="n">
        <v>35996.8</v>
      </c>
      <c r="D300" t="n">
        <v>14505.33</v>
      </c>
    </row>
    <row r="301">
      <c r="A301" t="n">
        <v>620</v>
      </c>
      <c r="B301" t="n">
        <v>18751.33</v>
      </c>
      <c r="C301" t="n">
        <v>17851.61</v>
      </c>
      <c r="D301" t="n">
        <v>15058.1</v>
      </c>
    </row>
    <row r="302">
      <c r="A302" t="n">
        <v>685</v>
      </c>
      <c r="B302" t="n">
        <v>14421.16</v>
      </c>
      <c r="C302" t="n">
        <v>13253.42</v>
      </c>
      <c r="D302" t="n">
        <v>13271.56</v>
      </c>
    </row>
    <row r="303">
      <c r="A303" t="n">
        <v>723</v>
      </c>
      <c r="B303" t="n">
        <v>14505.33</v>
      </c>
      <c r="C303" t="n">
        <v>41087.57</v>
      </c>
      <c r="D303" t="n">
        <v>11107.66</v>
      </c>
    </row>
    <row r="304">
      <c r="A304" t="n">
        <v>700</v>
      </c>
      <c r="B304" t="n">
        <v>8295.09</v>
      </c>
      <c r="C304" t="n">
        <v>47325.92</v>
      </c>
      <c r="D304" t="n">
        <v>6883.42</v>
      </c>
    </row>
    <row r="305">
      <c r="A305" t="n">
        <v>784</v>
      </c>
      <c r="B305" t="n">
        <v>6883.42</v>
      </c>
      <c r="C305" t="n">
        <v>27712.34</v>
      </c>
      <c r="D305" t="n">
        <v>6414.2</v>
      </c>
    </row>
    <row r="306">
      <c r="A306" t="n">
        <v>684</v>
      </c>
      <c r="B306" t="n">
        <v>6414.2</v>
      </c>
      <c r="C306" t="n">
        <v>21959.04</v>
      </c>
      <c r="D306" t="n">
        <v>7794.98</v>
      </c>
    </row>
    <row r="307">
      <c r="A307" t="n">
        <v>732</v>
      </c>
      <c r="B307" t="n">
        <v>8269.370000000001</v>
      </c>
      <c r="C307" t="n">
        <v>25834.84</v>
      </c>
      <c r="D307" t="n">
        <v>11890</v>
      </c>
    </row>
    <row r="308">
      <c r="A308" t="n">
        <v>745</v>
      </c>
      <c r="B308" t="n">
        <v>7325.52</v>
      </c>
      <c r="C308" t="n">
        <v>11841.48</v>
      </c>
      <c r="D308" t="n">
        <v>10259.1</v>
      </c>
    </row>
    <row r="309">
      <c r="A309" t="n">
        <v>736</v>
      </c>
      <c r="B309" t="n">
        <v>13954.36</v>
      </c>
      <c r="C309" t="n">
        <v>19419.15</v>
      </c>
      <c r="D309" t="n">
        <v>11627.08</v>
      </c>
    </row>
    <row r="310">
      <c r="A310" t="n">
        <v>689</v>
      </c>
      <c r="B310" t="n">
        <v>5958.86</v>
      </c>
      <c r="C310" t="n">
        <v>35924.5</v>
      </c>
      <c r="D310" t="n">
        <v>11701.15</v>
      </c>
    </row>
    <row r="311">
      <c r="A311" t="n">
        <v>805</v>
      </c>
      <c r="B311" t="n">
        <v>7317.37</v>
      </c>
      <c r="C311" t="n">
        <v>35492.68</v>
      </c>
      <c r="D311" t="n">
        <v>8390.459999999999</v>
      </c>
    </row>
    <row r="312">
      <c r="A312" t="n">
        <v>815</v>
      </c>
      <c r="B312" t="n">
        <v>3159.76</v>
      </c>
      <c r="C312" t="n">
        <v>57935.96</v>
      </c>
      <c r="D312" t="n">
        <v>199.38</v>
      </c>
    </row>
    <row r="313">
      <c r="A313" t="n">
        <v>708</v>
      </c>
      <c r="B313" t="n">
        <v>11443.52</v>
      </c>
      <c r="C313" t="n">
        <v>52611.94</v>
      </c>
      <c r="D313" t="n">
        <v>22011.73</v>
      </c>
    </row>
    <row r="314">
      <c r="A314" t="n">
        <v>719</v>
      </c>
      <c r="B314" t="n">
        <v>0</v>
      </c>
      <c r="C314" t="n">
        <v>54288.94</v>
      </c>
      <c r="D314" t="n">
        <v>13826.15</v>
      </c>
    </row>
    <row r="315">
      <c r="A315" t="n">
        <v>697</v>
      </c>
      <c r="B315" t="n">
        <v>7663.64</v>
      </c>
      <c r="C315" t="n">
        <v>25824.62</v>
      </c>
      <c r="D315" t="n">
        <v>8657.290000000001</v>
      </c>
    </row>
    <row r="316">
      <c r="A316" t="n">
        <v>783</v>
      </c>
      <c r="B316" t="n">
        <v>7958.95</v>
      </c>
      <c r="C316" t="n">
        <v>59766.02</v>
      </c>
      <c r="D316" t="n">
        <v>8172.22</v>
      </c>
    </row>
    <row r="317">
      <c r="A317" t="n">
        <v>798</v>
      </c>
      <c r="B317" t="n">
        <v>8657.290000000001</v>
      </c>
      <c r="C317" t="n">
        <v>32587.68</v>
      </c>
      <c r="D317" t="n">
        <v>11902.68</v>
      </c>
    </row>
    <row r="318">
      <c r="A318" t="n">
        <v>654</v>
      </c>
      <c r="B318" t="n">
        <v>5859.5</v>
      </c>
      <c r="C318" t="n">
        <v>44604.52</v>
      </c>
      <c r="D318" t="n">
        <v>26889.45</v>
      </c>
    </row>
    <row r="319">
      <c r="A319" t="n">
        <v>724</v>
      </c>
      <c r="B319" t="n">
        <v>13928.03</v>
      </c>
      <c r="C319" t="n">
        <v>45075.81</v>
      </c>
      <c r="D319" t="n">
        <v>6569.17</v>
      </c>
    </row>
    <row r="320">
      <c r="A320" t="n">
        <v>776</v>
      </c>
      <c r="B320" t="n">
        <v>8103.95</v>
      </c>
      <c r="C320" t="n">
        <v>15726.96</v>
      </c>
      <c r="D320" t="n">
        <v>6123.68</v>
      </c>
    </row>
    <row r="321">
      <c r="A321" t="n">
        <v>679</v>
      </c>
      <c r="B321" t="n">
        <v>26889.45</v>
      </c>
      <c r="C321" t="n">
        <v>20987.34</v>
      </c>
      <c r="D321" t="n">
        <v>18971.05</v>
      </c>
    </row>
    <row r="322">
      <c r="A322" t="n">
        <v>601</v>
      </c>
      <c r="B322" t="n">
        <v>13509.85</v>
      </c>
      <c r="C322" t="n">
        <v>20251.87</v>
      </c>
      <c r="D322" t="n">
        <v>18259.88</v>
      </c>
    </row>
    <row r="323">
      <c r="A323" t="n">
        <v>609</v>
      </c>
      <c r="B323" t="n">
        <v>18971.05</v>
      </c>
      <c r="C323" t="n">
        <v>44675.25</v>
      </c>
      <c r="D323" t="n">
        <v>4.97</v>
      </c>
    </row>
    <row r="324">
      <c r="A324" t="n">
        <v>643</v>
      </c>
      <c r="B324" t="n">
        <v>18259.88</v>
      </c>
      <c r="C324" t="n">
        <v>49568.47</v>
      </c>
      <c r="D324" t="n">
        <v>2979.08</v>
      </c>
    </row>
    <row r="325">
      <c r="A325" t="n">
        <v>677</v>
      </c>
      <c r="B325" t="n">
        <v>12910.05</v>
      </c>
      <c r="C325" t="n">
        <v>52532.5</v>
      </c>
      <c r="D325" t="n">
        <v>11037.85</v>
      </c>
    </row>
    <row r="326">
      <c r="A326" t="n">
        <v>697</v>
      </c>
      <c r="B326" t="n">
        <v>2979.08</v>
      </c>
      <c r="C326" t="n">
        <v>6349.72</v>
      </c>
      <c r="D326" t="n">
        <v>1482.12</v>
      </c>
    </row>
    <row r="327">
      <c r="A327" t="n">
        <v>663</v>
      </c>
      <c r="B327" t="n">
        <v>14401.66</v>
      </c>
      <c r="C327" t="n">
        <v>28997.53</v>
      </c>
      <c r="D327" t="n">
        <v>16969.9</v>
      </c>
    </row>
    <row r="328">
      <c r="A328" t="n">
        <v>720</v>
      </c>
      <c r="B328" t="n">
        <v>11294.55</v>
      </c>
      <c r="C328" t="n">
        <v>16173.25</v>
      </c>
      <c r="D328" t="n">
        <v>4831.64</v>
      </c>
    </row>
    <row r="329">
      <c r="A329" t="n">
        <v>736</v>
      </c>
      <c r="B329" t="n">
        <v>10770.49</v>
      </c>
      <c r="C329" t="n">
        <v>6764.75</v>
      </c>
      <c r="D329" t="n">
        <v>10770.49</v>
      </c>
    </row>
    <row r="330">
      <c r="A330" t="n">
        <v>658</v>
      </c>
      <c r="B330" t="n">
        <v>20614.41</v>
      </c>
      <c r="C330" t="n">
        <v>30778.17</v>
      </c>
      <c r="D330" t="n">
        <v>0</v>
      </c>
    </row>
    <row r="331">
      <c r="A331" t="n">
        <v>802</v>
      </c>
      <c r="B331" t="n">
        <v>0</v>
      </c>
      <c r="C331" t="n">
        <v>42338.43</v>
      </c>
      <c r="D331" t="n">
        <v>8018.34</v>
      </c>
    </row>
    <row r="332">
      <c r="A332" t="n">
        <v>710</v>
      </c>
      <c r="B332" t="n">
        <v>10229.79</v>
      </c>
      <c r="C332" t="n">
        <v>9848.280000000001</v>
      </c>
      <c r="D332" t="n">
        <v>10063.24</v>
      </c>
    </row>
    <row r="333">
      <c r="A333" t="n">
        <v>747</v>
      </c>
      <c r="B333" t="n">
        <v>8018.34</v>
      </c>
      <c r="C333" t="n">
        <v>15116.79</v>
      </c>
      <c r="D333" t="n">
        <v>13673.51</v>
      </c>
    </row>
    <row r="334">
      <c r="A334" t="n">
        <v>702</v>
      </c>
      <c r="B334" t="n">
        <v>3663.35</v>
      </c>
      <c r="C334" t="n">
        <v>24439.23</v>
      </c>
      <c r="D334" t="n">
        <v>11208.9</v>
      </c>
    </row>
    <row r="335">
      <c r="A335" t="n">
        <v>736</v>
      </c>
      <c r="B335" t="n">
        <v>6563.22</v>
      </c>
      <c r="C335" t="n">
        <v>50932.45</v>
      </c>
      <c r="D335" t="n">
        <v>6565.81</v>
      </c>
    </row>
    <row r="336">
      <c r="A336" t="n">
        <v>736</v>
      </c>
      <c r="B336" t="n">
        <v>9069.790000000001</v>
      </c>
      <c r="C336" t="n">
        <v>14346.24</v>
      </c>
      <c r="D336" t="n">
        <v>19264.24</v>
      </c>
    </row>
    <row r="337">
      <c r="A337" t="n">
        <v>683</v>
      </c>
      <c r="B337" t="n">
        <v>12834.41</v>
      </c>
      <c r="C337" t="n">
        <v>13214.03</v>
      </c>
      <c r="D337" t="n">
        <v>16081.54</v>
      </c>
    </row>
    <row r="338">
      <c r="A338" t="n">
        <v>714</v>
      </c>
      <c r="B338" t="n">
        <v>14096.36</v>
      </c>
      <c r="C338" t="n">
        <v>55038.18</v>
      </c>
      <c r="D338" t="n">
        <v>20013.54</v>
      </c>
    </row>
    <row r="339">
      <c r="A339" t="n">
        <v>687</v>
      </c>
      <c r="B339" t="n">
        <v>19098.35</v>
      </c>
      <c r="C339" t="n">
        <v>53506.67</v>
      </c>
      <c r="D339" t="n">
        <v>23024.6</v>
      </c>
    </row>
    <row r="340">
      <c r="A340" t="n">
        <v>622</v>
      </c>
      <c r="B340" t="n">
        <v>16167.01</v>
      </c>
      <c r="C340" t="n">
        <v>42870.55</v>
      </c>
      <c r="D340" t="n">
        <v>13948.5</v>
      </c>
    </row>
    <row r="341">
      <c r="A341" t="n">
        <v>638</v>
      </c>
      <c r="B341" t="n">
        <v>16880.95</v>
      </c>
      <c r="C341" t="n">
        <v>45811.24</v>
      </c>
      <c r="D341" t="n">
        <v>9058.32</v>
      </c>
    </row>
    <row r="342">
      <c r="A342" t="n">
        <v>742</v>
      </c>
      <c r="B342" t="n">
        <v>8791.59</v>
      </c>
      <c r="C342" t="n">
        <v>58674.77</v>
      </c>
      <c r="D342" t="n">
        <v>9626.610000000001</v>
      </c>
    </row>
    <row r="343">
      <c r="A343" t="n">
        <v>670</v>
      </c>
      <c r="B343" t="n">
        <v>23024.6</v>
      </c>
      <c r="C343" t="n">
        <v>20858.17</v>
      </c>
      <c r="D343" t="n">
        <v>6019</v>
      </c>
    </row>
    <row r="344">
      <c r="A344" t="n">
        <v>767</v>
      </c>
      <c r="B344" t="n">
        <v>8853.74</v>
      </c>
      <c r="C344" t="n">
        <v>53413.67</v>
      </c>
      <c r="D344" t="n">
        <v>10795.85</v>
      </c>
    </row>
    <row r="345">
      <c r="A345" t="n">
        <v>760</v>
      </c>
      <c r="B345" t="n">
        <v>1371.03</v>
      </c>
      <c r="C345" t="n">
        <v>42492.86</v>
      </c>
      <c r="D345" t="n">
        <v>8386.51</v>
      </c>
    </row>
    <row r="346">
      <c r="A346" t="n">
        <v>687</v>
      </c>
      <c r="B346" t="n">
        <v>12445.72</v>
      </c>
      <c r="C346" t="n">
        <v>50102.5</v>
      </c>
      <c r="D346" t="n">
        <v>18816.85</v>
      </c>
    </row>
    <row r="347">
      <c r="A347" t="n">
        <v>726</v>
      </c>
      <c r="B347" t="n">
        <v>9255.299999999999</v>
      </c>
      <c r="C347" t="n">
        <v>55410.74</v>
      </c>
      <c r="D347" t="n">
        <v>6331.49</v>
      </c>
    </row>
    <row r="348">
      <c r="A348" t="n">
        <v>779</v>
      </c>
      <c r="B348" t="n">
        <v>6976.95</v>
      </c>
      <c r="C348" t="n">
        <v>51501.87</v>
      </c>
      <c r="D348" t="n">
        <v>25526.84</v>
      </c>
    </row>
    <row r="349">
      <c r="A349" t="n">
        <v>701</v>
      </c>
      <c r="B349" t="n">
        <v>12459.94</v>
      </c>
      <c r="C349" t="n">
        <v>35255.14</v>
      </c>
      <c r="D349" t="n">
        <v>13956.85</v>
      </c>
    </row>
    <row r="350">
      <c r="A350" t="n">
        <v>654</v>
      </c>
      <c r="B350" t="n">
        <v>15068.28</v>
      </c>
      <c r="C350" t="n">
        <v>49145.65</v>
      </c>
      <c r="D350" t="n">
        <v>15016.03</v>
      </c>
    </row>
    <row r="351">
      <c r="A351" t="n">
        <v>730</v>
      </c>
      <c r="B351" t="n">
        <v>9888.790000000001</v>
      </c>
      <c r="C351" t="n">
        <v>11902.17</v>
      </c>
      <c r="D351" t="n">
        <v>9254.51</v>
      </c>
    </row>
    <row r="352">
      <c r="A352" t="n">
        <v>699</v>
      </c>
      <c r="B352" t="n">
        <v>8643.98</v>
      </c>
      <c r="C352" t="n">
        <v>23838.04</v>
      </c>
      <c r="D352" t="n">
        <v>5247.81</v>
      </c>
    </row>
    <row r="353">
      <c r="A353" t="n">
        <v>626</v>
      </c>
      <c r="B353" t="n">
        <v>25526.84</v>
      </c>
      <c r="C353" t="n">
        <v>44264.61</v>
      </c>
      <c r="D353" t="n">
        <v>14671.79</v>
      </c>
    </row>
    <row r="354">
      <c r="A354" t="n">
        <v>691</v>
      </c>
      <c r="B354" t="n">
        <v>13956.85</v>
      </c>
      <c r="C354" t="n">
        <v>47770.28</v>
      </c>
      <c r="D354" t="n">
        <v>10821.23</v>
      </c>
    </row>
    <row r="355">
      <c r="A355" t="n">
        <v>566</v>
      </c>
      <c r="B355" t="n">
        <v>32614.61</v>
      </c>
      <c r="C355" t="n">
        <v>24185.92</v>
      </c>
      <c r="D355" t="n">
        <v>9487.309999999999</v>
      </c>
    </row>
    <row r="356">
      <c r="A356" t="n">
        <v>683</v>
      </c>
      <c r="B356" t="n">
        <v>9254.51</v>
      </c>
      <c r="C356" t="n">
        <v>34982.22</v>
      </c>
      <c r="D356" t="n">
        <v>3770.32</v>
      </c>
    </row>
    <row r="357">
      <c r="A357" t="n">
        <v>641</v>
      </c>
      <c r="B357" t="n">
        <v>10821.23</v>
      </c>
      <c r="C357" t="n">
        <v>31921.86</v>
      </c>
      <c r="D357" t="n">
        <v>9201.48</v>
      </c>
    </row>
    <row r="358">
      <c r="A358" t="n">
        <v>686</v>
      </c>
      <c r="B358" t="n">
        <v>9487.309999999999</v>
      </c>
      <c r="C358" t="n">
        <v>32055.47</v>
      </c>
      <c r="D358" t="n">
        <v>2790.03</v>
      </c>
    </row>
    <row r="359">
      <c r="A359" t="n">
        <v>779</v>
      </c>
      <c r="B359" t="n">
        <v>6069.22</v>
      </c>
      <c r="C359" t="n">
        <v>10775.11</v>
      </c>
      <c r="D359" t="n">
        <v>5143.15</v>
      </c>
    </row>
    <row r="360">
      <c r="A360" t="n">
        <v>613</v>
      </c>
      <c r="B360" t="n">
        <v>11460.71</v>
      </c>
      <c r="C360" t="n">
        <v>20021.31</v>
      </c>
      <c r="D360" t="n">
        <v>10288.09</v>
      </c>
    </row>
    <row r="361">
      <c r="A361" t="n">
        <v>672</v>
      </c>
      <c r="B361" t="n">
        <v>12694.28</v>
      </c>
      <c r="C361" t="n">
        <v>53616.68</v>
      </c>
      <c r="D361" t="n">
        <v>673.47</v>
      </c>
    </row>
    <row r="362">
      <c r="A362" t="n">
        <v>711</v>
      </c>
      <c r="B362" t="n">
        <v>10288.09</v>
      </c>
      <c r="C362" t="n">
        <v>24006.41</v>
      </c>
      <c r="D362" t="n">
        <v>5376.7</v>
      </c>
    </row>
    <row r="363">
      <c r="A363" t="n">
        <v>730</v>
      </c>
      <c r="B363" t="n">
        <v>12951.39</v>
      </c>
      <c r="C363" t="n">
        <v>53641.88</v>
      </c>
      <c r="D363" t="n">
        <v>16342.77</v>
      </c>
    </row>
    <row r="364">
      <c r="A364" t="n">
        <v>649</v>
      </c>
      <c r="B364" t="n">
        <v>0</v>
      </c>
      <c r="C364" t="n">
        <v>26808.56</v>
      </c>
      <c r="D364" t="n">
        <v>12091.66</v>
      </c>
    </row>
    <row r="365">
      <c r="A365" t="n">
        <v>710</v>
      </c>
      <c r="B365" t="n">
        <v>14425.79</v>
      </c>
      <c r="C365" t="n">
        <v>35464.9</v>
      </c>
      <c r="D365" t="n">
        <v>9853.35</v>
      </c>
    </row>
    <row r="366">
      <c r="A366" t="n">
        <v>680</v>
      </c>
      <c r="B366" t="n">
        <v>17772.81</v>
      </c>
      <c r="C366" t="n">
        <v>46540.63</v>
      </c>
      <c r="D366" t="n">
        <v>29116.93</v>
      </c>
    </row>
    <row r="367">
      <c r="A367" t="n">
        <v>630</v>
      </c>
      <c r="B367" t="n">
        <v>24668.28</v>
      </c>
      <c r="C367" t="n">
        <v>44487.62</v>
      </c>
      <c r="D367" t="n">
        <v>23726.29</v>
      </c>
    </row>
    <row r="368">
      <c r="A368" t="n">
        <v>610</v>
      </c>
      <c r="B368" t="n">
        <v>17159.3</v>
      </c>
      <c r="C368" t="n">
        <v>53311.23</v>
      </c>
      <c r="D368" t="n">
        <v>7144.31</v>
      </c>
    </row>
    <row r="369">
      <c r="A369" t="n">
        <v>679</v>
      </c>
      <c r="B369" t="n">
        <v>10280.04</v>
      </c>
      <c r="C369" t="n">
        <v>27956.09</v>
      </c>
      <c r="D369" t="n">
        <v>4459.91</v>
      </c>
    </row>
    <row r="370">
      <c r="A370" t="n">
        <v>700</v>
      </c>
      <c r="B370" t="n">
        <v>4459.91</v>
      </c>
      <c r="C370" t="n">
        <v>11087.54</v>
      </c>
      <c r="D370" t="n">
        <v>10323.46</v>
      </c>
    </row>
    <row r="371">
      <c r="A371" t="n">
        <v>641</v>
      </c>
      <c r="B371" t="n">
        <v>18688.03</v>
      </c>
      <c r="C371" t="n">
        <v>28749.85</v>
      </c>
      <c r="D371" t="n">
        <v>18688.03</v>
      </c>
    </row>
    <row r="372">
      <c r="A372" t="n">
        <v>744</v>
      </c>
      <c r="B372" t="n">
        <v>9808.76</v>
      </c>
      <c r="C372" t="n">
        <v>21510.1</v>
      </c>
      <c r="D372" t="n">
        <v>11717.33</v>
      </c>
    </row>
    <row r="373">
      <c r="A373" t="n">
        <v>711</v>
      </c>
      <c r="B373" t="n">
        <v>8611.74</v>
      </c>
      <c r="C373" t="n">
        <v>44761.78</v>
      </c>
      <c r="D373" t="n">
        <v>5479.42</v>
      </c>
    </row>
    <row r="374">
      <c r="A374" t="n">
        <v>713</v>
      </c>
      <c r="B374" t="n">
        <v>6798.76</v>
      </c>
      <c r="C374" t="n">
        <v>44671.85</v>
      </c>
      <c r="D374" t="n">
        <v>11591.43</v>
      </c>
    </row>
    <row r="375">
      <c r="A375" t="n">
        <v>631</v>
      </c>
      <c r="B375" t="n">
        <v>20161.39</v>
      </c>
      <c r="C375" t="n">
        <v>17281.07</v>
      </c>
      <c r="D375" t="n">
        <v>5867.14</v>
      </c>
    </row>
    <row r="376">
      <c r="A376" t="n">
        <v>779</v>
      </c>
      <c r="B376" t="n">
        <v>11591.43</v>
      </c>
      <c r="C376" t="n">
        <v>56842.34</v>
      </c>
      <c r="D376" t="n">
        <v>5131.27</v>
      </c>
    </row>
    <row r="377">
      <c r="A377" t="n">
        <v>795</v>
      </c>
      <c r="B377" t="n">
        <v>5511.42</v>
      </c>
      <c r="C377" t="n">
        <v>32394.58</v>
      </c>
      <c r="D377" t="n">
        <v>12710.55</v>
      </c>
    </row>
    <row r="378">
      <c r="A378" t="n">
        <v>576</v>
      </c>
      <c r="B378" t="n">
        <v>26238.96</v>
      </c>
      <c r="C378" t="n">
        <v>55029.44</v>
      </c>
      <c r="D378" t="n">
        <v>3708.87</v>
      </c>
    </row>
    <row r="379">
      <c r="A379" t="n">
        <v>670</v>
      </c>
      <c r="B379" t="n">
        <v>9715.559999999999</v>
      </c>
      <c r="C379" t="n">
        <v>34024.43</v>
      </c>
      <c r="D379" t="n">
        <v>9301.74</v>
      </c>
    </row>
    <row r="380">
      <c r="A380" t="n">
        <v>791</v>
      </c>
      <c r="B380" t="n">
        <v>5851.54</v>
      </c>
      <c r="C380" t="n">
        <v>49672.97</v>
      </c>
      <c r="D380" t="n">
        <v>3450.67</v>
      </c>
    </row>
    <row r="381">
      <c r="A381" t="n">
        <v>671</v>
      </c>
      <c r="B381" t="n">
        <v>15832.49</v>
      </c>
      <c r="C381" t="n">
        <v>49379.47</v>
      </c>
      <c r="D381" t="n">
        <v>15780.12</v>
      </c>
    </row>
    <row r="382">
      <c r="A382" t="n">
        <v>709</v>
      </c>
      <c r="B382" t="n">
        <v>12710.55</v>
      </c>
      <c r="C382" t="n">
        <v>43003.54</v>
      </c>
      <c r="D382" t="n">
        <v>17687.67</v>
      </c>
    </row>
    <row r="383">
      <c r="A383" t="n">
        <v>761</v>
      </c>
      <c r="B383" t="n">
        <v>10570.84</v>
      </c>
      <c r="C383" t="n">
        <v>37745.4</v>
      </c>
      <c r="D383" t="n">
        <v>22280.03</v>
      </c>
    </row>
    <row r="384">
      <c r="A384" t="n">
        <v>700</v>
      </c>
      <c r="B384" t="n">
        <v>6040.53</v>
      </c>
      <c r="C384" t="n">
        <v>49364.91</v>
      </c>
      <c r="D384" t="n">
        <v>11359.46</v>
      </c>
    </row>
    <row r="385">
      <c r="A385" t="n">
        <v>678</v>
      </c>
      <c r="B385" t="n">
        <v>7899.33</v>
      </c>
      <c r="C385" t="n">
        <v>31022.97</v>
      </c>
      <c r="D385" t="n">
        <v>5557</v>
      </c>
    </row>
    <row r="386">
      <c r="A386" t="n">
        <v>720</v>
      </c>
      <c r="B386" t="n">
        <v>17687.67</v>
      </c>
      <c r="C386" t="n">
        <v>9234.309999999999</v>
      </c>
      <c r="D386" t="n">
        <v>23466.96</v>
      </c>
    </row>
    <row r="387">
      <c r="A387" t="n">
        <v>694</v>
      </c>
      <c r="B387" t="n">
        <v>6508.08</v>
      </c>
      <c r="C387" t="n">
        <v>16717.45</v>
      </c>
      <c r="D387" t="n">
        <v>13231.14</v>
      </c>
    </row>
    <row r="388">
      <c r="A388" t="n">
        <v>793</v>
      </c>
      <c r="B388" t="n">
        <v>11359.46</v>
      </c>
      <c r="C388" t="n">
        <v>46781.33</v>
      </c>
      <c r="D388" t="n">
        <v>15804.71</v>
      </c>
    </row>
    <row r="389">
      <c r="A389" t="n">
        <v>656</v>
      </c>
      <c r="B389" t="n">
        <v>5557</v>
      </c>
      <c r="C389" t="n">
        <v>46952.84</v>
      </c>
      <c r="D389" t="n">
        <v>6965.24</v>
      </c>
    </row>
    <row r="390">
      <c r="A390" t="n">
        <v>642</v>
      </c>
      <c r="B390" t="n">
        <v>15804.71</v>
      </c>
      <c r="C390" t="n">
        <v>14502.53</v>
      </c>
      <c r="D390" t="n">
        <v>7842.42</v>
      </c>
    </row>
    <row r="391">
      <c r="A391" t="n">
        <v>638</v>
      </c>
      <c r="B391" t="n">
        <v>24215.97</v>
      </c>
      <c r="C391" t="n">
        <v>19469.9</v>
      </c>
      <c r="D391" t="n">
        <v>14347.68</v>
      </c>
    </row>
    <row r="392">
      <c r="A392" t="n">
        <v>702</v>
      </c>
      <c r="B392" t="n">
        <v>20052.49</v>
      </c>
      <c r="C392" t="n">
        <v>30666.79</v>
      </c>
      <c r="D392" t="n">
        <v>23340.48</v>
      </c>
    </row>
    <row r="393">
      <c r="A393" t="n">
        <v>691</v>
      </c>
      <c r="B393" t="n">
        <v>24922.07</v>
      </c>
      <c r="C393" t="n">
        <v>10562.87</v>
      </c>
      <c r="D393" t="n">
        <v>6719.55</v>
      </c>
    </row>
    <row r="394">
      <c r="A394" t="n">
        <v>658</v>
      </c>
      <c r="B394" t="n">
        <v>19036.15</v>
      </c>
      <c r="C394" t="n">
        <v>43097.73</v>
      </c>
      <c r="D394" t="n">
        <v>18167.54</v>
      </c>
    </row>
    <row r="395">
      <c r="A395" t="n">
        <v>735</v>
      </c>
      <c r="B395" t="n">
        <v>7287.62</v>
      </c>
      <c r="C395" t="n">
        <v>39588.75</v>
      </c>
      <c r="D395" t="n">
        <v>6163.88</v>
      </c>
    </row>
    <row r="396">
      <c r="A396" t="n">
        <v>701</v>
      </c>
      <c r="B396" t="n">
        <v>6604.52</v>
      </c>
      <c r="C396" t="n">
        <v>43666.02</v>
      </c>
      <c r="D396" t="n">
        <v>10261.69</v>
      </c>
    </row>
    <row r="397">
      <c r="A397" t="n">
        <v>653</v>
      </c>
      <c r="B397" t="n">
        <v>23340.48</v>
      </c>
      <c r="C397" t="n">
        <v>40953.77</v>
      </c>
      <c r="D397" t="n">
        <v>16435.56</v>
      </c>
    </row>
    <row r="398">
      <c r="A398" t="n">
        <v>546</v>
      </c>
      <c r="B398" t="n">
        <v>15484.71</v>
      </c>
      <c r="C398" t="n">
        <v>20930.74</v>
      </c>
      <c r="D398" t="n">
        <v>14942.88</v>
      </c>
    </row>
    <row r="399">
      <c r="A399" t="n">
        <v>660</v>
      </c>
      <c r="B399" t="n">
        <v>18167.54</v>
      </c>
      <c r="C399" t="n">
        <v>30031.65</v>
      </c>
      <c r="D399" t="n">
        <v>3808.01</v>
      </c>
    </row>
    <row r="400">
      <c r="A400" t="n">
        <v>745</v>
      </c>
      <c r="B400" t="n">
        <v>15408.45</v>
      </c>
      <c r="C400" t="n">
        <v>59205.52</v>
      </c>
      <c r="D400" t="n">
        <v>6193.54</v>
      </c>
    </row>
    <row r="401">
      <c r="A401" t="n">
        <v>608</v>
      </c>
      <c r="B401" t="n">
        <v>24135.69</v>
      </c>
      <c r="C401" t="n">
        <v>23417.32</v>
      </c>
      <c r="D401" t="n">
        <v>12687.79</v>
      </c>
    </row>
    <row r="402">
      <c r="A402" t="n">
        <v>587</v>
      </c>
      <c r="B402" t="n">
        <v>29902.28</v>
      </c>
      <c r="C402" t="n">
        <v>52792.92</v>
      </c>
      <c r="D402" t="n">
        <v>12196.81</v>
      </c>
    </row>
    <row r="403">
      <c r="A403" t="n">
        <v>745</v>
      </c>
      <c r="B403" t="n">
        <v>15915.71</v>
      </c>
      <c r="C403" t="n">
        <v>19006.25</v>
      </c>
      <c r="D403" t="n">
        <v>3852.08</v>
      </c>
    </row>
    <row r="404">
      <c r="A404" t="n">
        <v>750</v>
      </c>
      <c r="B404" t="n">
        <v>7127.87</v>
      </c>
      <c r="C404" t="n">
        <v>18162.05</v>
      </c>
      <c r="D404" t="n">
        <v>9935.51</v>
      </c>
    </row>
    <row r="405">
      <c r="A405" t="n">
        <v>569</v>
      </c>
      <c r="B405" t="n">
        <v>25933.98</v>
      </c>
      <c r="C405" t="n">
        <v>41330.72</v>
      </c>
      <c r="D405" t="n">
        <v>4026.47</v>
      </c>
    </row>
    <row r="406">
      <c r="A406" t="n">
        <v>768</v>
      </c>
      <c r="B406" t="n">
        <v>3852.08</v>
      </c>
      <c r="C406" t="n">
        <v>55309.72</v>
      </c>
      <c r="D406" t="n">
        <v>3130.77</v>
      </c>
    </row>
    <row r="407">
      <c r="A407" t="n">
        <v>772</v>
      </c>
      <c r="B407" t="n">
        <v>5265.76</v>
      </c>
      <c r="C407" t="n">
        <v>15138.54</v>
      </c>
      <c r="D407" t="n">
        <v>15288.19</v>
      </c>
    </row>
    <row r="408">
      <c r="A408" t="n">
        <v>750</v>
      </c>
      <c r="B408" t="n">
        <v>8847.91</v>
      </c>
      <c r="C408" t="n">
        <v>22608.93</v>
      </c>
      <c r="D408" t="n">
        <v>15404.78</v>
      </c>
    </row>
    <row r="409">
      <c r="A409" t="n">
        <v>670</v>
      </c>
      <c r="B409" t="n">
        <v>17402.64</v>
      </c>
      <c r="C409" t="n">
        <v>44012.69</v>
      </c>
      <c r="D409" t="n">
        <v>4576.35</v>
      </c>
    </row>
    <row r="410">
      <c r="A410" t="n">
        <v>722</v>
      </c>
      <c r="B410" t="n">
        <v>8692.33</v>
      </c>
      <c r="C410" t="n">
        <v>53584.11</v>
      </c>
      <c r="D410" t="n">
        <v>15848.9</v>
      </c>
    </row>
    <row r="411">
      <c r="A411" t="n">
        <v>751</v>
      </c>
      <c r="B411" t="n">
        <v>3747.08</v>
      </c>
      <c r="C411" t="n">
        <v>20690.12</v>
      </c>
      <c r="D411" t="n">
        <v>18652.15</v>
      </c>
    </row>
    <row r="412">
      <c r="A412" t="n">
        <v>749</v>
      </c>
      <c r="B412" t="n">
        <v>7727.23</v>
      </c>
      <c r="C412" t="n">
        <v>29330.11</v>
      </c>
      <c r="D412" t="n">
        <v>16729.08</v>
      </c>
    </row>
    <row r="413">
      <c r="A413" t="n">
        <v>656</v>
      </c>
      <c r="B413" t="n">
        <v>18652.15</v>
      </c>
      <c r="C413" t="n">
        <v>7955.69</v>
      </c>
      <c r="D413" t="n">
        <v>11173.69</v>
      </c>
    </row>
    <row r="414">
      <c r="A414" t="n">
        <v>737</v>
      </c>
      <c r="B414" t="n">
        <v>5843.6</v>
      </c>
      <c r="C414" t="n">
        <v>17267.7</v>
      </c>
      <c r="D414" t="n">
        <v>19409.45</v>
      </c>
    </row>
    <row r="415">
      <c r="A415" t="n">
        <v>712</v>
      </c>
      <c r="B415" t="n">
        <v>6782.63</v>
      </c>
      <c r="C415" t="n">
        <v>58479.46</v>
      </c>
      <c r="D415" t="n">
        <v>21866.68</v>
      </c>
    </row>
    <row r="416">
      <c r="A416" t="n">
        <v>604</v>
      </c>
      <c r="B416" t="n">
        <v>13926.69</v>
      </c>
      <c r="C416" t="n">
        <v>36514.68</v>
      </c>
      <c r="D416" t="n">
        <v>8907.67</v>
      </c>
    </row>
    <row r="417">
      <c r="A417" t="n">
        <v>708</v>
      </c>
      <c r="B417" t="n">
        <v>12815.24</v>
      </c>
      <c r="C417" t="n">
        <v>21756.12</v>
      </c>
      <c r="D417" t="n">
        <v>10364.09</v>
      </c>
    </row>
    <row r="418">
      <c r="A418" t="n">
        <v>719</v>
      </c>
      <c r="B418" t="n">
        <v>13908.56</v>
      </c>
      <c r="C418" t="n">
        <v>7953.78</v>
      </c>
      <c r="D418" t="n">
        <v>7140.62</v>
      </c>
    </row>
    <row r="419">
      <c r="A419" t="n">
        <v>767</v>
      </c>
      <c r="B419" t="n">
        <v>8907.67</v>
      </c>
      <c r="C419" t="n">
        <v>17592.29</v>
      </c>
      <c r="D419" t="n">
        <v>19228.33</v>
      </c>
    </row>
    <row r="420">
      <c r="A420" t="n">
        <v>577</v>
      </c>
      <c r="B420" t="n">
        <v>24406.68</v>
      </c>
      <c r="C420" t="n">
        <v>54952.97</v>
      </c>
      <c r="D420" t="n">
        <v>2404.41</v>
      </c>
    </row>
    <row r="421">
      <c r="A421" t="n">
        <v>768</v>
      </c>
      <c r="B421" t="n">
        <v>12430.16</v>
      </c>
      <c r="C421" t="n">
        <v>48849.27</v>
      </c>
      <c r="D421" t="n">
        <v>8986.309999999999</v>
      </c>
    </row>
    <row r="422">
      <c r="A422" t="n">
        <v>709</v>
      </c>
      <c r="B422" t="n">
        <v>2731.3</v>
      </c>
      <c r="C422" t="n">
        <v>45191.03</v>
      </c>
      <c r="D422" t="n">
        <v>12255.84</v>
      </c>
    </row>
    <row r="423">
      <c r="A423" t="n">
        <v>819</v>
      </c>
      <c r="B423" t="n">
        <v>7140.62</v>
      </c>
      <c r="C423" t="n">
        <v>56438.74</v>
      </c>
      <c r="D423" t="n">
        <v>10801.49</v>
      </c>
    </row>
    <row r="424">
      <c r="A424" t="n">
        <v>698</v>
      </c>
      <c r="B424" t="n">
        <v>15015.37</v>
      </c>
      <c r="C424" t="n">
        <v>48799.3</v>
      </c>
      <c r="D424" t="n">
        <v>19468.79</v>
      </c>
    </row>
    <row r="425">
      <c r="A425" t="n">
        <v>767</v>
      </c>
      <c r="B425" t="n">
        <v>3536.07</v>
      </c>
      <c r="C425" t="n">
        <v>7906.22</v>
      </c>
      <c r="D425" t="n">
        <v>13415.09</v>
      </c>
    </row>
    <row r="426">
      <c r="A426" t="n">
        <v>699</v>
      </c>
      <c r="B426" t="n">
        <v>7206.33</v>
      </c>
      <c r="C426" t="n">
        <v>25649.35</v>
      </c>
      <c r="D426" t="n">
        <v>11770.76</v>
      </c>
    </row>
    <row r="427">
      <c r="A427" t="n">
        <v>676</v>
      </c>
      <c r="B427" t="n">
        <v>13161.19</v>
      </c>
      <c r="C427" t="n">
        <v>22171.12</v>
      </c>
      <c r="D427" t="n">
        <v>15904.25</v>
      </c>
    </row>
    <row r="428">
      <c r="A428" t="n">
        <v>666</v>
      </c>
      <c r="B428" t="n">
        <v>14615.03</v>
      </c>
      <c r="C428" t="n">
        <v>28328.64</v>
      </c>
      <c r="D428" t="n">
        <v>4085.34</v>
      </c>
    </row>
    <row r="429">
      <c r="A429" t="n">
        <v>626</v>
      </c>
      <c r="B429" t="n">
        <v>18872.36</v>
      </c>
      <c r="C429" t="n">
        <v>33924.29</v>
      </c>
      <c r="D429" t="n">
        <v>10200.71</v>
      </c>
    </row>
    <row r="430">
      <c r="A430" t="n">
        <v>675</v>
      </c>
      <c r="B430" t="n">
        <v>13383.27</v>
      </c>
      <c r="C430" t="n">
        <v>52479.9</v>
      </c>
      <c r="D430" t="n">
        <v>13986.52</v>
      </c>
    </row>
    <row r="431">
      <c r="A431" t="n">
        <v>675</v>
      </c>
      <c r="B431" t="n">
        <v>11540.45</v>
      </c>
      <c r="C431" t="n">
        <v>21727.08</v>
      </c>
      <c r="D431" t="n">
        <v>18433.86</v>
      </c>
    </row>
    <row r="432">
      <c r="A432" t="n">
        <v>702</v>
      </c>
      <c r="B432" t="n">
        <v>21052.21</v>
      </c>
      <c r="C432" t="n">
        <v>57650.29</v>
      </c>
      <c r="D432" t="n">
        <v>3770.78</v>
      </c>
    </row>
    <row r="433">
      <c r="A433" t="n">
        <v>721</v>
      </c>
      <c r="B433" t="n">
        <v>8269.66</v>
      </c>
      <c r="C433" t="n">
        <v>23866.49</v>
      </c>
      <c r="D433" t="n">
        <v>1791.7</v>
      </c>
    </row>
    <row r="434">
      <c r="A434" t="n">
        <v>759</v>
      </c>
      <c r="B434" t="n">
        <v>11832.32</v>
      </c>
      <c r="C434" t="n">
        <v>14321.33</v>
      </c>
      <c r="D434" t="n">
        <v>8269.66</v>
      </c>
    </row>
    <row r="435">
      <c r="A435" t="n">
        <v>694</v>
      </c>
      <c r="B435" t="n">
        <v>12532.14</v>
      </c>
      <c r="C435" t="n">
        <v>17672.96</v>
      </c>
      <c r="D435" t="n">
        <v>12298.66</v>
      </c>
    </row>
    <row r="436">
      <c r="A436" t="n">
        <v>692</v>
      </c>
      <c r="B436" t="n">
        <v>11144.06</v>
      </c>
      <c r="C436" t="n">
        <v>22461.91</v>
      </c>
      <c r="D436" t="n">
        <v>16010.21</v>
      </c>
    </row>
    <row r="437">
      <c r="A437" t="n">
        <v>672</v>
      </c>
      <c r="B437" t="n">
        <v>16671.88</v>
      </c>
      <c r="C437" t="n">
        <v>7860.32</v>
      </c>
      <c r="D437" t="n">
        <v>11146.23</v>
      </c>
    </row>
    <row r="438">
      <c r="A438" t="n">
        <v>673</v>
      </c>
      <c r="B438" t="n">
        <v>16632.18</v>
      </c>
      <c r="C438" t="n">
        <v>55280.93</v>
      </c>
      <c r="D438" t="n">
        <v>17123.79</v>
      </c>
    </row>
    <row r="439">
      <c r="A439" t="n">
        <v>742</v>
      </c>
      <c r="B439" t="n">
        <v>13259.79</v>
      </c>
      <c r="C439" t="n">
        <v>20041.33</v>
      </c>
      <c r="D439" t="n">
        <v>2085.84</v>
      </c>
    </row>
    <row r="440">
      <c r="A440" t="n">
        <v>649</v>
      </c>
      <c r="B440" t="n">
        <v>0</v>
      </c>
      <c r="C440" t="n">
        <v>51567.69</v>
      </c>
      <c r="D440" t="n">
        <v>12996.04</v>
      </c>
    </row>
    <row r="441">
      <c r="A441" t="n">
        <v>776</v>
      </c>
      <c r="B441" t="n">
        <v>7386.89</v>
      </c>
      <c r="C441" t="n">
        <v>53742.95</v>
      </c>
      <c r="D441" t="n">
        <v>0</v>
      </c>
    </row>
    <row r="442">
      <c r="A442" t="n">
        <v>681</v>
      </c>
      <c r="B442" t="n">
        <v>16764.15</v>
      </c>
      <c r="C442" t="n">
        <v>14519.3</v>
      </c>
      <c r="D442" t="n">
        <v>16764.15</v>
      </c>
    </row>
    <row r="443">
      <c r="A443" t="n">
        <v>675</v>
      </c>
      <c r="B443" t="n">
        <v>11789.79</v>
      </c>
      <c r="C443" t="n">
        <v>32320.73</v>
      </c>
      <c r="D443" t="n">
        <v>11789.79</v>
      </c>
    </row>
    <row r="444">
      <c r="A444" t="n">
        <v>627</v>
      </c>
      <c r="B444" t="n">
        <v>13092.62</v>
      </c>
      <c r="C444" t="n">
        <v>39910.77</v>
      </c>
      <c r="D444" t="n">
        <v>13289</v>
      </c>
    </row>
    <row r="445">
      <c r="A445" t="n">
        <v>723</v>
      </c>
      <c r="B445" t="n">
        <v>12654.69</v>
      </c>
      <c r="C445" t="n">
        <v>8605.620000000001</v>
      </c>
      <c r="D445" t="n">
        <v>5819.03</v>
      </c>
    </row>
    <row r="446">
      <c r="A446" t="n">
        <v>653</v>
      </c>
      <c r="B446" t="n">
        <v>18071.95</v>
      </c>
      <c r="C446" t="n">
        <v>53925.88</v>
      </c>
      <c r="D446" t="n">
        <v>9974.200000000001</v>
      </c>
    </row>
    <row r="447">
      <c r="A447" t="n">
        <v>787</v>
      </c>
      <c r="B447" t="n">
        <v>2697.27</v>
      </c>
      <c r="C447" t="n">
        <v>41857.49</v>
      </c>
      <c r="D447" t="n">
        <v>8743.77</v>
      </c>
    </row>
    <row r="448">
      <c r="A448" t="n">
        <v>644</v>
      </c>
      <c r="B448" t="n">
        <v>16270.91</v>
      </c>
      <c r="C448" t="n">
        <v>57924.16</v>
      </c>
      <c r="D448" t="n">
        <v>6441.51</v>
      </c>
    </row>
    <row r="449">
      <c r="A449" t="n">
        <v>733</v>
      </c>
      <c r="B449" t="n">
        <v>14529.14</v>
      </c>
      <c r="C449" t="n">
        <v>15657.48</v>
      </c>
      <c r="D449" t="n">
        <v>16954.52</v>
      </c>
    </row>
    <row r="450">
      <c r="A450" t="n">
        <v>666</v>
      </c>
      <c r="B450" t="n">
        <v>19980.69</v>
      </c>
      <c r="C450" t="n">
        <v>56670.62</v>
      </c>
      <c r="D450" t="n">
        <v>13088.59</v>
      </c>
    </row>
    <row r="451">
      <c r="A451" t="n">
        <v>674</v>
      </c>
      <c r="B451" t="n">
        <v>11909.4</v>
      </c>
      <c r="C451" t="n">
        <v>59240.24</v>
      </c>
      <c r="D451" t="n">
        <v>13220.06</v>
      </c>
    </row>
    <row r="452">
      <c r="A452" t="n">
        <v>687</v>
      </c>
      <c r="B452" t="n">
        <v>18670.44</v>
      </c>
      <c r="C452" t="n">
        <v>35212.55</v>
      </c>
      <c r="D452" t="n">
        <v>11429.95</v>
      </c>
    </row>
    <row r="453">
      <c r="A453" t="n">
        <v>751</v>
      </c>
      <c r="B453" t="n">
        <v>9056.040000000001</v>
      </c>
      <c r="C453" t="n">
        <v>8113.97</v>
      </c>
      <c r="D453" t="n">
        <v>11909.4</v>
      </c>
    </row>
    <row r="454">
      <c r="A454" t="n">
        <v>684</v>
      </c>
      <c r="B454" t="n">
        <v>9181.049999999999</v>
      </c>
      <c r="C454" t="n">
        <v>36921.04</v>
      </c>
      <c r="D454" t="n">
        <v>9181.049999999999</v>
      </c>
    </row>
    <row r="455">
      <c r="A455" t="n">
        <v>720</v>
      </c>
      <c r="B455" t="n">
        <v>12447.35</v>
      </c>
      <c r="C455" t="n">
        <v>38180.35</v>
      </c>
      <c r="D455" t="n">
        <v>13246.9</v>
      </c>
    </row>
    <row r="456">
      <c r="A456" t="n">
        <v>667</v>
      </c>
      <c r="B456" t="n">
        <v>13246.9</v>
      </c>
      <c r="C456" t="n">
        <v>49771.88</v>
      </c>
      <c r="D456" t="n">
        <v>13453.6</v>
      </c>
    </row>
    <row r="457">
      <c r="A457" t="n">
        <v>642</v>
      </c>
      <c r="B457" t="n">
        <v>24595.58</v>
      </c>
      <c r="C457" t="n">
        <v>23113.92</v>
      </c>
      <c r="D457" t="n">
        <v>11508.1</v>
      </c>
    </row>
    <row r="458">
      <c r="A458" t="n">
        <v>602</v>
      </c>
      <c r="B458" t="n">
        <v>14411.95</v>
      </c>
      <c r="C458" t="n">
        <v>43213.38</v>
      </c>
      <c r="D458" t="n">
        <v>14580.72</v>
      </c>
    </row>
    <row r="459">
      <c r="A459" t="n">
        <v>726</v>
      </c>
      <c r="B459" t="n">
        <v>6051.89</v>
      </c>
      <c r="C459" t="n">
        <v>45380.36</v>
      </c>
      <c r="D459" t="n">
        <v>6799.23</v>
      </c>
    </row>
    <row r="460">
      <c r="A460" t="n">
        <v>643</v>
      </c>
      <c r="B460" t="n">
        <v>11763.62</v>
      </c>
      <c r="C460" t="n">
        <v>24963.02</v>
      </c>
      <c r="D460" t="n">
        <v>11763.62</v>
      </c>
    </row>
    <row r="461">
      <c r="A461" t="n">
        <v>751</v>
      </c>
      <c r="B461" t="n">
        <v>5547.26</v>
      </c>
      <c r="C461" t="n">
        <v>22914.76</v>
      </c>
      <c r="D461" t="n">
        <v>15150.18</v>
      </c>
    </row>
    <row r="462">
      <c r="A462" t="n">
        <v>693</v>
      </c>
      <c r="B462" t="n">
        <v>9497.200000000001</v>
      </c>
      <c r="C462" t="n">
        <v>18843.74</v>
      </c>
      <c r="D462" t="n">
        <v>12905.53</v>
      </c>
    </row>
    <row r="463">
      <c r="A463" t="n">
        <v>744</v>
      </c>
      <c r="B463" t="n">
        <v>6458.56</v>
      </c>
      <c r="C463" t="n">
        <v>29787.72</v>
      </c>
      <c r="D463" t="n">
        <v>14505.58</v>
      </c>
    </row>
    <row r="464">
      <c r="A464" t="n">
        <v>740</v>
      </c>
      <c r="B464" t="n">
        <v>5715.84</v>
      </c>
      <c r="C464" t="n">
        <v>34831.03</v>
      </c>
      <c r="D464" t="n">
        <v>8679.190000000001</v>
      </c>
    </row>
    <row r="465">
      <c r="A465" t="n">
        <v>733</v>
      </c>
      <c r="B465" t="n">
        <v>7682.08</v>
      </c>
      <c r="C465" t="n">
        <v>57658.56</v>
      </c>
      <c r="D465" t="n">
        <v>0</v>
      </c>
    </row>
    <row r="466">
      <c r="A466" t="n">
        <v>748</v>
      </c>
      <c r="B466" t="n">
        <v>8679.190000000001</v>
      </c>
      <c r="C466" t="n">
        <v>12870.68</v>
      </c>
      <c r="D466" t="n">
        <v>14104.55</v>
      </c>
    </row>
    <row r="467">
      <c r="A467" t="n">
        <v>638</v>
      </c>
      <c r="B467" t="n">
        <v>25138.74</v>
      </c>
      <c r="C467" t="n">
        <v>24927.83</v>
      </c>
      <c r="D467" t="n">
        <v>15584.39</v>
      </c>
    </row>
    <row r="468">
      <c r="A468" t="n">
        <v>712</v>
      </c>
      <c r="B468" t="n">
        <v>10493.55</v>
      </c>
      <c r="C468" t="n">
        <v>44524.07</v>
      </c>
      <c r="D468" t="n">
        <v>2217.92</v>
      </c>
    </row>
    <row r="469">
      <c r="A469" t="n">
        <v>686</v>
      </c>
      <c r="B469" t="n">
        <v>16433.17</v>
      </c>
      <c r="C469" t="n">
        <v>13467.35</v>
      </c>
      <c r="D469" t="n">
        <v>8605.35</v>
      </c>
    </row>
    <row r="470">
      <c r="A470" t="n">
        <v>718</v>
      </c>
      <c r="B470" t="n">
        <v>16798.03</v>
      </c>
      <c r="C470" t="n">
        <v>59358.91</v>
      </c>
      <c r="D470" t="n">
        <v>10697.49</v>
      </c>
    </row>
    <row r="471">
      <c r="A471" t="n">
        <v>727</v>
      </c>
      <c r="B471" t="n">
        <v>2217.92</v>
      </c>
      <c r="C471" t="n">
        <v>7610.75</v>
      </c>
      <c r="D471" t="n">
        <v>11615.94</v>
      </c>
    </row>
    <row r="472">
      <c r="A472" t="n">
        <v>600</v>
      </c>
      <c r="B472" t="n">
        <v>16133.54</v>
      </c>
      <c r="C472" t="n">
        <v>51528.17</v>
      </c>
      <c r="D472" t="n">
        <v>7461.27</v>
      </c>
    </row>
    <row r="473">
      <c r="A473" t="n">
        <v>769</v>
      </c>
      <c r="B473" t="n">
        <v>4786.54</v>
      </c>
      <c r="C473" t="n">
        <v>23918.72</v>
      </c>
      <c r="D473" t="n">
        <v>6416.36</v>
      </c>
    </row>
    <row r="474">
      <c r="A474" t="n">
        <v>789</v>
      </c>
      <c r="B474" t="n">
        <v>7387.68</v>
      </c>
      <c r="C474" t="n">
        <v>32545.93</v>
      </c>
      <c r="D474" t="n">
        <v>10685.09</v>
      </c>
    </row>
    <row r="475">
      <c r="A475" t="n">
        <v>580</v>
      </c>
      <c r="B475" t="n">
        <v>12247.97</v>
      </c>
      <c r="C475" t="n">
        <v>34831.73</v>
      </c>
      <c r="D475" t="n">
        <v>7959.34</v>
      </c>
    </row>
    <row r="476">
      <c r="A476" t="n">
        <v>764</v>
      </c>
      <c r="B476" t="n">
        <v>6343.93</v>
      </c>
      <c r="C476" t="n">
        <v>22730.09</v>
      </c>
      <c r="D476" t="n">
        <v>13432.76</v>
      </c>
    </row>
    <row r="477">
      <c r="A477" t="n">
        <v>679</v>
      </c>
      <c r="B477" t="n">
        <v>20814.04</v>
      </c>
      <c r="C477" t="n">
        <v>11882.95</v>
      </c>
      <c r="D477" t="n">
        <v>7574.44</v>
      </c>
    </row>
    <row r="478">
      <c r="A478" t="n">
        <v>655</v>
      </c>
      <c r="B478" t="n">
        <v>7851.96</v>
      </c>
      <c r="C478" t="n">
        <v>55328.18</v>
      </c>
      <c r="D478" t="n">
        <v>6900.11</v>
      </c>
    </row>
    <row r="479">
      <c r="A479" t="n">
        <v>707</v>
      </c>
      <c r="B479" t="n">
        <v>14575.28</v>
      </c>
      <c r="C479" t="n">
        <v>26099.76</v>
      </c>
      <c r="D479" t="n">
        <v>7172.96</v>
      </c>
    </row>
    <row r="480">
      <c r="A480" t="n">
        <v>764</v>
      </c>
      <c r="B480" t="n">
        <v>8546.379999999999</v>
      </c>
      <c r="C480" t="n">
        <v>22366.85</v>
      </c>
      <c r="D480" t="n">
        <v>13418.43</v>
      </c>
    </row>
    <row r="481">
      <c r="A481" t="n">
        <v>683</v>
      </c>
      <c r="B481" t="n">
        <v>13432.76</v>
      </c>
      <c r="C481" t="n">
        <v>23970.87</v>
      </c>
      <c r="D481" t="n">
        <v>19491.83</v>
      </c>
    </row>
    <row r="482">
      <c r="A482" t="n">
        <v>662</v>
      </c>
      <c r="B482" t="n">
        <v>20308.8</v>
      </c>
      <c r="C482" t="n">
        <v>28398.84</v>
      </c>
      <c r="D482" t="n">
        <v>15109.57</v>
      </c>
    </row>
    <row r="483">
      <c r="A483" t="n">
        <v>714</v>
      </c>
      <c r="B483" t="n">
        <v>4147.5</v>
      </c>
      <c r="C483" t="n">
        <v>22725.87</v>
      </c>
      <c r="D483" t="n">
        <v>22251.57</v>
      </c>
    </row>
    <row r="484">
      <c r="A484" t="n">
        <v>845</v>
      </c>
      <c r="B484" t="n">
        <v>2427.22</v>
      </c>
      <c r="C484" t="n">
        <v>39368.71</v>
      </c>
      <c r="D484" t="n">
        <v>5636.13</v>
      </c>
    </row>
    <row r="485">
      <c r="A485" t="n">
        <v>653</v>
      </c>
      <c r="B485" t="n">
        <v>16784.2</v>
      </c>
      <c r="C485" t="n">
        <v>28366.55</v>
      </c>
      <c r="D485" t="n">
        <v>18203.66</v>
      </c>
    </row>
    <row r="486">
      <c r="A486" t="n">
        <v>653</v>
      </c>
      <c r="B486" t="n">
        <v>18844.47</v>
      </c>
      <c r="C486" t="n">
        <v>38918.33</v>
      </c>
      <c r="D486" t="n">
        <v>10895.92</v>
      </c>
    </row>
    <row r="487">
      <c r="A487" t="n">
        <v>823</v>
      </c>
      <c r="B487" t="n">
        <v>1977.86</v>
      </c>
      <c r="C487" t="n">
        <v>31928.12</v>
      </c>
      <c r="D487" t="n">
        <v>8940.889999999999</v>
      </c>
    </row>
    <row r="488">
      <c r="A488" t="n">
        <v>756</v>
      </c>
      <c r="B488" t="n">
        <v>5636.13</v>
      </c>
      <c r="C488" t="n">
        <v>15765.93</v>
      </c>
      <c r="D488" t="n">
        <v>15387.04</v>
      </c>
    </row>
    <row r="489">
      <c r="A489" t="n">
        <v>582</v>
      </c>
      <c r="B489" t="n">
        <v>10895.92</v>
      </c>
      <c r="C489" t="n">
        <v>29223.6</v>
      </c>
      <c r="D489" t="n">
        <v>5348.05</v>
      </c>
    </row>
    <row r="490">
      <c r="A490" t="n">
        <v>669</v>
      </c>
      <c r="B490" t="n">
        <v>15387.04</v>
      </c>
      <c r="C490" t="n">
        <v>22166.1</v>
      </c>
      <c r="D490" t="n">
        <v>13415.18</v>
      </c>
    </row>
    <row r="491">
      <c r="A491" t="n">
        <v>681</v>
      </c>
      <c r="B491" t="n">
        <v>13415.18</v>
      </c>
      <c r="C491" t="n">
        <v>52849.7</v>
      </c>
      <c r="D491" t="n">
        <v>12480.29</v>
      </c>
    </row>
    <row r="492">
      <c r="A492" t="n">
        <v>620</v>
      </c>
      <c r="B492" t="n">
        <v>12171.33</v>
      </c>
      <c r="C492" t="n">
        <v>49946.86</v>
      </c>
      <c r="D492" t="n">
        <v>13909.26</v>
      </c>
    </row>
    <row r="493">
      <c r="A493" t="n">
        <v>745</v>
      </c>
      <c r="B493" t="n">
        <v>12480.29</v>
      </c>
      <c r="C493" t="n">
        <v>43748.38</v>
      </c>
      <c r="D493" t="n">
        <v>0</v>
      </c>
    </row>
    <row r="494">
      <c r="A494" t="n">
        <v>680</v>
      </c>
      <c r="B494" t="n">
        <v>18164.07</v>
      </c>
      <c r="C494" t="n">
        <v>13453.32</v>
      </c>
      <c r="D494" t="n">
        <v>10381.71</v>
      </c>
    </row>
    <row r="495">
      <c r="A495" t="n">
        <v>698</v>
      </c>
      <c r="B495" t="n">
        <v>10710.71</v>
      </c>
      <c r="C495" t="n">
        <v>34431.3</v>
      </c>
      <c r="D495" t="n">
        <v>16000.01</v>
      </c>
    </row>
    <row r="496">
      <c r="A496" t="n">
        <v>650</v>
      </c>
      <c r="B496" t="n">
        <v>15568.7</v>
      </c>
      <c r="C496" t="n">
        <v>45368.51</v>
      </c>
      <c r="D496" t="n">
        <v>4276.01</v>
      </c>
    </row>
    <row r="497">
      <c r="A497" t="n">
        <v>654</v>
      </c>
      <c r="B497" t="n">
        <v>12968.83</v>
      </c>
      <c r="C497" t="n">
        <v>54809.73</v>
      </c>
      <c r="D497" t="n">
        <v>15611.08</v>
      </c>
    </row>
    <row r="498">
      <c r="A498" t="n">
        <v>574</v>
      </c>
      <c r="B498" t="n">
        <v>24461.91</v>
      </c>
      <c r="C498" t="n">
        <v>13185.39</v>
      </c>
      <c r="D498" t="n">
        <v>4728.66</v>
      </c>
    </row>
    <row r="499">
      <c r="A499" t="n">
        <v>650</v>
      </c>
      <c r="B499" t="n">
        <v>15386.02</v>
      </c>
      <c r="C499" t="n">
        <v>41121</v>
      </c>
      <c r="D499" t="n">
        <v>13029.7</v>
      </c>
    </row>
    <row r="500">
      <c r="A500" t="n">
        <v>667</v>
      </c>
      <c r="B500" t="n">
        <v>21400.9</v>
      </c>
      <c r="C500" t="n">
        <v>25676.27</v>
      </c>
      <c r="D500" t="n">
        <v>2701.5</v>
      </c>
    </row>
    <row r="501">
      <c r="A501" t="n">
        <v>736</v>
      </c>
      <c r="B501" t="n">
        <v>2746.04</v>
      </c>
      <c r="C501" t="n">
        <v>41565.14</v>
      </c>
      <c r="D501" t="n">
        <v>21231.29</v>
      </c>
    </row>
    <row r="502">
      <c r="A502" t="n">
        <v>598</v>
      </c>
      <c r="B502" t="n">
        <v>21231.29</v>
      </c>
      <c r="C502" t="n">
        <v>50939.99</v>
      </c>
      <c r="D502" t="n">
        <v>19973.95</v>
      </c>
    </row>
    <row r="503">
      <c r="A503" t="n">
        <v>796</v>
      </c>
      <c r="B503" t="n">
        <v>2054.02</v>
      </c>
      <c r="C503" t="n">
        <v>51668.44</v>
      </c>
      <c r="D503" t="n">
        <v>487.7</v>
      </c>
    </row>
    <row r="504">
      <c r="A504" t="n">
        <v>743</v>
      </c>
      <c r="B504" t="n">
        <v>5872.58</v>
      </c>
      <c r="C504" t="n">
        <v>30944</v>
      </c>
      <c r="D504" t="n">
        <v>6979.41</v>
      </c>
    </row>
    <row r="505">
      <c r="A505" t="n">
        <v>700</v>
      </c>
      <c r="B505" t="n">
        <v>5617.29</v>
      </c>
      <c r="C505" t="n">
        <v>51942.27</v>
      </c>
      <c r="D505" t="n">
        <v>14229.44</v>
      </c>
    </row>
    <row r="506">
      <c r="A506" t="n">
        <v>639</v>
      </c>
      <c r="B506" t="n">
        <v>6979.41</v>
      </c>
      <c r="C506" t="n">
        <v>51684.93</v>
      </c>
      <c r="D506" t="n">
        <v>9824.780000000001</v>
      </c>
    </row>
    <row r="507">
      <c r="A507" t="n">
        <v>754</v>
      </c>
      <c r="B507" t="n">
        <v>12677.27</v>
      </c>
      <c r="C507" t="n">
        <v>45009.11</v>
      </c>
      <c r="D507" t="n">
        <v>4963.74</v>
      </c>
    </row>
    <row r="508">
      <c r="A508" t="n">
        <v>727</v>
      </c>
      <c r="B508" t="n">
        <v>2527.5</v>
      </c>
      <c r="C508" t="n">
        <v>32623.71</v>
      </c>
      <c r="D508" t="n">
        <v>14960.49</v>
      </c>
    </row>
    <row r="509">
      <c r="A509" t="n">
        <v>722</v>
      </c>
      <c r="B509" t="n">
        <v>4605.24</v>
      </c>
      <c r="C509" t="n">
        <v>41497.87</v>
      </c>
      <c r="D509" t="n">
        <v>24312</v>
      </c>
    </row>
    <row r="510">
      <c r="A510" t="n">
        <v>738</v>
      </c>
      <c r="B510" t="n">
        <v>3538.08</v>
      </c>
      <c r="C510" t="n">
        <v>49585.43</v>
      </c>
      <c r="D510" t="n">
        <v>1936.28</v>
      </c>
    </row>
    <row r="511">
      <c r="A511" t="n">
        <v>711</v>
      </c>
      <c r="B511" t="n">
        <v>10050.16</v>
      </c>
      <c r="C511" t="n">
        <v>31725.44</v>
      </c>
      <c r="D511" t="n">
        <v>21728.78</v>
      </c>
    </row>
    <row r="512">
      <c r="A512" t="n">
        <v>621</v>
      </c>
      <c r="B512" t="n">
        <v>16962.15</v>
      </c>
      <c r="C512" t="n">
        <v>51084.16</v>
      </c>
      <c r="D512" t="n">
        <v>7751.32</v>
      </c>
    </row>
    <row r="513">
      <c r="A513" t="n">
        <v>595</v>
      </c>
      <c r="B513" t="n">
        <v>21728.78</v>
      </c>
      <c r="C513" t="n">
        <v>19794.17</v>
      </c>
      <c r="D513" t="n">
        <v>8845.610000000001</v>
      </c>
    </row>
    <row r="514">
      <c r="A514" t="n">
        <v>794</v>
      </c>
      <c r="B514" t="n">
        <v>8616.870000000001</v>
      </c>
      <c r="C514" t="n">
        <v>7519.57</v>
      </c>
      <c r="D514" t="n">
        <v>8564.870000000001</v>
      </c>
    </row>
    <row r="515">
      <c r="A515" t="n">
        <v>632</v>
      </c>
      <c r="B515" t="n">
        <v>7751.32</v>
      </c>
      <c r="C515" t="n">
        <v>19966.48</v>
      </c>
      <c r="D515" t="n">
        <v>13524.99</v>
      </c>
    </row>
    <row r="516">
      <c r="A516" t="n">
        <v>717</v>
      </c>
      <c r="B516" t="n">
        <v>8564.870000000001</v>
      </c>
      <c r="C516" t="n">
        <v>55524.46</v>
      </c>
      <c r="D516" t="n">
        <v>886.71</v>
      </c>
    </row>
    <row r="517">
      <c r="A517" t="n">
        <v>676</v>
      </c>
      <c r="B517" t="n">
        <v>886.71</v>
      </c>
      <c r="C517" t="n">
        <v>25606.89</v>
      </c>
      <c r="D517" t="n">
        <v>6340.27</v>
      </c>
    </row>
    <row r="518">
      <c r="A518" t="n">
        <v>659</v>
      </c>
      <c r="B518" t="n">
        <v>7521.85</v>
      </c>
      <c r="C518" t="n">
        <v>29148.23</v>
      </c>
      <c r="D518" t="n">
        <v>7997.71</v>
      </c>
    </row>
    <row r="519">
      <c r="A519" t="n">
        <v>669</v>
      </c>
      <c r="B519" t="n">
        <v>16784.08</v>
      </c>
      <c r="C519" t="n">
        <v>52286.03</v>
      </c>
      <c r="D519" t="n">
        <v>4614.46</v>
      </c>
    </row>
    <row r="520">
      <c r="A520" t="n">
        <v>756</v>
      </c>
      <c r="B520" t="n">
        <v>4614.46</v>
      </c>
      <c r="C520" t="n">
        <v>55358.31</v>
      </c>
      <c r="D520" t="n">
        <v>16388.01</v>
      </c>
    </row>
    <row r="521">
      <c r="A521" t="n">
        <v>692</v>
      </c>
      <c r="B521" t="n">
        <v>9021.82</v>
      </c>
      <c r="C521" t="n">
        <v>31772.69</v>
      </c>
      <c r="D521" t="n">
        <v>5576.95</v>
      </c>
    </row>
    <row r="522">
      <c r="A522" t="n">
        <v>713</v>
      </c>
      <c r="B522" t="n">
        <v>11085.68</v>
      </c>
      <c r="C522" t="n">
        <v>30585.73</v>
      </c>
      <c r="D522" t="n">
        <v>9021.82</v>
      </c>
    </row>
    <row r="523">
      <c r="A523" t="n">
        <v>639</v>
      </c>
      <c r="B523" t="n">
        <v>20015.68</v>
      </c>
      <c r="C523" t="n">
        <v>16855.24</v>
      </c>
      <c r="D523" t="n">
        <v>20015.68</v>
      </c>
    </row>
    <row r="524">
      <c r="A524" t="n">
        <v>643</v>
      </c>
      <c r="B524" t="n">
        <v>10618.12</v>
      </c>
      <c r="C524" t="n">
        <v>31682.96</v>
      </c>
      <c r="D524" t="n">
        <v>19359.75</v>
      </c>
    </row>
    <row r="525">
      <c r="A525" t="n">
        <v>718</v>
      </c>
      <c r="B525" t="n">
        <v>12124.23</v>
      </c>
      <c r="C525" t="n">
        <v>38211.92</v>
      </c>
      <c r="D525" t="n">
        <v>21835.71</v>
      </c>
    </row>
    <row r="526">
      <c r="A526" t="n">
        <v>710</v>
      </c>
      <c r="B526" t="n">
        <v>19359.75</v>
      </c>
      <c r="C526" t="n">
        <v>48504.58</v>
      </c>
      <c r="D526" t="n">
        <v>6501.41</v>
      </c>
    </row>
    <row r="527">
      <c r="A527" t="n">
        <v>706</v>
      </c>
      <c r="B527" t="n">
        <v>21835.71</v>
      </c>
      <c r="C527" t="n">
        <v>9354.23</v>
      </c>
      <c r="D527" t="n">
        <v>15834.68</v>
      </c>
    </row>
    <row r="528">
      <c r="A528" t="n">
        <v>754</v>
      </c>
      <c r="B528" t="n">
        <v>0</v>
      </c>
      <c r="C528" t="n">
        <v>57028.5</v>
      </c>
      <c r="D528" t="n">
        <v>7954.97</v>
      </c>
    </row>
    <row r="529">
      <c r="A529" t="n">
        <v>730</v>
      </c>
      <c r="B529" t="n">
        <v>15834.68</v>
      </c>
      <c r="C529" t="n">
        <v>52276.19</v>
      </c>
      <c r="D529" t="n">
        <v>6930.8</v>
      </c>
    </row>
    <row r="530">
      <c r="A530" t="n">
        <v>752</v>
      </c>
      <c r="B530" t="n">
        <v>7954.97</v>
      </c>
      <c r="C530" t="n">
        <v>38889.89</v>
      </c>
      <c r="D530" t="n">
        <v>9307.719999999999</v>
      </c>
    </row>
    <row r="531">
      <c r="A531" t="n">
        <v>736</v>
      </c>
      <c r="B531" t="n">
        <v>13963.96</v>
      </c>
      <c r="C531" t="n">
        <v>57252.63</v>
      </c>
      <c r="D531" t="n">
        <v>8771.459999999999</v>
      </c>
    </row>
    <row r="532">
      <c r="A532" t="n">
        <v>791</v>
      </c>
      <c r="B532" t="n">
        <v>7583.11</v>
      </c>
      <c r="C532" t="n">
        <v>8349.15</v>
      </c>
      <c r="D532" t="n">
        <v>20774.89</v>
      </c>
    </row>
    <row r="533">
      <c r="A533" t="n">
        <v>758</v>
      </c>
      <c r="B533" t="n">
        <v>6506.63</v>
      </c>
      <c r="C533" t="n">
        <v>18494.31</v>
      </c>
      <c r="D533" t="n">
        <v>15653.52</v>
      </c>
    </row>
    <row r="534">
      <c r="A534" t="n">
        <v>671</v>
      </c>
      <c r="B534" t="n">
        <v>22210.86</v>
      </c>
      <c r="C534" t="n">
        <v>33328.42</v>
      </c>
      <c r="D534" t="n">
        <v>21585.13</v>
      </c>
    </row>
    <row r="535">
      <c r="A535" t="n">
        <v>735</v>
      </c>
      <c r="B535" t="n">
        <v>2624.52</v>
      </c>
      <c r="C535" t="n">
        <v>27434.29</v>
      </c>
      <c r="D535" t="n">
        <v>19109.06</v>
      </c>
    </row>
    <row r="536">
      <c r="A536" t="n">
        <v>643</v>
      </c>
      <c r="B536" t="n">
        <v>15653.52</v>
      </c>
      <c r="C536" t="n">
        <v>37461.63</v>
      </c>
      <c r="D536" t="n">
        <v>4696.86</v>
      </c>
    </row>
    <row r="537">
      <c r="A537" t="n">
        <v>796</v>
      </c>
      <c r="B537" t="n">
        <v>7676.27</v>
      </c>
      <c r="C537" t="n">
        <v>12669.06</v>
      </c>
      <c r="D537" t="n">
        <v>8340.110000000001</v>
      </c>
    </row>
    <row r="538">
      <c r="A538" t="n">
        <v>703</v>
      </c>
      <c r="B538" t="n">
        <v>24306.25</v>
      </c>
      <c r="C538" t="n">
        <v>35066.96</v>
      </c>
      <c r="D538" t="n">
        <v>3673.28</v>
      </c>
    </row>
    <row r="539">
      <c r="A539" t="n">
        <v>678</v>
      </c>
      <c r="B539" t="n">
        <v>19109.06</v>
      </c>
      <c r="C539" t="n">
        <v>8562.23</v>
      </c>
      <c r="D539" t="n">
        <v>7324.97</v>
      </c>
    </row>
    <row r="540">
      <c r="A540" t="n">
        <v>728</v>
      </c>
      <c r="B540" t="n">
        <v>3852.84</v>
      </c>
      <c r="C540" t="n">
        <v>9567.860000000001</v>
      </c>
      <c r="D540" t="n">
        <v>4153.54</v>
      </c>
    </row>
    <row r="541">
      <c r="A541" t="n">
        <v>696</v>
      </c>
      <c r="B541" t="n">
        <v>12999.78</v>
      </c>
      <c r="C541" t="n">
        <v>16400.83</v>
      </c>
      <c r="D541" t="n">
        <v>7395.84</v>
      </c>
    </row>
    <row r="542">
      <c r="A542" t="n">
        <v>735</v>
      </c>
      <c r="B542" t="n">
        <v>8340.110000000001</v>
      </c>
      <c r="C542" t="n">
        <v>52844.6</v>
      </c>
      <c r="D542" t="n">
        <v>10527.85</v>
      </c>
    </row>
    <row r="543">
      <c r="A543" t="n">
        <v>615</v>
      </c>
      <c r="B543" t="n">
        <v>14555.46</v>
      </c>
      <c r="C543" t="n">
        <v>26642.66</v>
      </c>
      <c r="D543" t="n">
        <v>16546.68</v>
      </c>
    </row>
    <row r="544">
      <c r="A544" t="n">
        <v>810</v>
      </c>
      <c r="B544" t="n">
        <v>4153.54</v>
      </c>
      <c r="C544" t="n">
        <v>54174.18</v>
      </c>
      <c r="D544" t="n">
        <v>10124.43</v>
      </c>
    </row>
    <row r="545">
      <c r="A545" t="n">
        <v>690</v>
      </c>
      <c r="B545" t="n">
        <v>16546.68</v>
      </c>
      <c r="C545" t="n">
        <v>41311.93</v>
      </c>
      <c r="D545" t="n">
        <v>27531.74</v>
      </c>
    </row>
    <row r="546">
      <c r="A546" t="n">
        <v>721</v>
      </c>
      <c r="B546" t="n">
        <v>10124.43</v>
      </c>
      <c r="C546" t="n">
        <v>59692.54</v>
      </c>
      <c r="D546" t="n">
        <v>14403.34</v>
      </c>
    </row>
    <row r="547">
      <c r="A547" t="n">
        <v>759</v>
      </c>
      <c r="B547" t="n">
        <v>11926.5</v>
      </c>
      <c r="C547" t="n">
        <v>57491.73</v>
      </c>
      <c r="D547" t="n">
        <v>10831.22</v>
      </c>
    </row>
    <row r="548">
      <c r="A548" t="n">
        <v>846</v>
      </c>
      <c r="B548" t="n">
        <v>4138.19</v>
      </c>
      <c r="C548" t="n">
        <v>38754.89</v>
      </c>
      <c r="D548" t="n">
        <v>9504.950000000001</v>
      </c>
    </row>
    <row r="549">
      <c r="A549" t="n">
        <v>586</v>
      </c>
      <c r="B549" t="n">
        <v>27188.04</v>
      </c>
      <c r="C549" t="n">
        <v>9859.370000000001</v>
      </c>
      <c r="D549" t="n">
        <v>11910.31</v>
      </c>
    </row>
    <row r="550">
      <c r="A550" t="n">
        <v>705</v>
      </c>
      <c r="B550" t="n">
        <v>13831.61</v>
      </c>
      <c r="C550" t="n">
        <v>51726.42</v>
      </c>
      <c r="D550" t="n">
        <v>7783.65</v>
      </c>
    </row>
    <row r="551">
      <c r="A551" t="n">
        <v>752</v>
      </c>
      <c r="B551" t="n">
        <v>12522.2</v>
      </c>
      <c r="C551" t="n">
        <v>29624.34</v>
      </c>
      <c r="D551" t="n">
        <v>12522.2</v>
      </c>
    </row>
    <row r="552">
      <c r="A552" t="n">
        <v>663</v>
      </c>
      <c r="B552" t="n">
        <v>11074.79</v>
      </c>
      <c r="C552" t="n">
        <v>26020.18</v>
      </c>
      <c r="D552" t="n">
        <v>10196.17</v>
      </c>
    </row>
    <row r="553">
      <c r="A553" t="n">
        <v>723</v>
      </c>
      <c r="B553" t="n">
        <v>10196.17</v>
      </c>
      <c r="C553" t="n">
        <v>7772.12</v>
      </c>
      <c r="D553" t="n">
        <v>10387.33</v>
      </c>
    </row>
    <row r="554">
      <c r="A554" t="n">
        <v>698</v>
      </c>
      <c r="B554" t="n">
        <v>10387.33</v>
      </c>
      <c r="C554" t="n">
        <v>56863.45</v>
      </c>
      <c r="D554" t="n">
        <v>21387</v>
      </c>
    </row>
    <row r="555">
      <c r="A555" t="n">
        <v>811</v>
      </c>
      <c r="B555" t="n">
        <v>7652.95</v>
      </c>
      <c r="C555" t="n">
        <v>11855.16</v>
      </c>
      <c r="D555" t="n">
        <v>6228.85</v>
      </c>
    </row>
    <row r="556">
      <c r="A556" t="n">
        <v>799</v>
      </c>
      <c r="B556" t="n">
        <v>6620.66</v>
      </c>
      <c r="C556" t="n">
        <v>31749.17</v>
      </c>
      <c r="D556" t="n">
        <v>7125.58</v>
      </c>
    </row>
    <row r="557">
      <c r="A557" t="n">
        <v>680</v>
      </c>
      <c r="B557" t="n">
        <v>9317.99</v>
      </c>
      <c r="C557" t="n">
        <v>21387.04</v>
      </c>
      <c r="D557" t="n">
        <v>7652.95</v>
      </c>
    </row>
    <row r="558">
      <c r="A558" t="n">
        <v>629</v>
      </c>
      <c r="B558" t="n">
        <v>19338.66</v>
      </c>
      <c r="C558" t="n">
        <v>8060.3</v>
      </c>
      <c r="D558" t="n">
        <v>26749.98</v>
      </c>
    </row>
    <row r="559">
      <c r="A559" t="n">
        <v>689</v>
      </c>
      <c r="B559" t="n">
        <v>18469.18</v>
      </c>
      <c r="C559" t="n">
        <v>9997.65</v>
      </c>
      <c r="D559" t="n">
        <v>18469.18</v>
      </c>
    </row>
    <row r="560">
      <c r="A560" t="n">
        <v>775</v>
      </c>
      <c r="B560" t="n">
        <v>10561.62</v>
      </c>
      <c r="C560" t="n">
        <v>54326.79</v>
      </c>
      <c r="D560" t="n">
        <v>18824.93</v>
      </c>
    </row>
    <row r="561">
      <c r="A561" t="n">
        <v>797</v>
      </c>
      <c r="B561" t="n">
        <v>6591.27</v>
      </c>
      <c r="C561" t="n">
        <v>29616.07</v>
      </c>
      <c r="D561" t="n">
        <v>6591.27</v>
      </c>
    </row>
    <row r="562">
      <c r="A562" t="n">
        <v>745</v>
      </c>
      <c r="B562" t="n">
        <v>6295.1</v>
      </c>
      <c r="C562" t="n">
        <v>13378.19</v>
      </c>
      <c r="D562" t="n">
        <v>9563.84</v>
      </c>
    </row>
    <row r="563">
      <c r="A563" t="n">
        <v>694</v>
      </c>
      <c r="B563" t="n">
        <v>15580.68</v>
      </c>
      <c r="C563" t="n">
        <v>41504.13</v>
      </c>
      <c r="D563" t="n">
        <v>4436.78</v>
      </c>
    </row>
    <row r="564">
      <c r="A564" t="n">
        <v>683</v>
      </c>
      <c r="B564" t="n">
        <v>11167.45</v>
      </c>
      <c r="C564" t="n">
        <v>35054.99</v>
      </c>
      <c r="D564" t="n">
        <v>15207.03</v>
      </c>
    </row>
    <row r="565">
      <c r="A565" t="n">
        <v>724</v>
      </c>
      <c r="B565" t="n">
        <v>8027.01</v>
      </c>
      <c r="C565" t="n">
        <v>32485.28</v>
      </c>
      <c r="D565" t="n">
        <v>5195.77</v>
      </c>
    </row>
    <row r="566">
      <c r="A566" t="n">
        <v>853</v>
      </c>
      <c r="B566" t="n">
        <v>2047.27</v>
      </c>
      <c r="C566" t="n">
        <v>48209.77</v>
      </c>
      <c r="D566" t="n">
        <v>11167.45</v>
      </c>
    </row>
    <row r="567">
      <c r="A567" t="n">
        <v>698</v>
      </c>
      <c r="B567" t="n">
        <v>12596.02</v>
      </c>
      <c r="C567" t="n">
        <v>33873.71</v>
      </c>
      <c r="D567" t="n">
        <v>24283.35</v>
      </c>
    </row>
    <row r="568">
      <c r="A568" t="n">
        <v>603</v>
      </c>
      <c r="B568" t="n">
        <v>20307.09</v>
      </c>
      <c r="C568" t="n">
        <v>58117.32</v>
      </c>
      <c r="D568" t="n">
        <v>12596.02</v>
      </c>
    </row>
    <row r="569">
      <c r="A569" t="n">
        <v>702</v>
      </c>
      <c r="B569" t="n">
        <v>6191.85</v>
      </c>
      <c r="C569" t="n">
        <v>39299.43</v>
      </c>
      <c r="D569" t="n">
        <v>6191.85</v>
      </c>
    </row>
    <row r="570">
      <c r="A570" t="n">
        <v>647</v>
      </c>
      <c r="B570" t="n">
        <v>21003.31</v>
      </c>
      <c r="C570" t="n">
        <v>37946.72</v>
      </c>
      <c r="D570" t="n">
        <v>16149.23</v>
      </c>
    </row>
    <row r="571">
      <c r="A571" t="n">
        <v>706</v>
      </c>
      <c r="B571" t="n">
        <v>16353.84</v>
      </c>
      <c r="C571" t="n">
        <v>8319.98</v>
      </c>
      <c r="D571" t="n">
        <v>10859.69</v>
      </c>
    </row>
    <row r="572">
      <c r="A572" t="n">
        <v>714</v>
      </c>
      <c r="B572" t="n">
        <v>16149.23</v>
      </c>
      <c r="C572" t="n">
        <v>12973.92</v>
      </c>
      <c r="D572" t="n">
        <v>11681.23</v>
      </c>
    </row>
    <row r="573">
      <c r="A573" t="n">
        <v>678</v>
      </c>
      <c r="B573" t="n">
        <v>19289.43</v>
      </c>
      <c r="C573" t="n">
        <v>47020.96</v>
      </c>
      <c r="D573" t="n">
        <v>16183.94</v>
      </c>
    </row>
    <row r="574">
      <c r="A574" t="n">
        <v>854</v>
      </c>
      <c r="B574" t="n">
        <v>5003.03</v>
      </c>
      <c r="C574" t="n">
        <v>59956.41</v>
      </c>
      <c r="D574" t="n">
        <v>17059.86</v>
      </c>
    </row>
    <row r="575">
      <c r="A575" t="n">
        <v>637</v>
      </c>
      <c r="B575" t="n">
        <v>11681.23</v>
      </c>
      <c r="C575" t="n">
        <v>22787.42</v>
      </c>
      <c r="D575" t="n">
        <v>2684.34</v>
      </c>
    </row>
    <row r="576">
      <c r="A576" t="n">
        <v>689</v>
      </c>
      <c r="B576" t="n">
        <v>16183.94</v>
      </c>
      <c r="C576" t="n">
        <v>23006.14</v>
      </c>
      <c r="D576" t="n">
        <v>10625.2</v>
      </c>
    </row>
    <row r="577">
      <c r="A577" t="n">
        <v>768</v>
      </c>
      <c r="B577" t="n">
        <v>8588.75</v>
      </c>
      <c r="C577" t="n">
        <v>16893.55</v>
      </c>
      <c r="D577" t="n">
        <v>11977.29</v>
      </c>
    </row>
    <row r="578">
      <c r="A578" t="n">
        <v>766</v>
      </c>
      <c r="B578" t="n">
        <v>10625.2</v>
      </c>
      <c r="C578" t="n">
        <v>9168.139999999999</v>
      </c>
      <c r="D578" t="n">
        <v>4959.72</v>
      </c>
    </row>
    <row r="579">
      <c r="A579" t="n">
        <v>722</v>
      </c>
      <c r="B579" t="n">
        <v>16639.13</v>
      </c>
      <c r="C579" t="n">
        <v>32579.35</v>
      </c>
      <c r="D579" t="n">
        <v>15542.88</v>
      </c>
    </row>
    <row r="580">
      <c r="A580" t="n">
        <v>725</v>
      </c>
      <c r="B580" t="n">
        <v>3188.54</v>
      </c>
      <c r="C580" t="n">
        <v>56011.47</v>
      </c>
      <c r="D580" t="n">
        <v>7874.13</v>
      </c>
    </row>
    <row r="581">
      <c r="A581" t="n">
        <v>715</v>
      </c>
      <c r="B581" t="n">
        <v>5540.31</v>
      </c>
      <c r="C581" t="n">
        <v>22232.82</v>
      </c>
      <c r="D581" t="n">
        <v>8176.78</v>
      </c>
    </row>
    <row r="582">
      <c r="A582" t="n">
        <v>559</v>
      </c>
      <c r="B582" t="n">
        <v>29659.75</v>
      </c>
      <c r="C582" t="n">
        <v>7713.13</v>
      </c>
      <c r="D582" t="n">
        <v>19552.18</v>
      </c>
    </row>
    <row r="583">
      <c r="A583" t="n">
        <v>781</v>
      </c>
      <c r="B583" t="n">
        <v>12154.32</v>
      </c>
      <c r="C583" t="n">
        <v>22825.72</v>
      </c>
      <c r="D583" t="n">
        <v>12194.3</v>
      </c>
    </row>
    <row r="584">
      <c r="A584" t="n">
        <v>617</v>
      </c>
      <c r="B584" t="n">
        <v>2049.49</v>
      </c>
      <c r="C584" t="n">
        <v>15211.6</v>
      </c>
      <c r="D584" t="n">
        <v>11906.58</v>
      </c>
    </row>
    <row r="585">
      <c r="A585" t="n">
        <v>665</v>
      </c>
      <c r="B585" t="n">
        <v>10775.25</v>
      </c>
      <c r="C585" t="n">
        <v>13110.08</v>
      </c>
      <c r="D585" t="n">
        <v>3966.18</v>
      </c>
    </row>
    <row r="586">
      <c r="A586" t="n">
        <v>750</v>
      </c>
      <c r="B586" t="n">
        <v>0</v>
      </c>
      <c r="C586" t="n">
        <v>50860.42</v>
      </c>
      <c r="D586" t="n">
        <v>15600.59</v>
      </c>
    </row>
    <row r="587">
      <c r="A587" t="n">
        <v>734</v>
      </c>
      <c r="B587" t="n">
        <v>17141.01</v>
      </c>
      <c r="C587" t="n">
        <v>38985.95</v>
      </c>
      <c r="D587" t="n">
        <v>9659.48</v>
      </c>
    </row>
    <row r="588">
      <c r="A588" t="n">
        <v>734</v>
      </c>
      <c r="B588" t="n">
        <v>9512.860000000001</v>
      </c>
      <c r="C588" t="n">
        <v>13184.46</v>
      </c>
      <c r="D588" t="n">
        <v>12154.32</v>
      </c>
    </row>
    <row r="589">
      <c r="A589" t="n">
        <v>740</v>
      </c>
      <c r="B589" t="n">
        <v>7054.62</v>
      </c>
      <c r="C589" t="n">
        <v>14789.24</v>
      </c>
      <c r="D589" t="n">
        <v>15002.03</v>
      </c>
    </row>
    <row r="590">
      <c r="A590" t="n">
        <v>661</v>
      </c>
      <c r="B590" t="n">
        <v>23352</v>
      </c>
      <c r="C590" t="n">
        <v>46782.23</v>
      </c>
      <c r="D590" t="n">
        <v>17861.9</v>
      </c>
    </row>
    <row r="591">
      <c r="A591" t="n">
        <v>596</v>
      </c>
      <c r="B591" t="n">
        <v>23009.44</v>
      </c>
      <c r="C591" t="n">
        <v>32563.56</v>
      </c>
      <c r="D591" t="n">
        <v>13839.69</v>
      </c>
    </row>
    <row r="592">
      <c r="A592" t="n">
        <v>783</v>
      </c>
      <c r="B592" t="n">
        <v>4928.93</v>
      </c>
      <c r="C592" t="n">
        <v>38076.77</v>
      </c>
      <c r="D592" t="n">
        <v>0</v>
      </c>
    </row>
    <row r="593">
      <c r="A593" t="n">
        <v>767</v>
      </c>
      <c r="B593" t="n">
        <v>13995.83</v>
      </c>
      <c r="C593" t="n">
        <v>52797.76</v>
      </c>
      <c r="D593" t="n">
        <v>4259.62</v>
      </c>
    </row>
    <row r="594">
      <c r="A594" t="n">
        <v>718</v>
      </c>
      <c r="B594" t="n">
        <v>13004.21</v>
      </c>
      <c r="C594" t="n">
        <v>51846.63</v>
      </c>
      <c r="D594" t="n">
        <v>14038.15</v>
      </c>
    </row>
    <row r="595">
      <c r="A595" t="n">
        <v>623</v>
      </c>
      <c r="B595" t="n">
        <v>28339.63</v>
      </c>
      <c r="C595" t="n">
        <v>10195.59</v>
      </c>
      <c r="D595" t="n">
        <v>9512.860000000001</v>
      </c>
    </row>
    <row r="596">
      <c r="A596" t="n">
        <v>700</v>
      </c>
      <c r="B596" t="n">
        <v>0</v>
      </c>
      <c r="C596" t="n">
        <v>52428.95</v>
      </c>
      <c r="D596" t="n">
        <v>7054.62</v>
      </c>
    </row>
    <row r="597">
      <c r="A597" t="n">
        <v>797</v>
      </c>
      <c r="B597" t="n">
        <v>8458.57</v>
      </c>
      <c r="C597" t="n">
        <v>15595.52</v>
      </c>
      <c r="D597" t="n">
        <v>23352</v>
      </c>
    </row>
    <row r="598">
      <c r="A598" t="n">
        <v>777</v>
      </c>
      <c r="B598" t="n">
        <v>8791.91</v>
      </c>
      <c r="C598" t="n">
        <v>59345.65</v>
      </c>
      <c r="D598" t="n">
        <v>23009.44</v>
      </c>
    </row>
    <row r="599">
      <c r="A599" t="n">
        <v>675</v>
      </c>
      <c r="B599" t="n">
        <v>14890.92</v>
      </c>
      <c r="C599" t="n">
        <v>57031.07</v>
      </c>
      <c r="D599" t="n">
        <v>15958.38</v>
      </c>
    </row>
    <row r="600">
      <c r="A600" t="n">
        <v>727</v>
      </c>
      <c r="B600" t="n">
        <v>1325.97</v>
      </c>
      <c r="C600" t="n">
        <v>20359.39</v>
      </c>
      <c r="D600" t="n">
        <v>9146.34</v>
      </c>
    </row>
    <row r="601">
      <c r="A601" t="n">
        <v>669</v>
      </c>
      <c r="B601" t="n">
        <v>6093.7</v>
      </c>
      <c r="C601" t="n">
        <v>42025.61</v>
      </c>
      <c r="D601" t="n">
        <v>11175.89</v>
      </c>
    </row>
    <row r="602">
      <c r="A602" t="n">
        <v>711</v>
      </c>
      <c r="B602" t="n">
        <v>8014.03</v>
      </c>
      <c r="C602" t="n">
        <v>24146.88</v>
      </c>
      <c r="D602" t="n">
        <v>1325.97</v>
      </c>
    </row>
    <row r="603">
      <c r="A603" t="n">
        <v>795</v>
      </c>
      <c r="B603" t="n">
        <v>8072.49</v>
      </c>
      <c r="C603" t="n">
        <v>49053.7</v>
      </c>
      <c r="D603" t="n">
        <v>11961.07</v>
      </c>
    </row>
    <row r="604">
      <c r="A604" t="n">
        <v>702</v>
      </c>
      <c r="B604" t="n">
        <v>7840.88</v>
      </c>
      <c r="C604" t="n">
        <v>22761.97</v>
      </c>
      <c r="D604" t="n">
        <v>8014.03</v>
      </c>
    </row>
    <row r="605">
      <c r="A605" t="n">
        <v>767</v>
      </c>
      <c r="B605" t="n">
        <v>5436.47</v>
      </c>
      <c r="C605" t="n">
        <v>27859.3</v>
      </c>
      <c r="D605" t="n">
        <v>7840.88</v>
      </c>
    </row>
    <row r="606">
      <c r="A606" t="n">
        <v>605</v>
      </c>
      <c r="B606" t="n">
        <v>22532.45</v>
      </c>
      <c r="C606" t="n">
        <v>54147.38</v>
      </c>
      <c r="D606" t="n">
        <v>5436.47</v>
      </c>
    </row>
    <row r="607">
      <c r="A607" t="n">
        <v>750</v>
      </c>
      <c r="B607" t="n">
        <v>12165.76</v>
      </c>
      <c r="C607" t="n">
        <v>53456.71</v>
      </c>
      <c r="D607" t="n">
        <v>10987.18</v>
      </c>
    </row>
    <row r="608">
      <c r="A608" t="n">
        <v>696</v>
      </c>
      <c r="B608" t="n">
        <v>17283.77</v>
      </c>
      <c r="C608" t="n">
        <v>44680.95</v>
      </c>
      <c r="D608" t="n">
        <v>12165.76</v>
      </c>
    </row>
    <row r="609">
      <c r="A609" t="n">
        <v>739</v>
      </c>
      <c r="B609" t="n">
        <v>13386.05</v>
      </c>
      <c r="C609" t="n">
        <v>26286</v>
      </c>
      <c r="D609" t="n">
        <v>13386.05</v>
      </c>
    </row>
    <row r="610">
      <c r="A610" t="n">
        <v>645</v>
      </c>
      <c r="B610" t="n">
        <v>13030.41</v>
      </c>
      <c r="C610" t="n">
        <v>35756.85</v>
      </c>
      <c r="D610" t="n">
        <v>13030.41</v>
      </c>
    </row>
    <row r="611">
      <c r="A611" t="n">
        <v>803</v>
      </c>
      <c r="B611" t="n">
        <v>6792.81</v>
      </c>
      <c r="C611" t="n">
        <v>10010.28</v>
      </c>
      <c r="D611" t="n">
        <v>8274.98</v>
      </c>
    </row>
    <row r="612">
      <c r="A612" t="n">
        <v>723</v>
      </c>
      <c r="B612" t="n">
        <v>11777.52</v>
      </c>
      <c r="C612" t="n">
        <v>14885.93</v>
      </c>
      <c r="D612" t="n">
        <v>8176.12</v>
      </c>
    </row>
    <row r="613">
      <c r="A613" t="n">
        <v>730</v>
      </c>
      <c r="B613" t="n">
        <v>5716.06</v>
      </c>
      <c r="C613" t="n">
        <v>45971.06</v>
      </c>
      <c r="D613" t="n">
        <v>4480.85</v>
      </c>
    </row>
    <row r="614">
      <c r="A614" t="n">
        <v>655</v>
      </c>
      <c r="B614" t="n">
        <v>12561.67</v>
      </c>
      <c r="C614" t="n">
        <v>17254.16</v>
      </c>
      <c r="D614" t="n">
        <v>8453.15</v>
      </c>
    </row>
    <row r="615">
      <c r="A615" t="n">
        <v>687</v>
      </c>
      <c r="B615" t="n">
        <v>12603.68</v>
      </c>
      <c r="C615" t="n">
        <v>57672.26</v>
      </c>
      <c r="D615" t="n">
        <v>8030.81</v>
      </c>
    </row>
    <row r="616">
      <c r="A616" t="n">
        <v>608</v>
      </c>
      <c r="B616" t="n">
        <v>22531.68</v>
      </c>
      <c r="C616" t="n">
        <v>11988.97</v>
      </c>
      <c r="D616" t="n">
        <v>6914.9</v>
      </c>
    </row>
    <row r="617">
      <c r="A617" t="n">
        <v>777</v>
      </c>
      <c r="B617" t="n">
        <v>9699.92</v>
      </c>
      <c r="C617" t="n">
        <v>47517.55</v>
      </c>
      <c r="D617" t="n">
        <v>9501.07</v>
      </c>
    </row>
    <row r="618">
      <c r="A618" t="n">
        <v>770</v>
      </c>
      <c r="B618" t="n">
        <v>8030.81</v>
      </c>
      <c r="C618" t="n">
        <v>5576.91</v>
      </c>
      <c r="D618" t="n">
        <v>4316.52</v>
      </c>
    </row>
    <row r="619">
      <c r="A619" t="n">
        <v>683</v>
      </c>
      <c r="B619" t="n">
        <v>6774.3</v>
      </c>
      <c r="C619" t="n">
        <v>10755.81</v>
      </c>
      <c r="D619" t="n">
        <v>12259.03</v>
      </c>
    </row>
    <row r="620">
      <c r="A620" t="n">
        <v>642</v>
      </c>
      <c r="B620" t="n">
        <v>15279.1</v>
      </c>
      <c r="C620" t="n">
        <v>33065.63</v>
      </c>
      <c r="D620" t="n">
        <v>17439.53</v>
      </c>
    </row>
    <row r="621">
      <c r="A621" t="n">
        <v>582</v>
      </c>
      <c r="B621" t="n">
        <v>15043.84</v>
      </c>
      <c r="C621" t="n">
        <v>48948.76</v>
      </c>
      <c r="D621" t="n">
        <v>11600.44</v>
      </c>
    </row>
    <row r="622">
      <c r="A622" t="n">
        <v>639</v>
      </c>
      <c r="B622" t="n">
        <v>22570.13</v>
      </c>
      <c r="C622" t="n">
        <v>58883.64</v>
      </c>
      <c r="D622" t="n">
        <v>10218.5</v>
      </c>
    </row>
    <row r="623">
      <c r="A623" t="n">
        <v>685</v>
      </c>
      <c r="B623" t="n">
        <v>17025.42</v>
      </c>
      <c r="C623" t="n">
        <v>33868.3</v>
      </c>
      <c r="D623" t="n">
        <v>9055.450000000001</v>
      </c>
    </row>
    <row r="624">
      <c r="A624" t="n">
        <v>738</v>
      </c>
      <c r="B624" t="n">
        <v>4316.52</v>
      </c>
      <c r="C624" t="n">
        <v>23477.13</v>
      </c>
      <c r="D624" t="n">
        <v>21073.27</v>
      </c>
    </row>
    <row r="625">
      <c r="A625" t="n">
        <v>583</v>
      </c>
      <c r="B625" t="n">
        <v>12259.03</v>
      </c>
      <c r="C625" t="n">
        <v>40534.75</v>
      </c>
      <c r="D625" t="n">
        <v>6073.06</v>
      </c>
    </row>
    <row r="626">
      <c r="A626" t="n">
        <v>771</v>
      </c>
      <c r="B626" t="n">
        <v>2864.07</v>
      </c>
      <c r="C626" t="n">
        <v>35361.25</v>
      </c>
      <c r="D626" t="n">
        <v>4130</v>
      </c>
    </row>
    <row r="627">
      <c r="A627" t="n">
        <v>584</v>
      </c>
      <c r="B627" t="n">
        <v>19962.08</v>
      </c>
      <c r="C627" t="n">
        <v>46932.64</v>
      </c>
      <c r="D627" t="n">
        <v>1513.38</v>
      </c>
    </row>
    <row r="628">
      <c r="A628" t="n">
        <v>634</v>
      </c>
      <c r="B628" t="n">
        <v>26616.55</v>
      </c>
      <c r="C628" t="n">
        <v>6913.28</v>
      </c>
      <c r="D628" t="n">
        <v>2864.07</v>
      </c>
    </row>
    <row r="629">
      <c r="A629" t="n">
        <v>672</v>
      </c>
      <c r="B629" t="n">
        <v>24023.26</v>
      </c>
      <c r="C629" t="n">
        <v>45998.78</v>
      </c>
      <c r="D629" t="n">
        <v>26616.55</v>
      </c>
    </row>
    <row r="630">
      <c r="A630" t="n">
        <v>826</v>
      </c>
      <c r="B630" t="n">
        <v>4854.15</v>
      </c>
      <c r="C630" t="n">
        <v>6835.11</v>
      </c>
      <c r="D630" t="n">
        <v>10296.74</v>
      </c>
    </row>
    <row r="631">
      <c r="A631" t="n">
        <v>645</v>
      </c>
      <c r="B631" t="n">
        <v>17191.05</v>
      </c>
      <c r="C631" t="n">
        <v>9885.190000000001</v>
      </c>
      <c r="D631" t="n">
        <v>9241.51</v>
      </c>
    </row>
    <row r="632">
      <c r="A632" t="n">
        <v>699</v>
      </c>
      <c r="B632" t="n">
        <v>16044.3</v>
      </c>
      <c r="C632" t="n">
        <v>31828.12</v>
      </c>
      <c r="D632" t="n">
        <v>17191.05</v>
      </c>
    </row>
    <row r="633">
      <c r="A633" t="n">
        <v>823</v>
      </c>
      <c r="B633" t="n">
        <v>1339.58</v>
      </c>
      <c r="C633" t="n">
        <v>15675.38</v>
      </c>
      <c r="D633" t="n">
        <v>9244.540000000001</v>
      </c>
    </row>
    <row r="634">
      <c r="A634" t="n">
        <v>706</v>
      </c>
      <c r="B634" t="n">
        <v>9244.540000000001</v>
      </c>
      <c r="C634" t="n">
        <v>56978.22</v>
      </c>
      <c r="D634" t="n">
        <v>1847.72</v>
      </c>
    </row>
    <row r="635">
      <c r="A635" t="n">
        <v>814</v>
      </c>
      <c r="B635" t="n">
        <v>6611.72</v>
      </c>
      <c r="C635" t="n">
        <v>16936.07</v>
      </c>
      <c r="D635" t="n">
        <v>6012.28</v>
      </c>
    </row>
    <row r="636">
      <c r="A636" t="n">
        <v>722</v>
      </c>
      <c r="B636" t="n">
        <v>1847.72</v>
      </c>
      <c r="C636" t="n">
        <v>23884.73</v>
      </c>
      <c r="D636" t="n">
        <v>18065.34</v>
      </c>
    </row>
    <row r="637">
      <c r="A637" t="n">
        <v>756</v>
      </c>
      <c r="B637" t="n">
        <v>10044.02</v>
      </c>
      <c r="C637" t="n">
        <v>20578.18</v>
      </c>
      <c r="D637" t="n">
        <v>22893.7</v>
      </c>
    </row>
    <row r="638">
      <c r="A638" t="n">
        <v>691</v>
      </c>
      <c r="B638" t="n">
        <v>12915.71</v>
      </c>
      <c r="C638" t="n">
        <v>16171.11</v>
      </c>
      <c r="D638" t="n">
        <v>7049.61</v>
      </c>
    </row>
    <row r="639">
      <c r="A639" t="n">
        <v>691</v>
      </c>
      <c r="B639" t="n">
        <v>12214.93</v>
      </c>
      <c r="C639" t="n">
        <v>16215.29</v>
      </c>
      <c r="D639" t="n">
        <v>11778.87</v>
      </c>
    </row>
    <row r="640">
      <c r="A640" t="n">
        <v>699</v>
      </c>
      <c r="B640" t="n">
        <v>6012.28</v>
      </c>
      <c r="C640" t="n">
        <v>52485.01</v>
      </c>
      <c r="D640" t="n">
        <v>18976.79</v>
      </c>
    </row>
    <row r="641">
      <c r="A641" t="n">
        <v>720</v>
      </c>
      <c r="B641" t="n">
        <v>4076.59</v>
      </c>
      <c r="C641" t="n">
        <v>34310.1</v>
      </c>
      <c r="D641" t="n">
        <v>13742.62</v>
      </c>
    </row>
    <row r="642">
      <c r="A642" t="n">
        <v>690</v>
      </c>
      <c r="B642" t="n">
        <v>16013.66</v>
      </c>
      <c r="C642" t="n">
        <v>20203.21</v>
      </c>
      <c r="D642" t="n">
        <v>1429.07</v>
      </c>
    </row>
    <row r="643">
      <c r="A643" t="n">
        <v>765</v>
      </c>
      <c r="B643" t="n">
        <v>5504.24</v>
      </c>
      <c r="C643" t="n">
        <v>8297.719999999999</v>
      </c>
      <c r="D643" t="n">
        <v>18752.11</v>
      </c>
    </row>
    <row r="644">
      <c r="A644" t="n">
        <v>756</v>
      </c>
      <c r="B644" t="n">
        <v>16772.56</v>
      </c>
      <c r="C644" t="n">
        <v>9005.540000000001</v>
      </c>
      <c r="D644" t="n">
        <v>7177.94</v>
      </c>
    </row>
    <row r="645">
      <c r="A645" t="n">
        <v>602</v>
      </c>
      <c r="B645" t="n">
        <v>18415.63</v>
      </c>
      <c r="C645" t="n">
        <v>46417.65</v>
      </c>
      <c r="D645" t="n">
        <v>4732.54</v>
      </c>
    </row>
    <row r="646">
      <c r="A646" t="n">
        <v>746</v>
      </c>
      <c r="B646" t="n">
        <v>1429.07</v>
      </c>
      <c r="C646" t="n">
        <v>49866.9</v>
      </c>
      <c r="D646" t="n">
        <v>9285.190000000001</v>
      </c>
    </row>
    <row r="647">
      <c r="A647" t="n">
        <v>726</v>
      </c>
      <c r="B647" t="n">
        <v>5981.7</v>
      </c>
      <c r="C647" t="n">
        <v>58044.04</v>
      </c>
      <c r="D647" t="n">
        <v>12006.07</v>
      </c>
    </row>
    <row r="648">
      <c r="A648" t="n">
        <v>707</v>
      </c>
      <c r="B648" t="n">
        <v>6576.88</v>
      </c>
      <c r="C648" t="n">
        <v>7125.69</v>
      </c>
      <c r="D648" t="n">
        <v>9897.26</v>
      </c>
    </row>
    <row r="649">
      <c r="A649" t="n">
        <v>816</v>
      </c>
      <c r="B649" t="n">
        <v>4732.54</v>
      </c>
      <c r="C649" t="n">
        <v>43769.11</v>
      </c>
      <c r="D649" t="n">
        <v>10472.75</v>
      </c>
    </row>
    <row r="650">
      <c r="A650" t="n">
        <v>612</v>
      </c>
      <c r="B650" t="n">
        <v>17969.58</v>
      </c>
      <c r="C650" t="n">
        <v>40115.2</v>
      </c>
      <c r="D650" t="n">
        <v>2269.11</v>
      </c>
    </row>
    <row r="651">
      <c r="A651" t="n">
        <v>724</v>
      </c>
      <c r="B651" t="n">
        <v>12754</v>
      </c>
      <c r="C651" t="n">
        <v>30272.36</v>
      </c>
      <c r="D651" t="n">
        <v>28728.17</v>
      </c>
    </row>
    <row r="652">
      <c r="A652" t="n">
        <v>843</v>
      </c>
      <c r="B652" t="n">
        <v>2269.11</v>
      </c>
      <c r="C652" t="n">
        <v>11961.31</v>
      </c>
      <c r="D652" t="n">
        <v>10029.44</v>
      </c>
    </row>
    <row r="653">
      <c r="A653" t="n">
        <v>783</v>
      </c>
      <c r="B653" t="n">
        <v>5572.96</v>
      </c>
      <c r="C653" t="n">
        <v>58963.5</v>
      </c>
      <c r="D653" t="n">
        <v>5572.96</v>
      </c>
    </row>
    <row r="654">
      <c r="A654" t="n">
        <v>672</v>
      </c>
      <c r="B654" t="n">
        <v>16722.53</v>
      </c>
      <c r="C654" t="n">
        <v>15497.57</v>
      </c>
      <c r="D654" t="n">
        <v>17050.78</v>
      </c>
    </row>
    <row r="655">
      <c r="A655" t="n">
        <v>689</v>
      </c>
      <c r="B655" t="n">
        <v>12590.26</v>
      </c>
      <c r="C655" t="n">
        <v>7749.58</v>
      </c>
      <c r="D655" t="n">
        <v>21341.67</v>
      </c>
    </row>
    <row r="656">
      <c r="A656" t="n">
        <v>708</v>
      </c>
      <c r="B656" t="n">
        <v>14533.88</v>
      </c>
      <c r="C656" t="n">
        <v>11993.48</v>
      </c>
      <c r="D656" t="n">
        <v>12998.61</v>
      </c>
    </row>
    <row r="657">
      <c r="A657" t="n">
        <v>726</v>
      </c>
      <c r="B657" t="n">
        <v>10879.13</v>
      </c>
      <c r="C657" t="n">
        <v>46032.67</v>
      </c>
      <c r="D657" t="n">
        <v>15254.58</v>
      </c>
    </row>
    <row r="658">
      <c r="A658" t="n">
        <v>704</v>
      </c>
      <c r="B658" t="n">
        <v>15254.58</v>
      </c>
      <c r="C658" t="n">
        <v>27537.29</v>
      </c>
      <c r="D658" t="n">
        <v>11081.03</v>
      </c>
    </row>
    <row r="659">
      <c r="A659" t="n">
        <v>567</v>
      </c>
      <c r="B659" t="n">
        <v>18621.66</v>
      </c>
      <c r="C659" t="n">
        <v>42262.55</v>
      </c>
      <c r="D659" t="n">
        <v>3012.03</v>
      </c>
    </row>
    <row r="660">
      <c r="A660" t="n">
        <v>685</v>
      </c>
      <c r="B660" t="n">
        <v>13771.17</v>
      </c>
      <c r="C660" t="n">
        <v>26362.51</v>
      </c>
      <c r="D660" t="n">
        <v>4761.25</v>
      </c>
    </row>
    <row r="661">
      <c r="A661" t="n">
        <v>735</v>
      </c>
      <c r="B661" t="n">
        <v>3012.03</v>
      </c>
      <c r="C661" t="n">
        <v>28594.88</v>
      </c>
      <c r="D661" t="n">
        <v>12047.88</v>
      </c>
    </row>
    <row r="662">
      <c r="A662" t="n">
        <v>724</v>
      </c>
      <c r="B662" t="n">
        <v>14393.53</v>
      </c>
      <c r="C662" t="n">
        <v>28591.67</v>
      </c>
      <c r="D662" t="n">
        <v>5697.87</v>
      </c>
    </row>
    <row r="663">
      <c r="A663" t="n">
        <v>686</v>
      </c>
      <c r="B663" t="n">
        <v>11615.09</v>
      </c>
      <c r="C663" t="n">
        <v>35007.86</v>
      </c>
      <c r="D663" t="n">
        <v>14803.24</v>
      </c>
    </row>
    <row r="664">
      <c r="A664" t="n">
        <v>739</v>
      </c>
      <c r="B664" t="n">
        <v>9908.709999999999</v>
      </c>
      <c r="C664" t="n">
        <v>35380.42</v>
      </c>
      <c r="D664" t="n">
        <v>7995.26</v>
      </c>
    </row>
    <row r="665">
      <c r="A665" t="n">
        <v>777</v>
      </c>
      <c r="B665" t="n">
        <v>7995.26</v>
      </c>
      <c r="C665" t="n">
        <v>47513.7</v>
      </c>
      <c r="D665" t="n">
        <v>11328.77</v>
      </c>
    </row>
    <row r="666">
      <c r="A666" t="n">
        <v>615</v>
      </c>
      <c r="B666" t="n">
        <v>16432.02</v>
      </c>
      <c r="C666" t="n">
        <v>19440.25</v>
      </c>
      <c r="D666" t="n">
        <v>13096.03</v>
      </c>
    </row>
    <row r="667">
      <c r="A667" t="n">
        <v>743</v>
      </c>
      <c r="B667" t="n">
        <v>6635.29</v>
      </c>
      <c r="C667" t="n">
        <v>13332.15</v>
      </c>
      <c r="D667" t="n">
        <v>10936.79</v>
      </c>
    </row>
    <row r="668">
      <c r="A668" t="n">
        <v>760</v>
      </c>
      <c r="B668" t="n">
        <v>9581.860000000001</v>
      </c>
      <c r="C668" t="n">
        <v>12580.14</v>
      </c>
      <c r="D668" t="n">
        <v>9481.290000000001</v>
      </c>
    </row>
    <row r="669">
      <c r="A669" t="n">
        <v>663</v>
      </c>
      <c r="B669" t="n">
        <v>23073.44</v>
      </c>
      <c r="C669" t="n">
        <v>19388.13</v>
      </c>
      <c r="D669" t="n">
        <v>9150.24</v>
      </c>
    </row>
    <row r="670">
      <c r="A670" t="n">
        <v>683</v>
      </c>
      <c r="B670" t="n">
        <v>13704.61</v>
      </c>
      <c r="C670" t="n">
        <v>57719.28</v>
      </c>
      <c r="D670" t="n">
        <v>14584.86</v>
      </c>
    </row>
    <row r="671">
      <c r="A671" t="n">
        <v>771</v>
      </c>
      <c r="B671" t="n">
        <v>10338.59</v>
      </c>
      <c r="C671" t="n">
        <v>36591.93</v>
      </c>
      <c r="D671" t="n">
        <v>26626.2</v>
      </c>
    </row>
    <row r="672">
      <c r="A672" t="n">
        <v>670</v>
      </c>
      <c r="B672" t="n">
        <v>21928.67</v>
      </c>
      <c r="C672" t="n">
        <v>52838.16</v>
      </c>
      <c r="D672" t="n">
        <v>7598.96</v>
      </c>
    </row>
    <row r="673">
      <c r="A673" t="n">
        <v>625</v>
      </c>
      <c r="B673" t="n">
        <v>11580.33</v>
      </c>
      <c r="C673" t="n">
        <v>21512.82</v>
      </c>
      <c r="D673" t="n">
        <v>4694.24</v>
      </c>
    </row>
    <row r="674">
      <c r="A674" t="n">
        <v>699</v>
      </c>
      <c r="B674" t="n">
        <v>4278.29</v>
      </c>
      <c r="C674" t="n">
        <v>56231.79</v>
      </c>
      <c r="D674" t="n">
        <v>2627.54</v>
      </c>
    </row>
    <row r="675">
      <c r="A675" t="n">
        <v>752</v>
      </c>
      <c r="B675" t="n">
        <v>4405.31</v>
      </c>
      <c r="C675" t="n">
        <v>38821.21</v>
      </c>
      <c r="D675" t="n">
        <v>15832.29</v>
      </c>
    </row>
    <row r="676">
      <c r="A676" t="n">
        <v>752</v>
      </c>
      <c r="B676" t="n">
        <v>4694.24</v>
      </c>
      <c r="C676" t="n">
        <v>36430.11</v>
      </c>
      <c r="D676" t="n">
        <v>30300.22</v>
      </c>
    </row>
    <row r="677">
      <c r="A677" t="n">
        <v>665</v>
      </c>
      <c r="B677" t="n">
        <v>15832.29</v>
      </c>
      <c r="C677" t="n">
        <v>42360.55</v>
      </c>
      <c r="D677" t="n">
        <v>18053.48</v>
      </c>
    </row>
    <row r="678">
      <c r="A678" t="n">
        <v>629</v>
      </c>
      <c r="B678" t="n">
        <v>30300.22</v>
      </c>
      <c r="C678" t="n">
        <v>43854.68</v>
      </c>
      <c r="D678" t="n">
        <v>7111.54</v>
      </c>
    </row>
    <row r="679">
      <c r="A679" t="n">
        <v>659</v>
      </c>
      <c r="B679" t="n">
        <v>14836.45</v>
      </c>
      <c r="C679" t="n">
        <v>53704.84</v>
      </c>
      <c r="D679" t="n">
        <v>13352.31</v>
      </c>
    </row>
    <row r="680">
      <c r="A680" t="n">
        <v>722</v>
      </c>
      <c r="B680" t="n">
        <v>3691.09</v>
      </c>
      <c r="C680" t="n">
        <v>32490.01</v>
      </c>
      <c r="D680" t="n">
        <v>3691.09</v>
      </c>
    </row>
    <row r="681">
      <c r="A681" t="n">
        <v>711</v>
      </c>
      <c r="B681" t="n">
        <v>10403.98</v>
      </c>
      <c r="C681" t="n">
        <v>57879.62</v>
      </c>
      <c r="D681" t="n">
        <v>29242</v>
      </c>
    </row>
    <row r="682">
      <c r="A682" t="n">
        <v>737</v>
      </c>
      <c r="B682" t="n">
        <v>12038.5</v>
      </c>
      <c r="C682" t="n">
        <v>33597.69</v>
      </c>
      <c r="D682" t="n">
        <v>359.3</v>
      </c>
    </row>
    <row r="683">
      <c r="A683" t="n">
        <v>748</v>
      </c>
      <c r="B683" t="n">
        <v>7475.7</v>
      </c>
      <c r="C683" t="n">
        <v>14017.87</v>
      </c>
      <c r="D683" t="n">
        <v>15722.1</v>
      </c>
    </row>
    <row r="684">
      <c r="A684" t="n">
        <v>761</v>
      </c>
      <c r="B684" t="n">
        <v>4861.95</v>
      </c>
      <c r="C684" t="n">
        <v>37003.94</v>
      </c>
      <c r="D684" t="n">
        <v>4933.79</v>
      </c>
    </row>
    <row r="685">
      <c r="A685" t="n">
        <v>712</v>
      </c>
      <c r="B685" t="n">
        <v>8972.370000000001</v>
      </c>
      <c r="C685" t="n">
        <v>28950.63</v>
      </c>
      <c r="D685" t="n">
        <v>17231.56</v>
      </c>
    </row>
    <row r="686">
      <c r="A686" t="n">
        <v>645</v>
      </c>
      <c r="B686" t="n">
        <v>12673.47</v>
      </c>
      <c r="C686" t="n">
        <v>18806.14</v>
      </c>
      <c r="D686" t="n">
        <v>3756.46</v>
      </c>
    </row>
    <row r="687">
      <c r="A687" t="n">
        <v>704</v>
      </c>
      <c r="B687" t="n">
        <v>12125.37</v>
      </c>
      <c r="C687" t="n">
        <v>18565.12</v>
      </c>
      <c r="D687" t="n">
        <v>14438.14</v>
      </c>
    </row>
    <row r="688">
      <c r="A688" t="n">
        <v>672</v>
      </c>
      <c r="B688" t="n">
        <v>17910.67</v>
      </c>
      <c r="C688" t="n">
        <v>33412.56</v>
      </c>
      <c r="D688" t="n">
        <v>10049.32</v>
      </c>
    </row>
    <row r="689">
      <c r="A689" t="n">
        <v>646</v>
      </c>
      <c r="B689" t="n">
        <v>6955.24</v>
      </c>
      <c r="C689" t="n">
        <v>43149.41</v>
      </c>
      <c r="D689" t="n">
        <v>9946.25</v>
      </c>
    </row>
    <row r="690">
      <c r="A690" t="n">
        <v>646</v>
      </c>
      <c r="B690" t="n">
        <v>18311.97</v>
      </c>
      <c r="C690" t="n">
        <v>48423.35</v>
      </c>
      <c r="D690" t="n">
        <v>12673.47</v>
      </c>
    </row>
    <row r="691">
      <c r="A691" t="n">
        <v>725</v>
      </c>
      <c r="B691" t="n">
        <v>923.34</v>
      </c>
      <c r="C691" t="n">
        <v>27679.61</v>
      </c>
      <c r="D691" t="n">
        <v>17910.67</v>
      </c>
    </row>
    <row r="692">
      <c r="A692" t="n">
        <v>689</v>
      </c>
      <c r="B692" t="n">
        <v>5742.11</v>
      </c>
      <c r="C692" t="n">
        <v>59179.54</v>
      </c>
      <c r="D692" t="n">
        <v>6955.24</v>
      </c>
    </row>
    <row r="693">
      <c r="A693" t="n">
        <v>699</v>
      </c>
      <c r="B693" t="n">
        <v>13327.53</v>
      </c>
      <c r="C693" t="n">
        <v>45653.24</v>
      </c>
      <c r="D693" t="n">
        <v>12164.72</v>
      </c>
    </row>
    <row r="694">
      <c r="A694" t="n">
        <v>637</v>
      </c>
      <c r="B694" t="n">
        <v>18690.24</v>
      </c>
      <c r="C694" t="n">
        <v>45718.91</v>
      </c>
      <c r="D694" t="n">
        <v>18690.24</v>
      </c>
    </row>
    <row r="695">
      <c r="A695" t="n">
        <v>735</v>
      </c>
      <c r="B695" t="n">
        <v>5013.5</v>
      </c>
      <c r="C695" t="n">
        <v>18807.87</v>
      </c>
      <c r="D695" t="n">
        <v>14203.01</v>
      </c>
    </row>
    <row r="696">
      <c r="A696" t="n">
        <v>672</v>
      </c>
      <c r="B696" t="n">
        <v>644.36</v>
      </c>
      <c r="C696" t="n">
        <v>58797.69</v>
      </c>
      <c r="D696" t="n">
        <v>13868.24</v>
      </c>
    </row>
    <row r="697">
      <c r="A697" t="n">
        <v>626</v>
      </c>
      <c r="B697" t="n">
        <v>21342.95</v>
      </c>
      <c r="C697" t="n">
        <v>12503.31</v>
      </c>
      <c r="D697" t="n">
        <v>5013.5</v>
      </c>
    </row>
    <row r="698">
      <c r="A698" t="n">
        <v>723</v>
      </c>
      <c r="B698" t="n">
        <v>7820.04</v>
      </c>
      <c r="C698" t="n">
        <v>59266.07</v>
      </c>
      <c r="D698" t="n">
        <v>16181.15</v>
      </c>
    </row>
    <row r="699">
      <c r="A699" t="n">
        <v>645</v>
      </c>
      <c r="B699" t="n">
        <v>16181.15</v>
      </c>
      <c r="C699" t="n">
        <v>6666.8</v>
      </c>
      <c r="D699" t="n">
        <v>11234.9</v>
      </c>
    </row>
    <row r="700">
      <c r="A700" t="n">
        <v>776</v>
      </c>
      <c r="B700" t="n">
        <v>11234.9</v>
      </c>
      <c r="C700" t="n">
        <v>28072.02</v>
      </c>
      <c r="D700" t="n">
        <v>14662.72</v>
      </c>
    </row>
    <row r="701">
      <c r="A701" t="n">
        <v>636</v>
      </c>
      <c r="B701" t="n">
        <v>17374.69</v>
      </c>
      <c r="C701" t="n">
        <v>26640.68</v>
      </c>
      <c r="D701" t="n">
        <v>15037.66</v>
      </c>
    </row>
    <row r="702">
      <c r="A702" t="n">
        <v>722</v>
      </c>
      <c r="B702" t="n">
        <v>15622.39</v>
      </c>
      <c r="C702" t="n">
        <v>19292.29</v>
      </c>
      <c r="D702" t="n">
        <v>10565.66</v>
      </c>
    </row>
    <row r="703">
      <c r="A703" t="n">
        <v>625</v>
      </c>
      <c r="B703" t="n">
        <v>18221.23</v>
      </c>
      <c r="C703" t="n">
        <v>5317.55</v>
      </c>
      <c r="D703" t="n">
        <v>15263.98</v>
      </c>
    </row>
    <row r="704">
      <c r="A704" t="n">
        <v>627</v>
      </c>
      <c r="B704" t="n">
        <v>11405.45</v>
      </c>
      <c r="C704" t="n">
        <v>43428.96</v>
      </c>
      <c r="D704" t="n">
        <v>10275.28</v>
      </c>
    </row>
    <row r="705">
      <c r="A705" t="n">
        <v>697</v>
      </c>
      <c r="B705" t="n">
        <v>16044.12</v>
      </c>
      <c r="C705" t="n">
        <v>37231.92</v>
      </c>
      <c r="D705" t="n">
        <v>12073.04</v>
      </c>
    </row>
    <row r="706">
      <c r="A706" t="n">
        <v>603</v>
      </c>
      <c r="B706" t="n">
        <v>31762.75</v>
      </c>
      <c r="C706" t="n">
        <v>35705.55</v>
      </c>
      <c r="D706" t="n">
        <v>25979.97</v>
      </c>
    </row>
    <row r="707">
      <c r="A707" t="n">
        <v>786</v>
      </c>
      <c r="B707" t="n">
        <v>3541.89</v>
      </c>
      <c r="C707" t="n">
        <v>14789.58</v>
      </c>
      <c r="D707" t="n">
        <v>19255.86</v>
      </c>
    </row>
    <row r="708">
      <c r="A708" t="n">
        <v>694</v>
      </c>
      <c r="B708" t="n">
        <v>15017.58</v>
      </c>
      <c r="C708" t="n">
        <v>46034.41</v>
      </c>
      <c r="D708" t="n">
        <v>10375.5</v>
      </c>
    </row>
    <row r="709">
      <c r="A709" t="n">
        <v>739</v>
      </c>
      <c r="B709" t="n">
        <v>5536.1</v>
      </c>
      <c r="C709" t="n">
        <v>43007.11</v>
      </c>
      <c r="D709" t="n">
        <v>7662.9</v>
      </c>
    </row>
    <row r="710">
      <c r="A710" t="n">
        <v>745</v>
      </c>
      <c r="B710" t="n">
        <v>13369.49</v>
      </c>
      <c r="C710" t="n">
        <v>44865.43</v>
      </c>
      <c r="D710" t="n">
        <v>5123.37</v>
      </c>
    </row>
    <row r="711">
      <c r="A711" t="n">
        <v>754</v>
      </c>
      <c r="B711" t="n">
        <v>12846.73</v>
      </c>
      <c r="C711" t="n">
        <v>24678.6</v>
      </c>
      <c r="D711" t="n">
        <v>8426.129999999999</v>
      </c>
    </row>
    <row r="712">
      <c r="A712" t="n">
        <v>624</v>
      </c>
      <c r="B712" t="n">
        <v>10803.11</v>
      </c>
      <c r="C712" t="n">
        <v>59011.57</v>
      </c>
      <c r="D712" t="n">
        <v>5092.06</v>
      </c>
    </row>
    <row r="713">
      <c r="A713" t="n">
        <v>782</v>
      </c>
      <c r="B713" t="n">
        <v>10375.5</v>
      </c>
      <c r="C713" t="n">
        <v>6501.85</v>
      </c>
      <c r="D713" t="n">
        <v>9749.459999999999</v>
      </c>
    </row>
    <row r="714">
      <c r="A714" t="n">
        <v>777</v>
      </c>
      <c r="B714" t="n">
        <v>8504.02</v>
      </c>
      <c r="C714" t="n">
        <v>56790.72</v>
      </c>
      <c r="D714" t="n">
        <v>5725.18</v>
      </c>
    </row>
    <row r="715">
      <c r="A715" t="n">
        <v>649</v>
      </c>
      <c r="B715" t="n">
        <v>8426.129999999999</v>
      </c>
      <c r="C715" t="n">
        <v>54237.78</v>
      </c>
      <c r="D715" t="n">
        <v>8365.6</v>
      </c>
    </row>
    <row r="716">
      <c r="A716" t="n">
        <v>680</v>
      </c>
      <c r="B716" t="n">
        <v>12893.73</v>
      </c>
      <c r="C716" t="n">
        <v>54173.83</v>
      </c>
      <c r="D716" t="n">
        <v>10684.04</v>
      </c>
    </row>
    <row r="717">
      <c r="A717" t="n">
        <v>722</v>
      </c>
      <c r="B717" t="n">
        <v>11018.41</v>
      </c>
      <c r="C717" t="n">
        <v>38899.57</v>
      </c>
      <c r="D717" t="n">
        <v>11667.73</v>
      </c>
    </row>
    <row r="718">
      <c r="A718" t="n">
        <v>668</v>
      </c>
      <c r="B718" t="n">
        <v>7448.36</v>
      </c>
      <c r="C718" t="n">
        <v>57661.14</v>
      </c>
      <c r="D718" t="n">
        <v>20147.9</v>
      </c>
    </row>
    <row r="719">
      <c r="A719" t="n">
        <v>678</v>
      </c>
      <c r="B719" t="n">
        <v>9714.5</v>
      </c>
      <c r="C719" t="n">
        <v>56683.43</v>
      </c>
      <c r="D719" t="n">
        <v>9888.51</v>
      </c>
    </row>
    <row r="720">
      <c r="A720" t="n">
        <v>589</v>
      </c>
      <c r="B720" t="n">
        <v>14731.33</v>
      </c>
      <c r="C720" t="n">
        <v>32159.6</v>
      </c>
      <c r="D720" t="n">
        <v>3736.12</v>
      </c>
    </row>
    <row r="721">
      <c r="A721" t="n">
        <v>704</v>
      </c>
      <c r="B721" t="n">
        <v>11801.23</v>
      </c>
      <c r="C721" t="n">
        <v>34157.03</v>
      </c>
      <c r="D721" t="n">
        <v>9714.5</v>
      </c>
    </row>
    <row r="722">
      <c r="A722" t="n">
        <v>672</v>
      </c>
      <c r="B722" t="n">
        <v>16580.88</v>
      </c>
      <c r="C722" t="n">
        <v>18647.37</v>
      </c>
      <c r="D722" t="n">
        <v>13574.53</v>
      </c>
    </row>
    <row r="723">
      <c r="A723" t="n">
        <v>626</v>
      </c>
      <c r="B723" t="n">
        <v>16416.12</v>
      </c>
      <c r="C723" t="n">
        <v>23431.26</v>
      </c>
      <c r="D723" t="n">
        <v>20405.38</v>
      </c>
    </row>
    <row r="724">
      <c r="A724" t="n">
        <v>692</v>
      </c>
      <c r="B724" t="n">
        <v>6359.96</v>
      </c>
      <c r="C724" t="n">
        <v>39479.9</v>
      </c>
      <c r="D724" t="n">
        <v>68.22</v>
      </c>
    </row>
    <row r="725">
      <c r="A725" t="n">
        <v>691</v>
      </c>
      <c r="B725" t="n">
        <v>15715.08</v>
      </c>
      <c r="C725" t="n">
        <v>54930.62</v>
      </c>
      <c r="D725" t="n">
        <v>16580.88</v>
      </c>
    </row>
    <row r="726">
      <c r="A726" t="n">
        <v>711</v>
      </c>
      <c r="B726" t="n">
        <v>6450.33</v>
      </c>
      <c r="C726" t="n">
        <v>13594.03</v>
      </c>
      <c r="D726" t="n">
        <v>6359.96</v>
      </c>
    </row>
    <row r="727">
      <c r="A727" t="n">
        <v>673</v>
      </c>
      <c r="B727" t="n">
        <v>14172.24</v>
      </c>
      <c r="C727" t="n">
        <v>59311.53</v>
      </c>
      <c r="D727" t="n">
        <v>1051.03</v>
      </c>
    </row>
    <row r="728">
      <c r="A728" t="n">
        <v>743</v>
      </c>
      <c r="B728" t="n">
        <v>10186.12</v>
      </c>
      <c r="C728" t="n">
        <v>6368.41</v>
      </c>
      <c r="D728" t="n">
        <v>11254.42</v>
      </c>
    </row>
    <row r="729">
      <c r="A729" t="n">
        <v>644</v>
      </c>
      <c r="B729" t="n">
        <v>23926.39</v>
      </c>
      <c r="C729" t="n">
        <v>11800.5</v>
      </c>
      <c r="D729" t="n">
        <v>6152.11</v>
      </c>
    </row>
    <row r="730">
      <c r="A730" t="n">
        <v>648</v>
      </c>
      <c r="B730" t="n">
        <v>10937.49</v>
      </c>
      <c r="C730" t="n">
        <v>46887.97</v>
      </c>
      <c r="D730" t="n">
        <v>30785.98</v>
      </c>
    </row>
    <row r="731">
      <c r="A731" t="n">
        <v>689</v>
      </c>
      <c r="B731" t="n">
        <v>3606.55</v>
      </c>
      <c r="C731" t="n">
        <v>48987.09</v>
      </c>
      <c r="D731" t="n">
        <v>17209.62</v>
      </c>
    </row>
    <row r="732">
      <c r="A732" t="n">
        <v>665</v>
      </c>
      <c r="B732" t="n">
        <v>12681.25</v>
      </c>
      <c r="C732" t="n">
        <v>19931.72</v>
      </c>
      <c r="D732" t="n">
        <v>5409.7</v>
      </c>
    </row>
    <row r="733">
      <c r="A733" t="n">
        <v>649</v>
      </c>
      <c r="B733" t="n">
        <v>20011.53</v>
      </c>
      <c r="C733" t="n">
        <v>37292.26</v>
      </c>
      <c r="D733" t="n">
        <v>13781.34</v>
      </c>
    </row>
    <row r="734">
      <c r="A734" t="n">
        <v>627</v>
      </c>
      <c r="B734" t="n">
        <v>30785.98</v>
      </c>
      <c r="C734" t="n">
        <v>25049.71</v>
      </c>
      <c r="D734" t="n">
        <v>15084.27</v>
      </c>
    </row>
    <row r="735">
      <c r="A735" t="n">
        <v>695</v>
      </c>
      <c r="B735" t="n">
        <v>13781.34</v>
      </c>
      <c r="C735" t="n">
        <v>5125.18</v>
      </c>
      <c r="D735" t="n">
        <v>8560.08</v>
      </c>
    </row>
    <row r="736">
      <c r="A736" t="n">
        <v>662</v>
      </c>
      <c r="B736" t="n">
        <v>15084.27</v>
      </c>
      <c r="C736" t="n">
        <v>35624.51</v>
      </c>
      <c r="D736" t="n">
        <v>17894.97</v>
      </c>
    </row>
    <row r="737">
      <c r="A737" t="n">
        <v>813</v>
      </c>
      <c r="B737" t="n">
        <v>5296.72</v>
      </c>
      <c r="C737" t="n">
        <v>34512.34</v>
      </c>
      <c r="D737" t="n">
        <v>18598.05</v>
      </c>
    </row>
    <row r="738">
      <c r="A738" t="n">
        <v>709</v>
      </c>
      <c r="B738" t="n">
        <v>3681.55</v>
      </c>
      <c r="C738" t="n">
        <v>12443.22</v>
      </c>
      <c r="D738" t="n">
        <v>9163.799999999999</v>
      </c>
    </row>
    <row r="739">
      <c r="A739" t="n">
        <v>686</v>
      </c>
      <c r="B739" t="n">
        <v>8742.129999999999</v>
      </c>
      <c r="C739" t="n">
        <v>32405.27</v>
      </c>
      <c r="D739" t="n">
        <v>7265.91</v>
      </c>
    </row>
    <row r="740">
      <c r="A740" t="n">
        <v>754</v>
      </c>
      <c r="B740" t="n">
        <v>7265.91</v>
      </c>
      <c r="C740" t="n">
        <v>29149.68</v>
      </c>
      <c r="D740" t="n">
        <v>8332.73</v>
      </c>
    </row>
    <row r="741">
      <c r="A741" t="n">
        <v>676</v>
      </c>
      <c r="B741" t="n">
        <v>15186.91</v>
      </c>
      <c r="C741" t="n">
        <v>10517.95</v>
      </c>
      <c r="D741" t="n">
        <v>21478.6</v>
      </c>
    </row>
    <row r="742">
      <c r="A742" t="n">
        <v>700</v>
      </c>
      <c r="B742" t="n">
        <v>11658.56</v>
      </c>
      <c r="C742" t="n">
        <v>10329.95</v>
      </c>
      <c r="D742" t="n">
        <v>17627.89</v>
      </c>
    </row>
    <row r="743">
      <c r="A743" t="n">
        <v>621</v>
      </c>
      <c r="B743" t="n">
        <v>4240.84</v>
      </c>
      <c r="C743" t="n">
        <v>17231.99</v>
      </c>
      <c r="D743" t="n">
        <v>11805.72</v>
      </c>
    </row>
    <row r="744">
      <c r="A744" t="n">
        <v>729</v>
      </c>
      <c r="B744" t="n">
        <v>5601.95</v>
      </c>
      <c r="C744" t="n">
        <v>55190.25</v>
      </c>
      <c r="D744" t="n">
        <v>14876.15</v>
      </c>
    </row>
    <row r="745">
      <c r="A745" t="n">
        <v>699</v>
      </c>
      <c r="B745" t="n">
        <v>12098.98</v>
      </c>
      <c r="C745" t="n">
        <v>22673.31</v>
      </c>
      <c r="D745" t="n">
        <v>6279.28</v>
      </c>
    </row>
    <row r="746">
      <c r="A746" t="n">
        <v>692</v>
      </c>
      <c r="B746" t="n">
        <v>10944.93</v>
      </c>
      <c r="C746" t="n">
        <v>10306.15</v>
      </c>
      <c r="D746" t="n">
        <v>17128.57</v>
      </c>
    </row>
    <row r="747">
      <c r="A747" t="n">
        <v>670</v>
      </c>
      <c r="B747" t="n">
        <v>16992.48</v>
      </c>
      <c r="C747" t="n">
        <v>40790.69</v>
      </c>
      <c r="D747" t="n">
        <v>9399.360000000001</v>
      </c>
    </row>
    <row r="748">
      <c r="A748" t="n">
        <v>729</v>
      </c>
      <c r="B748" t="n">
        <v>16782.8</v>
      </c>
      <c r="C748" t="n">
        <v>38553.7</v>
      </c>
      <c r="D748" t="n">
        <v>12344.44</v>
      </c>
    </row>
    <row r="749">
      <c r="A749" t="n">
        <v>701</v>
      </c>
      <c r="B749" t="n">
        <v>18410.62</v>
      </c>
      <c r="C749" t="n">
        <v>48811.39</v>
      </c>
      <c r="D749" t="n">
        <v>15654.22</v>
      </c>
    </row>
    <row r="750">
      <c r="A750" t="n">
        <v>695</v>
      </c>
      <c r="B750" t="n">
        <v>12344.44</v>
      </c>
      <c r="C750" t="n">
        <v>35898.29</v>
      </c>
      <c r="D750" t="n">
        <v>10336.61</v>
      </c>
    </row>
    <row r="751">
      <c r="A751" t="n">
        <v>670</v>
      </c>
      <c r="B751" t="n">
        <v>13551.22</v>
      </c>
      <c r="C751" t="n">
        <v>11041.94</v>
      </c>
      <c r="D751" t="n">
        <v>16578.2</v>
      </c>
    </row>
    <row r="752">
      <c r="A752" t="n">
        <v>740</v>
      </c>
      <c r="B752" t="n">
        <v>10165.95</v>
      </c>
      <c r="C752" t="n">
        <v>13175.14</v>
      </c>
      <c r="D752" t="n">
        <v>12515.42</v>
      </c>
    </row>
    <row r="753">
      <c r="A753" t="n">
        <v>738</v>
      </c>
      <c r="B753" t="n">
        <v>15901.44</v>
      </c>
      <c r="C753" t="n">
        <v>22346.48</v>
      </c>
      <c r="D753" t="n">
        <v>19821.27</v>
      </c>
    </row>
    <row r="754">
      <c r="A754" t="n">
        <v>605</v>
      </c>
      <c r="B754" t="n">
        <v>19821.27</v>
      </c>
      <c r="C754" t="n">
        <v>36151.47</v>
      </c>
      <c r="D754" t="n">
        <v>14177.1</v>
      </c>
    </row>
    <row r="755">
      <c r="A755" t="n">
        <v>685</v>
      </c>
      <c r="B755" t="n">
        <v>9199.299999999999</v>
      </c>
      <c r="C755" t="n">
        <v>8775.07</v>
      </c>
      <c r="D755" t="n">
        <v>16357.98</v>
      </c>
    </row>
    <row r="756">
      <c r="A756" t="n">
        <v>735</v>
      </c>
      <c r="B756" t="n">
        <v>4658.07</v>
      </c>
      <c r="C756" t="n">
        <v>48457.84</v>
      </c>
      <c r="D756" t="n">
        <v>15333.81</v>
      </c>
    </row>
    <row r="757">
      <c r="A757" t="n">
        <v>721</v>
      </c>
      <c r="B757" t="n">
        <v>5895.1</v>
      </c>
      <c r="C757" t="n">
        <v>47976.29</v>
      </c>
      <c r="D757" t="n">
        <v>6098.09</v>
      </c>
    </row>
    <row r="758">
      <c r="A758" t="n">
        <v>692</v>
      </c>
      <c r="B758" t="n">
        <v>0</v>
      </c>
      <c r="C758" t="n">
        <v>48893.79</v>
      </c>
      <c r="D758" t="n">
        <v>11272.86</v>
      </c>
    </row>
    <row r="759">
      <c r="A759" t="n">
        <v>747</v>
      </c>
      <c r="B759" t="n">
        <v>5984.41</v>
      </c>
      <c r="C759" t="n">
        <v>36051.41</v>
      </c>
      <c r="D759" t="n">
        <v>3305.86</v>
      </c>
    </row>
    <row r="760">
      <c r="A760" t="n">
        <v>651</v>
      </c>
      <c r="B760" t="n">
        <v>22295.19</v>
      </c>
      <c r="C760" t="n">
        <v>42668.98</v>
      </c>
      <c r="D760" t="n">
        <v>4434.38</v>
      </c>
    </row>
    <row r="761">
      <c r="A761" t="n">
        <v>697</v>
      </c>
      <c r="B761" t="n">
        <v>5632.73</v>
      </c>
      <c r="C761" t="n">
        <v>45043.51</v>
      </c>
      <c r="D761" t="n">
        <v>15586.35</v>
      </c>
    </row>
    <row r="762">
      <c r="A762" t="n">
        <v>698</v>
      </c>
      <c r="B762" t="n">
        <v>17855.82</v>
      </c>
      <c r="C762" t="n">
        <v>21175.76</v>
      </c>
      <c r="D762" t="n">
        <v>20643.9</v>
      </c>
    </row>
    <row r="763">
      <c r="A763" t="n">
        <v>757</v>
      </c>
      <c r="B763" t="n">
        <v>13767.73</v>
      </c>
      <c r="C763" t="n">
        <v>13042.43</v>
      </c>
      <c r="D763" t="n">
        <v>4763.46</v>
      </c>
    </row>
    <row r="764">
      <c r="A764" t="n">
        <v>755</v>
      </c>
      <c r="B764" t="n">
        <v>9636.26</v>
      </c>
      <c r="C764" t="n">
        <v>38936</v>
      </c>
      <c r="D764" t="n">
        <v>15675.84</v>
      </c>
    </row>
    <row r="765">
      <c r="A765" t="n">
        <v>737</v>
      </c>
      <c r="B765" t="n">
        <v>16313.82</v>
      </c>
      <c r="C765" t="n">
        <v>52678.04</v>
      </c>
      <c r="D765" t="n">
        <v>14492.91</v>
      </c>
    </row>
    <row r="766">
      <c r="A766" t="n">
        <v>651</v>
      </c>
      <c r="B766" t="n">
        <v>10598.01</v>
      </c>
      <c r="C766" t="n">
        <v>7350.32</v>
      </c>
      <c r="D766" t="n">
        <v>10591.68</v>
      </c>
    </row>
    <row r="767">
      <c r="A767" t="n">
        <v>794</v>
      </c>
      <c r="B767" t="n">
        <v>8759.66</v>
      </c>
      <c r="C767" t="n">
        <v>32094.51</v>
      </c>
      <c r="D767" t="n">
        <v>19118.85</v>
      </c>
    </row>
    <row r="768">
      <c r="A768" t="n">
        <v>728</v>
      </c>
      <c r="B768" t="n">
        <v>8859.48</v>
      </c>
      <c r="C768" t="n">
        <v>25590.48</v>
      </c>
      <c r="D768" t="n">
        <v>12367.27</v>
      </c>
    </row>
    <row r="769">
      <c r="A769" t="n">
        <v>691</v>
      </c>
      <c r="B769" t="n">
        <v>14806.21</v>
      </c>
      <c r="C769" t="n">
        <v>50523.41</v>
      </c>
      <c r="D769" t="n">
        <v>12704.56</v>
      </c>
    </row>
    <row r="770">
      <c r="A770" t="n">
        <v>706</v>
      </c>
      <c r="B770" t="n">
        <v>16988.26</v>
      </c>
      <c r="C770" t="n">
        <v>6415.8</v>
      </c>
      <c r="D770" t="n">
        <v>10327.24</v>
      </c>
    </row>
    <row r="771">
      <c r="A771" t="n">
        <v>787</v>
      </c>
      <c r="B771" t="n">
        <v>3965.29</v>
      </c>
      <c r="C771" t="n">
        <v>23765.11</v>
      </c>
      <c r="D771" t="n">
        <v>9372.309999999999</v>
      </c>
    </row>
    <row r="772">
      <c r="A772" t="n">
        <v>610</v>
      </c>
      <c r="B772" t="n">
        <v>15005.26</v>
      </c>
      <c r="C772" t="n">
        <v>16483.62</v>
      </c>
      <c r="D772" t="n">
        <v>16688.62</v>
      </c>
    </row>
    <row r="773">
      <c r="A773" t="n">
        <v>840</v>
      </c>
      <c r="B773" t="n">
        <v>2594.99</v>
      </c>
      <c r="C773" t="n">
        <v>35882.8</v>
      </c>
      <c r="D773" t="n">
        <v>9947.360000000001</v>
      </c>
    </row>
    <row r="774">
      <c r="A774" t="n">
        <v>741</v>
      </c>
      <c r="B774" t="n">
        <v>4615.32</v>
      </c>
      <c r="C774" t="n">
        <v>43651.33</v>
      </c>
      <c r="D774" t="n">
        <v>8045.59</v>
      </c>
    </row>
    <row r="775">
      <c r="A775" t="n">
        <v>712</v>
      </c>
      <c r="B775" t="n">
        <v>2214.47</v>
      </c>
      <c r="C775" t="n">
        <v>14415.97</v>
      </c>
      <c r="D775" t="n">
        <v>8703.530000000001</v>
      </c>
    </row>
    <row r="776">
      <c r="A776" t="n">
        <v>629</v>
      </c>
      <c r="B776" t="n">
        <v>18508.58</v>
      </c>
      <c r="C776" t="n">
        <v>46131.21</v>
      </c>
      <c r="D776" t="n">
        <v>6494.96</v>
      </c>
    </row>
    <row r="777">
      <c r="A777" t="n">
        <v>643</v>
      </c>
      <c r="B777" t="n">
        <v>9491.91</v>
      </c>
      <c r="C777" t="n">
        <v>32046.9</v>
      </c>
      <c r="D777" t="n">
        <v>7529.69</v>
      </c>
    </row>
    <row r="778">
      <c r="A778" t="n">
        <v>674</v>
      </c>
      <c r="B778" t="n">
        <v>16722.19</v>
      </c>
      <c r="C778" t="n">
        <v>34065.16</v>
      </c>
      <c r="D778" t="n">
        <v>21207.85</v>
      </c>
    </row>
    <row r="779">
      <c r="A779" t="n">
        <v>730</v>
      </c>
      <c r="B779" t="n">
        <v>11855.13</v>
      </c>
      <c r="C779" t="n">
        <v>15477.29</v>
      </c>
      <c r="D779" t="n">
        <v>9491.91</v>
      </c>
    </row>
    <row r="780">
      <c r="A780" t="n">
        <v>706</v>
      </c>
      <c r="B780" t="n">
        <v>13062.57</v>
      </c>
      <c r="C780" t="n">
        <v>38537.55</v>
      </c>
      <c r="D780" t="n">
        <v>9360.98</v>
      </c>
    </row>
    <row r="781">
      <c r="A781" t="n">
        <v>786</v>
      </c>
      <c r="B781" t="n">
        <v>0</v>
      </c>
      <c r="C781" t="n">
        <v>30102.16</v>
      </c>
      <c r="D781" t="n">
        <v>12641.23</v>
      </c>
    </row>
    <row r="782">
      <c r="A782" t="n">
        <v>693</v>
      </c>
      <c r="B782" t="n">
        <v>16065.94</v>
      </c>
      <c r="C782" t="n">
        <v>32285.25</v>
      </c>
      <c r="D782" t="n">
        <v>6718.81</v>
      </c>
    </row>
    <row r="783">
      <c r="A783" t="n">
        <v>606</v>
      </c>
      <c r="B783" t="n">
        <v>19785.93</v>
      </c>
      <c r="C783" t="n">
        <v>46141.53</v>
      </c>
      <c r="D783" t="n">
        <v>6554.47</v>
      </c>
    </row>
    <row r="784">
      <c r="A784" t="n">
        <v>615</v>
      </c>
      <c r="B784" t="n">
        <v>9883.940000000001</v>
      </c>
      <c r="C784" t="n">
        <v>16985</v>
      </c>
      <c r="D784" t="n">
        <v>7754.52</v>
      </c>
    </row>
    <row r="785">
      <c r="A785" t="n">
        <v>708</v>
      </c>
      <c r="B785" t="n">
        <v>9871.9</v>
      </c>
      <c r="C785" t="n">
        <v>49399.3</v>
      </c>
      <c r="D785" t="n">
        <v>16512.5</v>
      </c>
    </row>
    <row r="786">
      <c r="A786" t="n">
        <v>759</v>
      </c>
      <c r="B786" t="n">
        <v>4435.4</v>
      </c>
      <c r="C786" t="n">
        <v>19389.18</v>
      </c>
      <c r="D786" t="n">
        <v>12230.95</v>
      </c>
    </row>
    <row r="787">
      <c r="A787" t="n">
        <v>711</v>
      </c>
      <c r="B787" t="n">
        <v>8377.48</v>
      </c>
      <c r="C787" t="n">
        <v>21636.86</v>
      </c>
      <c r="D787" t="n">
        <v>5055.76</v>
      </c>
    </row>
    <row r="788">
      <c r="A788" t="n">
        <v>695</v>
      </c>
      <c r="B788" t="n">
        <v>5683.99</v>
      </c>
      <c r="C788" t="n">
        <v>30854.9</v>
      </c>
      <c r="D788" t="n">
        <v>0</v>
      </c>
    </row>
    <row r="789">
      <c r="A789" t="n">
        <v>801</v>
      </c>
      <c r="B789" t="n">
        <v>5327.61</v>
      </c>
      <c r="C789" t="n">
        <v>43842.96</v>
      </c>
      <c r="D789" t="n">
        <v>5847.74</v>
      </c>
    </row>
    <row r="790">
      <c r="A790" t="n">
        <v>726</v>
      </c>
      <c r="B790" t="n">
        <v>11303.24</v>
      </c>
      <c r="C790" t="n">
        <v>6045.45</v>
      </c>
      <c r="D790" t="n">
        <v>16065.94</v>
      </c>
    </row>
    <row r="791">
      <c r="A791" t="n">
        <v>595</v>
      </c>
      <c r="B791" t="n">
        <v>21145.89</v>
      </c>
      <c r="C791" t="n">
        <v>24130.29</v>
      </c>
      <c r="D791" t="n">
        <v>8483.42</v>
      </c>
    </row>
    <row r="792">
      <c r="A792" t="n">
        <v>654</v>
      </c>
      <c r="B792" t="n">
        <v>18700.45</v>
      </c>
      <c r="C792" t="n">
        <v>51468.02</v>
      </c>
      <c r="D792" t="n">
        <v>11121.55</v>
      </c>
    </row>
    <row r="793">
      <c r="A793" t="n">
        <v>724</v>
      </c>
      <c r="B793" t="n">
        <v>17252.35</v>
      </c>
      <c r="C793" t="n">
        <v>9575.83</v>
      </c>
      <c r="D793" t="n">
        <v>9649.280000000001</v>
      </c>
    </row>
    <row r="794">
      <c r="A794" t="n">
        <v>802</v>
      </c>
      <c r="B794" t="n">
        <v>2678.39</v>
      </c>
      <c r="C794" t="n">
        <v>57131.91</v>
      </c>
      <c r="D794" t="n">
        <v>10902.88</v>
      </c>
    </row>
    <row r="795">
      <c r="A795" t="n">
        <v>573</v>
      </c>
      <c r="B795" t="n">
        <v>17288.02</v>
      </c>
      <c r="C795" t="n">
        <v>8126.28</v>
      </c>
      <c r="D795" t="n">
        <v>1459.45</v>
      </c>
    </row>
    <row r="796">
      <c r="A796" t="n">
        <v>685</v>
      </c>
      <c r="B796" t="n">
        <v>20290.2</v>
      </c>
      <c r="C796" t="n">
        <v>37149.24</v>
      </c>
      <c r="D796" t="n">
        <v>11303.24</v>
      </c>
    </row>
    <row r="797">
      <c r="A797" t="n">
        <v>637</v>
      </c>
      <c r="B797" t="n">
        <v>20537.92</v>
      </c>
      <c r="C797" t="n">
        <v>24561.27</v>
      </c>
      <c r="D797" t="n">
        <v>28817.08</v>
      </c>
    </row>
    <row r="798">
      <c r="A798" t="n">
        <v>594</v>
      </c>
      <c r="B798" t="n">
        <v>19354.54</v>
      </c>
      <c r="C798" t="n">
        <v>42392.22</v>
      </c>
      <c r="D798" t="n">
        <v>11192.61</v>
      </c>
    </row>
    <row r="799">
      <c r="A799" t="n">
        <v>698</v>
      </c>
      <c r="B799" t="n">
        <v>12483.21</v>
      </c>
      <c r="C799" t="n">
        <v>44734.41</v>
      </c>
      <c r="D799" t="n">
        <v>20537.92</v>
      </c>
    </row>
    <row r="800">
      <c r="A800" t="n">
        <v>681</v>
      </c>
      <c r="B800" t="n">
        <v>12270.78</v>
      </c>
      <c r="C800" t="n">
        <v>56788.26</v>
      </c>
      <c r="D800" t="n">
        <v>14082.56</v>
      </c>
    </row>
    <row r="801">
      <c r="A801" t="n">
        <v>738</v>
      </c>
      <c r="B801" t="n">
        <v>19627.64</v>
      </c>
      <c r="C801" t="n">
        <v>59756.74</v>
      </c>
      <c r="D801" t="n">
        <v>5943.99</v>
      </c>
    </row>
    <row r="802">
      <c r="A802" t="n">
        <v>710</v>
      </c>
      <c r="B802" t="n">
        <v>9919.57</v>
      </c>
      <c r="C802" t="n">
        <v>28055.98</v>
      </c>
      <c r="D802" t="n">
        <v>8443.76</v>
      </c>
    </row>
    <row r="803">
      <c r="A803" t="n">
        <v>607</v>
      </c>
      <c r="B803" t="n">
        <v>23519.37</v>
      </c>
      <c r="C803" t="n">
        <v>22502.63</v>
      </c>
      <c r="D803" t="n">
        <v>12270.78</v>
      </c>
    </row>
    <row r="804">
      <c r="A804" t="n">
        <v>721</v>
      </c>
      <c r="B804" t="n">
        <v>11561.31</v>
      </c>
      <c r="C804" t="n">
        <v>43766.92</v>
      </c>
      <c r="D804" t="n">
        <v>6027.11</v>
      </c>
    </row>
    <row r="805">
      <c r="A805" t="n">
        <v>687</v>
      </c>
      <c r="B805" t="n">
        <v>17994.23</v>
      </c>
      <c r="C805" t="n">
        <v>46401.27</v>
      </c>
      <c r="D805" t="n">
        <v>8667.75</v>
      </c>
    </row>
    <row r="806">
      <c r="A806" t="n">
        <v>761</v>
      </c>
      <c r="B806" t="n">
        <v>5649.64</v>
      </c>
      <c r="C806" t="n">
        <v>52175.95</v>
      </c>
      <c r="D806" t="n">
        <v>17994.23</v>
      </c>
    </row>
    <row r="807">
      <c r="A807" t="n">
        <v>690</v>
      </c>
      <c r="B807" t="n">
        <v>5660.69</v>
      </c>
      <c r="C807" t="n">
        <v>24450.19</v>
      </c>
      <c r="D807" t="n">
        <v>9819.809999999999</v>
      </c>
    </row>
    <row r="808">
      <c r="A808" t="n">
        <v>747</v>
      </c>
      <c r="B808" t="n">
        <v>10753.9</v>
      </c>
      <c r="C808" t="n">
        <v>10198.04</v>
      </c>
      <c r="D808" t="n">
        <v>13202.1</v>
      </c>
    </row>
    <row r="809">
      <c r="A809" t="n">
        <v>636</v>
      </c>
      <c r="B809" t="n">
        <v>10391.99</v>
      </c>
      <c r="C809" t="n">
        <v>54760.63</v>
      </c>
      <c r="D809" t="n">
        <v>10514.71</v>
      </c>
    </row>
    <row r="810">
      <c r="A810" t="n">
        <v>646</v>
      </c>
      <c r="B810" t="n">
        <v>16825.74</v>
      </c>
      <c r="C810" t="n">
        <v>58736.29</v>
      </c>
      <c r="D810" t="n">
        <v>2991.63</v>
      </c>
    </row>
    <row r="811">
      <c r="A811" t="n">
        <v>747</v>
      </c>
      <c r="B811" t="n">
        <v>8030.38</v>
      </c>
      <c r="C811" t="n">
        <v>7333.93</v>
      </c>
      <c r="D811" t="n">
        <v>10391.99</v>
      </c>
    </row>
    <row r="812">
      <c r="A812" t="n">
        <v>621</v>
      </c>
      <c r="B812" t="n">
        <v>14236.15</v>
      </c>
      <c r="C812" t="n">
        <v>37339.18</v>
      </c>
      <c r="D812" t="n">
        <v>24861.14</v>
      </c>
    </row>
    <row r="813">
      <c r="A813" t="n">
        <v>714</v>
      </c>
      <c r="B813" t="n">
        <v>11358.35</v>
      </c>
      <c r="C813" t="n">
        <v>37247.46</v>
      </c>
      <c r="D813" t="n">
        <v>7454.97</v>
      </c>
    </row>
    <row r="814">
      <c r="A814" t="n">
        <v>714</v>
      </c>
      <c r="B814" t="n">
        <v>11019.65</v>
      </c>
      <c r="C814" t="n">
        <v>37827.28</v>
      </c>
      <c r="D814" t="n">
        <v>6365.89</v>
      </c>
    </row>
    <row r="815">
      <c r="A815" t="n">
        <v>669</v>
      </c>
      <c r="B815" t="n">
        <v>3629.44</v>
      </c>
      <c r="C815" t="n">
        <v>34245.68</v>
      </c>
      <c r="D815" t="n">
        <v>8567.809999999999</v>
      </c>
    </row>
    <row r="816">
      <c r="A816" t="n">
        <v>733</v>
      </c>
      <c r="B816" t="n">
        <v>13983.53</v>
      </c>
      <c r="C816" t="n">
        <v>58212.85</v>
      </c>
      <c r="D816" t="n">
        <v>3629.44</v>
      </c>
    </row>
    <row r="817">
      <c r="A817" t="n">
        <v>718</v>
      </c>
      <c r="B817" t="n">
        <v>6291.74</v>
      </c>
      <c r="C817" t="n">
        <v>11544.3</v>
      </c>
      <c r="D817" t="n">
        <v>10286.98</v>
      </c>
    </row>
    <row r="818">
      <c r="A818" t="n">
        <v>745</v>
      </c>
      <c r="B818" t="n">
        <v>11714.09</v>
      </c>
      <c r="C818" t="n">
        <v>44777.35</v>
      </c>
      <c r="D818" t="n">
        <v>11714.09</v>
      </c>
    </row>
    <row r="819">
      <c r="A819" t="n">
        <v>675</v>
      </c>
      <c r="B819" t="n">
        <v>11906.02</v>
      </c>
      <c r="C819" t="n">
        <v>40014.1</v>
      </c>
      <c r="D819" t="n">
        <v>7342.51</v>
      </c>
    </row>
    <row r="820">
      <c r="A820" t="n">
        <v>614</v>
      </c>
      <c r="B820" t="n">
        <v>21224.62</v>
      </c>
      <c r="C820" t="n">
        <v>30843.21</v>
      </c>
      <c r="D820" t="n">
        <v>12513.32</v>
      </c>
    </row>
    <row r="821">
      <c r="A821" t="n">
        <v>728</v>
      </c>
      <c r="B821" t="n">
        <v>17312.69</v>
      </c>
      <c r="C821" t="n">
        <v>35013.7</v>
      </c>
      <c r="D821" t="n">
        <v>16043.86</v>
      </c>
    </row>
    <row r="822">
      <c r="A822" t="n">
        <v>725</v>
      </c>
      <c r="B822" t="n">
        <v>15685.25</v>
      </c>
      <c r="C822" t="n">
        <v>38881.65</v>
      </c>
      <c r="D822" t="n">
        <v>15685.25</v>
      </c>
    </row>
    <row r="823">
      <c r="A823" t="n">
        <v>603</v>
      </c>
      <c r="B823" t="n">
        <v>22355.29</v>
      </c>
      <c r="C823" t="n">
        <v>53624.23</v>
      </c>
      <c r="D823" t="n">
        <v>3155.83</v>
      </c>
    </row>
    <row r="824">
      <c r="A824" t="n">
        <v>762</v>
      </c>
      <c r="B824" t="n">
        <v>9621.049999999999</v>
      </c>
      <c r="C824" t="n">
        <v>30744.48</v>
      </c>
      <c r="D824" t="n">
        <v>16682.76</v>
      </c>
    </row>
    <row r="825">
      <c r="A825" t="n">
        <v>695</v>
      </c>
      <c r="B825" t="n">
        <v>15551.59</v>
      </c>
      <c r="C825" t="n">
        <v>51078.49</v>
      </c>
      <c r="D825" t="n">
        <v>7733</v>
      </c>
    </row>
    <row r="826">
      <c r="A826" t="n">
        <v>692</v>
      </c>
      <c r="B826" t="n">
        <v>6566.1</v>
      </c>
      <c r="C826" t="n">
        <v>42406.56</v>
      </c>
      <c r="D826" t="n">
        <v>10089.84</v>
      </c>
    </row>
    <row r="827">
      <c r="A827" t="n">
        <v>729</v>
      </c>
      <c r="B827" t="n">
        <v>7733</v>
      </c>
      <c r="C827" t="n">
        <v>27434.88</v>
      </c>
      <c r="D827" t="n">
        <v>14048.52</v>
      </c>
    </row>
    <row r="828">
      <c r="A828" t="n">
        <v>653</v>
      </c>
      <c r="B828" t="n">
        <v>2256.07</v>
      </c>
      <c r="C828" t="n">
        <v>54392.62</v>
      </c>
      <c r="D828" t="n">
        <v>6568.26</v>
      </c>
    </row>
    <row r="829">
      <c r="A829" t="n">
        <v>608</v>
      </c>
      <c r="B829" t="n">
        <v>25555.11</v>
      </c>
      <c r="C829" t="n">
        <v>42529.58</v>
      </c>
      <c r="D829" t="n">
        <v>6917.21</v>
      </c>
    </row>
    <row r="830">
      <c r="A830" t="n">
        <v>657</v>
      </c>
      <c r="B830" t="n">
        <v>20577.12</v>
      </c>
      <c r="C830" t="n">
        <v>8459</v>
      </c>
      <c r="D830" t="n">
        <v>13496.95</v>
      </c>
    </row>
    <row r="831">
      <c r="A831" t="n">
        <v>587</v>
      </c>
      <c r="B831" t="n">
        <v>23855.91</v>
      </c>
      <c r="C831" t="n">
        <v>15668.28</v>
      </c>
      <c r="D831" t="n">
        <v>12682.69</v>
      </c>
    </row>
    <row r="832">
      <c r="A832" t="n">
        <v>687</v>
      </c>
      <c r="B832" t="n">
        <v>5212.93</v>
      </c>
      <c r="C832" t="n">
        <v>14563.48</v>
      </c>
      <c r="D832" t="n">
        <v>2375.82</v>
      </c>
    </row>
    <row r="833">
      <c r="A833" t="n">
        <v>750</v>
      </c>
      <c r="B833" t="n">
        <v>4929.71</v>
      </c>
      <c r="C833" t="n">
        <v>29210.08</v>
      </c>
      <c r="D833" t="n">
        <v>37759.06</v>
      </c>
    </row>
    <row r="834">
      <c r="A834" t="n">
        <v>559</v>
      </c>
      <c r="B834" t="n">
        <v>37759.06</v>
      </c>
      <c r="C834" t="n">
        <v>17774.35</v>
      </c>
      <c r="D834" t="n">
        <v>16987.18</v>
      </c>
    </row>
    <row r="835">
      <c r="A835" t="n">
        <v>794</v>
      </c>
      <c r="B835" t="n">
        <v>7639.41</v>
      </c>
      <c r="C835" t="n">
        <v>13420.31</v>
      </c>
      <c r="D835" t="n">
        <v>7639.41</v>
      </c>
    </row>
    <row r="836">
      <c r="A836" t="n">
        <v>878</v>
      </c>
      <c r="B836" t="n">
        <v>1647.5</v>
      </c>
      <c r="C836" t="n">
        <v>14629.67</v>
      </c>
      <c r="D836" t="n">
        <v>11877.38</v>
      </c>
    </row>
    <row r="837">
      <c r="A837" t="n">
        <v>680</v>
      </c>
      <c r="B837" t="n">
        <v>10668.7</v>
      </c>
      <c r="C837" t="n">
        <v>18360.74</v>
      </c>
      <c r="D837" t="n">
        <v>10409.73</v>
      </c>
    </row>
    <row r="838">
      <c r="A838" t="n">
        <v>657</v>
      </c>
      <c r="B838" t="n">
        <v>15198.36</v>
      </c>
      <c r="C838" t="n">
        <v>37434.69</v>
      </c>
      <c r="D838" t="n">
        <v>9888.6</v>
      </c>
    </row>
    <row r="839">
      <c r="A839" t="n">
        <v>671</v>
      </c>
      <c r="B839" t="n">
        <v>13571.63</v>
      </c>
      <c r="C839" t="n">
        <v>22260.16</v>
      </c>
      <c r="D839" t="n">
        <v>23440.65</v>
      </c>
    </row>
    <row r="840">
      <c r="A840" t="n">
        <v>649</v>
      </c>
      <c r="B840" t="n">
        <v>19812.11</v>
      </c>
      <c r="C840" t="n">
        <v>5657.43</v>
      </c>
      <c r="D840" t="n">
        <v>15198.36</v>
      </c>
    </row>
    <row r="841">
      <c r="A841" t="n">
        <v>715</v>
      </c>
      <c r="B841" t="n">
        <v>7636</v>
      </c>
      <c r="C841" t="n">
        <v>44600.83</v>
      </c>
      <c r="D841" t="n">
        <v>13571.63</v>
      </c>
    </row>
    <row r="842">
      <c r="A842" t="n">
        <v>659</v>
      </c>
      <c r="B842" t="n">
        <v>17137.76</v>
      </c>
      <c r="C842" t="n">
        <v>8403.469999999999</v>
      </c>
      <c r="D842" t="n">
        <v>9157.17</v>
      </c>
    </row>
    <row r="843">
      <c r="A843" t="n">
        <v>793</v>
      </c>
      <c r="B843" t="n">
        <v>6922.3</v>
      </c>
      <c r="C843" t="n">
        <v>38974.02</v>
      </c>
      <c r="D843" t="n">
        <v>16278.14</v>
      </c>
    </row>
    <row r="844">
      <c r="A844" t="n">
        <v>667</v>
      </c>
      <c r="B844" t="n">
        <v>13510.57</v>
      </c>
      <c r="C844" t="n">
        <v>58474.39</v>
      </c>
      <c r="D844" t="n">
        <v>0</v>
      </c>
    </row>
    <row r="845">
      <c r="A845" t="n">
        <v>696</v>
      </c>
      <c r="B845" t="n">
        <v>15608.8</v>
      </c>
      <c r="C845" t="n">
        <v>19241.29</v>
      </c>
      <c r="D845" t="n">
        <v>5519.86</v>
      </c>
    </row>
    <row r="846">
      <c r="A846" t="n">
        <v>711</v>
      </c>
      <c r="B846" t="n">
        <v>8599.58</v>
      </c>
      <c r="C846" t="n">
        <v>47272.66</v>
      </c>
      <c r="D846" t="n">
        <v>17777.67</v>
      </c>
    </row>
    <row r="847">
      <c r="A847" t="n">
        <v>702</v>
      </c>
      <c r="B847" t="n">
        <v>10419.43</v>
      </c>
      <c r="C847" t="n">
        <v>32380.91</v>
      </c>
      <c r="D847" t="n">
        <v>14775.64</v>
      </c>
    </row>
    <row r="848">
      <c r="A848" t="n">
        <v>608</v>
      </c>
      <c r="B848" t="n">
        <v>22635.08</v>
      </c>
      <c r="C848" t="n">
        <v>12642.43</v>
      </c>
      <c r="D848" t="n">
        <v>17330.54</v>
      </c>
    </row>
    <row r="849">
      <c r="A849" t="n">
        <v>724</v>
      </c>
      <c r="B849" t="n">
        <v>6564.51</v>
      </c>
      <c r="C849" t="n">
        <v>7783.41</v>
      </c>
      <c r="D849" t="n">
        <v>5713.87</v>
      </c>
    </row>
    <row r="850">
      <c r="A850" t="n">
        <v>783</v>
      </c>
      <c r="B850" t="n">
        <v>13875.58</v>
      </c>
      <c r="C850" t="n">
        <v>24761.97</v>
      </c>
      <c r="D850" t="n">
        <v>23445.57</v>
      </c>
    </row>
    <row r="851">
      <c r="A851" t="n">
        <v>628</v>
      </c>
      <c r="B851" t="n">
        <v>25871.15</v>
      </c>
      <c r="C851" t="n">
        <v>21447.02</v>
      </c>
      <c r="D851" t="n">
        <v>15608.8</v>
      </c>
    </row>
    <row r="852">
      <c r="A852" t="n">
        <v>770</v>
      </c>
      <c r="B852" t="n">
        <v>11077.81</v>
      </c>
      <c r="C852" t="n">
        <v>34866.14</v>
      </c>
      <c r="D852" t="n">
        <v>4236.46</v>
      </c>
    </row>
    <row r="853">
      <c r="A853" t="n">
        <v>686</v>
      </c>
      <c r="B853" t="n">
        <v>19995.59</v>
      </c>
      <c r="C853" t="n">
        <v>51182.16</v>
      </c>
      <c r="D853" t="n">
        <v>8599.58</v>
      </c>
    </row>
    <row r="854">
      <c r="A854" t="n">
        <v>775</v>
      </c>
      <c r="B854" t="n">
        <v>3122.3</v>
      </c>
      <c r="C854" t="n">
        <v>21845.42</v>
      </c>
      <c r="D854" t="n">
        <v>10419.43</v>
      </c>
    </row>
    <row r="855">
      <c r="A855" t="n">
        <v>801</v>
      </c>
      <c r="B855" t="n">
        <v>2757.93</v>
      </c>
      <c r="C855" t="n">
        <v>13657.46</v>
      </c>
      <c r="D855" t="n">
        <v>21737.26</v>
      </c>
    </row>
    <row r="856">
      <c r="A856" t="n">
        <v>705</v>
      </c>
      <c r="B856" t="n">
        <v>8653.969999999999</v>
      </c>
      <c r="C856" t="n">
        <v>42160.05</v>
      </c>
      <c r="D856" t="n">
        <v>13328.3</v>
      </c>
    </row>
    <row r="857">
      <c r="A857" t="n">
        <v>677</v>
      </c>
      <c r="B857" t="n">
        <v>10700.98</v>
      </c>
      <c r="C857" t="n">
        <v>25816.62</v>
      </c>
      <c r="D857" t="n">
        <v>8494.34</v>
      </c>
    </row>
    <row r="858">
      <c r="A858" t="n">
        <v>663</v>
      </c>
      <c r="B858" t="n">
        <v>16561.11</v>
      </c>
      <c r="C858" t="n">
        <v>58229.15</v>
      </c>
      <c r="D858" t="n">
        <v>11077.81</v>
      </c>
    </row>
    <row r="859">
      <c r="A859" t="n">
        <v>589</v>
      </c>
      <c r="B859" t="n">
        <v>6568.86</v>
      </c>
      <c r="C859" t="n">
        <v>30494.48</v>
      </c>
      <c r="D859" t="n">
        <v>15690.66</v>
      </c>
    </row>
    <row r="860">
      <c r="A860" t="n">
        <v>738</v>
      </c>
      <c r="B860" t="n">
        <v>7198.07</v>
      </c>
      <c r="C860" t="n">
        <v>31128.78</v>
      </c>
      <c r="D860" t="n">
        <v>19995.59</v>
      </c>
    </row>
    <row r="861">
      <c r="A861" t="n">
        <v>784</v>
      </c>
      <c r="B861" t="n">
        <v>9632.040000000001</v>
      </c>
      <c r="C861" t="n">
        <v>47051.22</v>
      </c>
      <c r="D861" t="n">
        <v>2757.93</v>
      </c>
    </row>
    <row r="862">
      <c r="A862" t="n">
        <v>653</v>
      </c>
      <c r="B862" t="n">
        <v>26378.61</v>
      </c>
      <c r="C862" t="n">
        <v>30663.27</v>
      </c>
      <c r="D862" t="n">
        <v>10653.53</v>
      </c>
    </row>
    <row r="863">
      <c r="A863" t="n">
        <v>703</v>
      </c>
      <c r="B863" t="n">
        <v>12534.67</v>
      </c>
      <c r="C863" t="n">
        <v>29086.18</v>
      </c>
      <c r="D863" t="n">
        <v>10700.98</v>
      </c>
    </row>
    <row r="864">
      <c r="A864" t="n">
        <v>703</v>
      </c>
      <c r="B864" t="n">
        <v>10627.51</v>
      </c>
      <c r="C864" t="n">
        <v>30550.99</v>
      </c>
      <c r="D864" t="n">
        <v>37208.06</v>
      </c>
    </row>
    <row r="865">
      <c r="A865" t="n">
        <v>673</v>
      </c>
      <c r="B865" t="n">
        <v>21988.42</v>
      </c>
      <c r="C865" t="n">
        <v>36592.38</v>
      </c>
      <c r="D865" t="n">
        <v>9204.51</v>
      </c>
    </row>
    <row r="866">
      <c r="A866" t="n">
        <v>674</v>
      </c>
      <c r="B866" t="n">
        <v>9784.549999999999</v>
      </c>
      <c r="C866" t="n">
        <v>5881.59</v>
      </c>
      <c r="D866" t="n">
        <v>16561.11</v>
      </c>
    </row>
    <row r="867">
      <c r="A867" t="n">
        <v>675</v>
      </c>
      <c r="B867" t="n">
        <v>12217.89</v>
      </c>
      <c r="C867" t="n">
        <v>11195.66</v>
      </c>
      <c r="D867" t="n">
        <v>13867.32</v>
      </c>
    </row>
    <row r="868">
      <c r="A868" t="n">
        <v>792</v>
      </c>
      <c r="B868" t="n">
        <v>10416.45</v>
      </c>
      <c r="C868" t="n">
        <v>58017.81</v>
      </c>
      <c r="D868" t="n">
        <v>9632.040000000001</v>
      </c>
    </row>
    <row r="869">
      <c r="A869" t="n">
        <v>674</v>
      </c>
      <c r="B869" t="n">
        <v>11376.75</v>
      </c>
      <c r="C869" t="n">
        <v>15476.05</v>
      </c>
      <c r="D869" t="n">
        <v>9134.190000000001</v>
      </c>
    </row>
    <row r="870">
      <c r="A870" t="n">
        <v>654</v>
      </c>
      <c r="B870" t="n">
        <v>9673.5</v>
      </c>
      <c r="C870" t="n">
        <v>54379.04</v>
      </c>
      <c r="D870" t="n">
        <v>18181.3</v>
      </c>
    </row>
    <row r="871">
      <c r="A871" t="n">
        <v>709</v>
      </c>
      <c r="B871" t="n">
        <v>9729.860000000001</v>
      </c>
      <c r="C871" t="n">
        <v>46343.65</v>
      </c>
      <c r="D871" t="n">
        <v>10416.45</v>
      </c>
    </row>
    <row r="872">
      <c r="A872" t="n">
        <v>800</v>
      </c>
      <c r="B872" t="n">
        <v>7775.13</v>
      </c>
      <c r="C872" t="n">
        <v>21366.59</v>
      </c>
      <c r="D872" t="n">
        <v>6497.19</v>
      </c>
    </row>
    <row r="873">
      <c r="A873" t="n">
        <v>631</v>
      </c>
      <c r="B873" t="n">
        <v>18026.63</v>
      </c>
      <c r="C873" t="n">
        <v>23171.91</v>
      </c>
      <c r="D873" t="n">
        <v>9729.860000000001</v>
      </c>
    </row>
    <row r="874">
      <c r="A874" t="n">
        <v>654</v>
      </c>
      <c r="B874" t="n">
        <v>12762.14</v>
      </c>
      <c r="C874" t="n">
        <v>14327.6</v>
      </c>
      <c r="D874" t="n">
        <v>20086.12</v>
      </c>
    </row>
    <row r="875">
      <c r="A875" t="n">
        <v>710</v>
      </c>
      <c r="B875" t="n">
        <v>11030.55</v>
      </c>
      <c r="C875" t="n">
        <v>51799.61</v>
      </c>
      <c r="D875" t="n">
        <v>9717.459999999999</v>
      </c>
    </row>
    <row r="876">
      <c r="A876" t="n">
        <v>771</v>
      </c>
      <c r="B876" t="n">
        <v>5897</v>
      </c>
      <c r="C876" t="n">
        <v>25201.86</v>
      </c>
      <c r="D876" t="n">
        <v>14344.98</v>
      </c>
    </row>
    <row r="877">
      <c r="A877" t="n">
        <v>608</v>
      </c>
      <c r="B877" t="n">
        <v>19560.31</v>
      </c>
      <c r="C877" t="n">
        <v>44970.09</v>
      </c>
      <c r="D877" t="n">
        <v>18026.63</v>
      </c>
    </row>
    <row r="878">
      <c r="A878" t="n">
        <v>717</v>
      </c>
      <c r="B878" t="n">
        <v>5361.97</v>
      </c>
      <c r="C878" t="n">
        <v>16058.17</v>
      </c>
      <c r="D878" t="n">
        <v>11030.55</v>
      </c>
    </row>
    <row r="879">
      <c r="A879" t="n">
        <v>822</v>
      </c>
      <c r="B879" t="n">
        <v>3831.27</v>
      </c>
      <c r="C879" t="n">
        <v>27383.67</v>
      </c>
      <c r="D879" t="n">
        <v>8406.43</v>
      </c>
    </row>
    <row r="880">
      <c r="A880" t="n">
        <v>708</v>
      </c>
      <c r="B880" t="n">
        <v>7676.36</v>
      </c>
      <c r="C880" t="n">
        <v>21761.1</v>
      </c>
      <c r="D880" t="n">
        <v>26468.17</v>
      </c>
    </row>
    <row r="881">
      <c r="A881" t="n">
        <v>738</v>
      </c>
      <c r="B881" t="n">
        <v>5454.76</v>
      </c>
      <c r="C881" t="n">
        <v>55289.19</v>
      </c>
      <c r="D881" t="n">
        <v>5111.27</v>
      </c>
    </row>
    <row r="882">
      <c r="A882" t="n">
        <v>672</v>
      </c>
      <c r="B882" t="n">
        <v>12537.5</v>
      </c>
      <c r="C882" t="n">
        <v>28379.78</v>
      </c>
      <c r="D882" t="n">
        <v>10244.86</v>
      </c>
    </row>
    <row r="883">
      <c r="A883" t="n">
        <v>762</v>
      </c>
      <c r="B883" t="n">
        <v>5111.27</v>
      </c>
      <c r="C883" t="n">
        <v>15035.75</v>
      </c>
      <c r="D883" t="n">
        <v>9988.200000000001</v>
      </c>
    </row>
    <row r="884">
      <c r="A884" t="n">
        <v>679</v>
      </c>
      <c r="B884" t="n">
        <v>10244.86</v>
      </c>
      <c r="C884" t="n">
        <v>41021.89</v>
      </c>
      <c r="D884" t="n">
        <v>10069.72</v>
      </c>
    </row>
    <row r="885">
      <c r="A885" t="n">
        <v>701</v>
      </c>
      <c r="B885" t="n">
        <v>22272.55</v>
      </c>
      <c r="C885" t="n">
        <v>27868.94</v>
      </c>
      <c r="D885" t="n">
        <v>21094.81</v>
      </c>
    </row>
    <row r="886">
      <c r="A886" t="n">
        <v>702</v>
      </c>
      <c r="B886" t="n">
        <v>8630</v>
      </c>
      <c r="C886" t="n">
        <v>16242.15</v>
      </c>
      <c r="D886" t="n">
        <v>22824.17</v>
      </c>
    </row>
    <row r="887">
      <c r="A887" t="n">
        <v>715</v>
      </c>
      <c r="B887" t="n">
        <v>10069.72</v>
      </c>
      <c r="C887" t="n">
        <v>42017.86</v>
      </c>
      <c r="D887" t="n">
        <v>5079.21</v>
      </c>
    </row>
    <row r="888">
      <c r="A888" t="n">
        <v>642</v>
      </c>
      <c r="B888" t="n">
        <v>9177.08</v>
      </c>
      <c r="C888" t="n">
        <v>51457.3</v>
      </c>
      <c r="D888" t="n">
        <v>13648.07</v>
      </c>
    </row>
    <row r="889">
      <c r="A889" t="n">
        <v>638</v>
      </c>
      <c r="B889" t="n">
        <v>21094.81</v>
      </c>
      <c r="C889" t="n">
        <v>50448.71</v>
      </c>
      <c r="D889" t="n">
        <v>31511.11</v>
      </c>
    </row>
    <row r="890">
      <c r="A890" t="n">
        <v>767</v>
      </c>
      <c r="B890" t="n">
        <v>9143.530000000001</v>
      </c>
      <c r="C890" t="n">
        <v>51859.62</v>
      </c>
      <c r="D890" t="n">
        <v>9936.530000000001</v>
      </c>
    </row>
    <row r="891">
      <c r="A891" t="n">
        <v>796</v>
      </c>
      <c r="B891" t="n">
        <v>5079.21</v>
      </c>
      <c r="C891" t="n">
        <v>30881.45</v>
      </c>
      <c r="D891" t="n">
        <v>14249.25</v>
      </c>
    </row>
    <row r="892">
      <c r="A892" t="n">
        <v>826</v>
      </c>
      <c r="B892" t="n">
        <v>5186.1</v>
      </c>
      <c r="C892" t="n">
        <v>42031.61</v>
      </c>
      <c r="D892" t="n">
        <v>22221.34</v>
      </c>
    </row>
    <row r="893">
      <c r="A893" t="n">
        <v>704</v>
      </c>
      <c r="B893" t="n">
        <v>4019.02</v>
      </c>
      <c r="C893" t="n">
        <v>52347.65</v>
      </c>
      <c r="D893" t="n">
        <v>19733.33</v>
      </c>
    </row>
    <row r="894">
      <c r="A894" t="n">
        <v>655</v>
      </c>
      <c r="B894" t="n">
        <v>19594.26</v>
      </c>
      <c r="C894" t="n">
        <v>19754.97</v>
      </c>
      <c r="D894" t="n">
        <v>20431.98</v>
      </c>
    </row>
    <row r="895">
      <c r="A895" t="n">
        <v>654</v>
      </c>
      <c r="B895" t="n">
        <v>19733.33</v>
      </c>
      <c r="C895" t="n">
        <v>6525.04</v>
      </c>
      <c r="D895" t="n">
        <v>19072.73</v>
      </c>
    </row>
    <row r="896">
      <c r="A896" t="n">
        <v>705</v>
      </c>
      <c r="B896" t="n">
        <v>10323.57</v>
      </c>
      <c r="C896" t="n">
        <v>5451.91</v>
      </c>
      <c r="D896" t="n">
        <v>1805.33</v>
      </c>
    </row>
    <row r="897">
      <c r="A897" t="n">
        <v>598</v>
      </c>
      <c r="B897" t="n">
        <v>14960.96</v>
      </c>
      <c r="C897" t="n">
        <v>43035.94</v>
      </c>
      <c r="D897" t="n">
        <v>8873.280000000001</v>
      </c>
    </row>
    <row r="898">
      <c r="A898" t="n">
        <v>668</v>
      </c>
      <c r="B898" t="n">
        <v>27866.77</v>
      </c>
      <c r="C898" t="n">
        <v>50523.12</v>
      </c>
      <c r="D898" t="n">
        <v>16127.02</v>
      </c>
    </row>
    <row r="899">
      <c r="A899" t="n">
        <v>667</v>
      </c>
      <c r="B899" t="n">
        <v>5065.74</v>
      </c>
      <c r="C899" t="n">
        <v>35720.43</v>
      </c>
      <c r="D899" t="n">
        <v>12616.34</v>
      </c>
    </row>
    <row r="900">
      <c r="A900" t="n">
        <v>591</v>
      </c>
      <c r="B900" t="n">
        <v>22007.67</v>
      </c>
      <c r="C900" t="n">
        <v>7955.6</v>
      </c>
      <c r="D900" t="n">
        <v>27866.77</v>
      </c>
    </row>
    <row r="901">
      <c r="A901" t="n">
        <v>646</v>
      </c>
      <c r="B901" t="n">
        <v>20358.24</v>
      </c>
      <c r="C901" t="n">
        <v>17263.09</v>
      </c>
      <c r="D901" t="n">
        <v>11231.75</v>
      </c>
    </row>
    <row r="902">
      <c r="A902" t="n">
        <v>678</v>
      </c>
      <c r="B902" t="n">
        <v>11929.49</v>
      </c>
      <c r="C902" t="n">
        <v>44354.37</v>
      </c>
      <c r="D902" t="n">
        <v>2942.92</v>
      </c>
    </row>
    <row r="903">
      <c r="A903" t="n">
        <v>753</v>
      </c>
      <c r="B903" t="n">
        <v>15186.84</v>
      </c>
      <c r="C903" t="n">
        <v>16165.24</v>
      </c>
      <c r="D903" t="n">
        <v>15610.26</v>
      </c>
    </row>
    <row r="904">
      <c r="A904" t="n">
        <v>722</v>
      </c>
      <c r="B904" t="n">
        <v>13518.13</v>
      </c>
      <c r="C904" t="n">
        <v>30153.2</v>
      </c>
      <c r="D904" t="n">
        <v>5637.36</v>
      </c>
    </row>
    <row r="905">
      <c r="A905" t="n">
        <v>750</v>
      </c>
      <c r="B905" t="n">
        <v>16580.16</v>
      </c>
      <c r="C905" t="n">
        <v>48587.02</v>
      </c>
      <c r="D905" t="n">
        <v>22007.67</v>
      </c>
    </row>
    <row r="906">
      <c r="A906" t="n">
        <v>758</v>
      </c>
      <c r="B906" t="n">
        <v>11828.8</v>
      </c>
      <c r="C906" t="n">
        <v>40525.79</v>
      </c>
      <c r="D906" t="n">
        <v>17428.56</v>
      </c>
    </row>
    <row r="907">
      <c r="A907" t="n">
        <v>753</v>
      </c>
      <c r="B907" t="n">
        <v>2767.25</v>
      </c>
      <c r="C907" t="n">
        <v>55379.94</v>
      </c>
      <c r="D907" t="n">
        <v>9434.98</v>
      </c>
    </row>
    <row r="908">
      <c r="A908" t="n">
        <v>714</v>
      </c>
      <c r="B908" t="n">
        <v>19225.52</v>
      </c>
      <c r="C908" t="n">
        <v>53736.99</v>
      </c>
      <c r="D908" t="n">
        <v>20358.24</v>
      </c>
    </row>
    <row r="909">
      <c r="A909" t="n">
        <v>678</v>
      </c>
      <c r="B909" t="n">
        <v>3293.25</v>
      </c>
      <c r="C909" t="n">
        <v>29657.03</v>
      </c>
      <c r="D909" t="n">
        <v>11929.49</v>
      </c>
    </row>
    <row r="910">
      <c r="A910" t="n">
        <v>687</v>
      </c>
      <c r="B910" t="n">
        <v>5307.09</v>
      </c>
      <c r="C910" t="n">
        <v>25303.26</v>
      </c>
      <c r="D910" t="n">
        <v>11104.15</v>
      </c>
    </row>
    <row r="911">
      <c r="A911" t="n">
        <v>719</v>
      </c>
      <c r="B911" t="n">
        <v>7387.86</v>
      </c>
      <c r="C911" t="n">
        <v>28861.9</v>
      </c>
      <c r="D911" t="n">
        <v>2767.25</v>
      </c>
    </row>
    <row r="912">
      <c r="A912" t="n">
        <v>616</v>
      </c>
      <c r="B912" t="n">
        <v>15757.75</v>
      </c>
      <c r="C912" t="n">
        <v>9287.26</v>
      </c>
      <c r="D912" t="n">
        <v>16266.65</v>
      </c>
    </row>
    <row r="913">
      <c r="A913" t="n">
        <v>677</v>
      </c>
      <c r="B913" t="n">
        <v>17990.58</v>
      </c>
      <c r="C913" t="n">
        <v>26869.82</v>
      </c>
      <c r="D913" t="n">
        <v>12870.02</v>
      </c>
    </row>
    <row r="914">
      <c r="A914" t="n">
        <v>630</v>
      </c>
      <c r="B914" t="n">
        <v>10253.1</v>
      </c>
      <c r="C914" t="n">
        <v>8149.86</v>
      </c>
      <c r="D914" t="n">
        <v>7387.86</v>
      </c>
    </row>
    <row r="915">
      <c r="A915" t="n">
        <v>669</v>
      </c>
      <c r="B915" t="n">
        <v>34160.85</v>
      </c>
      <c r="C915" t="n">
        <v>44745.1</v>
      </c>
      <c r="D915" t="n">
        <v>15757.75</v>
      </c>
    </row>
    <row r="916">
      <c r="A916" t="n">
        <v>713</v>
      </c>
      <c r="B916" t="n">
        <v>6951.2</v>
      </c>
      <c r="C916" t="n">
        <v>20781.99</v>
      </c>
      <c r="D916" t="n">
        <v>18340.13</v>
      </c>
    </row>
    <row r="917">
      <c r="A917" t="n">
        <v>676</v>
      </c>
      <c r="B917" t="n">
        <v>17149.69</v>
      </c>
      <c r="C917" t="n">
        <v>12961.82</v>
      </c>
      <c r="D917" t="n">
        <v>2910.39</v>
      </c>
    </row>
    <row r="918">
      <c r="A918" t="n">
        <v>788</v>
      </c>
      <c r="B918" t="n">
        <v>6558.08</v>
      </c>
      <c r="C918" t="n">
        <v>6388.14</v>
      </c>
      <c r="D918" t="n">
        <v>18440.38</v>
      </c>
    </row>
    <row r="919">
      <c r="A919" t="n">
        <v>750</v>
      </c>
      <c r="B919" t="n">
        <v>3530.32</v>
      </c>
      <c r="C919" t="n">
        <v>30398.72</v>
      </c>
      <c r="D919" t="n">
        <v>12006.6</v>
      </c>
    </row>
    <row r="920">
      <c r="A920" t="n">
        <v>648</v>
      </c>
      <c r="B920" t="n">
        <v>14534.99</v>
      </c>
      <c r="C920" t="n">
        <v>26976.99</v>
      </c>
      <c r="D920" t="n">
        <v>6558.08</v>
      </c>
    </row>
    <row r="921">
      <c r="A921" t="n">
        <v>729</v>
      </c>
      <c r="B921" t="n">
        <v>13833.2</v>
      </c>
      <c r="C921" t="n">
        <v>16079.5</v>
      </c>
      <c r="D921" t="n">
        <v>13128.56</v>
      </c>
    </row>
    <row r="922">
      <c r="A922" t="n">
        <v>669</v>
      </c>
      <c r="B922" t="n">
        <v>13705.07</v>
      </c>
      <c r="C922" t="n">
        <v>19684.39</v>
      </c>
      <c r="D922" t="n">
        <v>11996.34</v>
      </c>
    </row>
    <row r="923">
      <c r="A923" t="n">
        <v>744</v>
      </c>
      <c r="B923" t="n">
        <v>6689.32</v>
      </c>
      <c r="C923" t="n">
        <v>11955.31</v>
      </c>
      <c r="D923" t="n">
        <v>13705.07</v>
      </c>
    </row>
    <row r="924">
      <c r="A924" t="n">
        <v>826</v>
      </c>
      <c r="B924" t="n">
        <v>4179.18</v>
      </c>
      <c r="C924" t="n">
        <v>36328.21</v>
      </c>
      <c r="D924" t="n">
        <v>4179.18</v>
      </c>
    </row>
    <row r="925">
      <c r="A925" t="n">
        <v>755</v>
      </c>
      <c r="B925" t="n">
        <v>9120.530000000001</v>
      </c>
      <c r="C925" t="n">
        <v>18263.35</v>
      </c>
      <c r="D925" t="n">
        <v>25357.62</v>
      </c>
    </row>
    <row r="926">
      <c r="A926" t="n">
        <v>752</v>
      </c>
      <c r="B926" t="n">
        <v>8012.28</v>
      </c>
      <c r="C926" t="n">
        <v>14092.21</v>
      </c>
      <c r="D926" t="n">
        <v>3915.73</v>
      </c>
    </row>
    <row r="927">
      <c r="A927" t="n">
        <v>716</v>
      </c>
      <c r="B927" t="n">
        <v>19162.61</v>
      </c>
      <c r="C927" t="n">
        <v>31703.54</v>
      </c>
      <c r="D927" t="n">
        <v>353.2</v>
      </c>
    </row>
    <row r="928">
      <c r="A928" t="n">
        <v>578</v>
      </c>
      <c r="B928" t="n">
        <v>11153.9</v>
      </c>
      <c r="C928" t="n">
        <v>34004.87</v>
      </c>
      <c r="D928" t="n">
        <v>24735.34</v>
      </c>
    </row>
    <row r="929">
      <c r="A929" t="n">
        <v>633</v>
      </c>
      <c r="B929" t="n">
        <v>20914.95</v>
      </c>
      <c r="C929" t="n">
        <v>16982.05</v>
      </c>
      <c r="D929" t="n">
        <v>18581.05</v>
      </c>
    </row>
    <row r="930">
      <c r="A930" t="n">
        <v>716</v>
      </c>
      <c r="B930" t="n">
        <v>10348.06</v>
      </c>
      <c r="C930" t="n">
        <v>14364.53</v>
      </c>
      <c r="D930" t="n">
        <v>24485.23</v>
      </c>
    </row>
    <row r="931">
      <c r="A931" t="n">
        <v>762</v>
      </c>
      <c r="B931" t="n">
        <v>11109.89</v>
      </c>
      <c r="C931" t="n">
        <v>16569.14</v>
      </c>
      <c r="D931" t="n">
        <v>19162.61</v>
      </c>
    </row>
    <row r="932">
      <c r="A932" t="n">
        <v>727</v>
      </c>
      <c r="B932" t="n">
        <v>9334.969999999999</v>
      </c>
      <c r="C932" t="n">
        <v>19520.21</v>
      </c>
      <c r="D932" t="n">
        <v>7778.29</v>
      </c>
    </row>
    <row r="933">
      <c r="A933" t="n">
        <v>817</v>
      </c>
      <c r="B933" t="n">
        <v>6176.9</v>
      </c>
      <c r="C933" t="n">
        <v>57747.15</v>
      </c>
      <c r="D933" t="n">
        <v>11406.57</v>
      </c>
    </row>
    <row r="934">
      <c r="A934" t="n">
        <v>708</v>
      </c>
      <c r="B934" t="n">
        <v>17506.06</v>
      </c>
      <c r="C934" t="n">
        <v>37009.97</v>
      </c>
      <c r="D934" t="n">
        <v>12124.75</v>
      </c>
    </row>
    <row r="935">
      <c r="A935" t="n">
        <v>674</v>
      </c>
      <c r="B935" t="n">
        <v>12682.14</v>
      </c>
      <c r="C935" t="n">
        <v>30012.56</v>
      </c>
      <c r="D935" t="n">
        <v>11109.89</v>
      </c>
    </row>
    <row r="936">
      <c r="A936" t="n">
        <v>742</v>
      </c>
      <c r="B936" t="n">
        <v>10855.25</v>
      </c>
      <c r="C936" t="n">
        <v>35007.28</v>
      </c>
      <c r="D936" t="n">
        <v>17962.22</v>
      </c>
    </row>
    <row r="937">
      <c r="A937" t="n">
        <v>757</v>
      </c>
      <c r="B937" t="n">
        <v>5509.46</v>
      </c>
      <c r="C937" t="n">
        <v>12074.33</v>
      </c>
      <c r="D937" t="n">
        <v>17506.06</v>
      </c>
    </row>
    <row r="938">
      <c r="A938" t="n">
        <v>772</v>
      </c>
      <c r="B938" t="n">
        <v>12574.63</v>
      </c>
      <c r="C938" t="n">
        <v>51854.2</v>
      </c>
      <c r="D938" t="n">
        <v>10474.11</v>
      </c>
    </row>
    <row r="939">
      <c r="A939" t="n">
        <v>734</v>
      </c>
      <c r="B939" t="n">
        <v>8702.280000000001</v>
      </c>
      <c r="C939" t="n">
        <v>50592.8</v>
      </c>
      <c r="D939" t="n">
        <v>21114.17</v>
      </c>
    </row>
    <row r="940">
      <c r="A940" t="n">
        <v>716</v>
      </c>
      <c r="B940" t="n">
        <v>8258.83</v>
      </c>
      <c r="C940" t="n">
        <v>11975.04</v>
      </c>
      <c r="D940" t="n">
        <v>12791.38</v>
      </c>
    </row>
    <row r="941">
      <c r="A941" t="n">
        <v>587</v>
      </c>
      <c r="B941" t="n">
        <v>18205.74</v>
      </c>
      <c r="C941" t="n">
        <v>44093.92</v>
      </c>
      <c r="D941" t="n">
        <v>11612.93</v>
      </c>
    </row>
    <row r="942">
      <c r="A942" t="n">
        <v>684</v>
      </c>
      <c r="B942" t="n">
        <v>14699.64</v>
      </c>
      <c r="C942" t="n">
        <v>36714.18</v>
      </c>
      <c r="D942" t="n">
        <v>16255.83</v>
      </c>
    </row>
    <row r="943">
      <c r="A943" t="n">
        <v>694</v>
      </c>
      <c r="B943" t="n">
        <v>20584.97</v>
      </c>
      <c r="C943" t="n">
        <v>35949.91</v>
      </c>
      <c r="D943" t="n">
        <v>2646.04</v>
      </c>
    </row>
    <row r="944">
      <c r="A944" t="n">
        <v>684</v>
      </c>
      <c r="B944" t="n">
        <v>15177.78</v>
      </c>
      <c r="C944" t="n">
        <v>45041.77</v>
      </c>
      <c r="D944" t="n">
        <v>15177.78</v>
      </c>
    </row>
    <row r="945">
      <c r="A945" t="n">
        <v>773</v>
      </c>
      <c r="B945" t="n">
        <v>10546.57</v>
      </c>
      <c r="C945" t="n">
        <v>39941.27</v>
      </c>
      <c r="D945" t="n">
        <v>15457.57</v>
      </c>
    </row>
    <row r="946">
      <c r="A946" t="n">
        <v>733</v>
      </c>
      <c r="B946" t="n">
        <v>2133.48</v>
      </c>
      <c r="C946" t="n">
        <v>7211</v>
      </c>
      <c r="D946" t="n">
        <v>10975.19</v>
      </c>
    </row>
    <row r="947">
      <c r="A947" t="n">
        <v>767</v>
      </c>
      <c r="B947" t="n">
        <v>6623.38</v>
      </c>
      <c r="C947" t="n">
        <v>22539.48</v>
      </c>
      <c r="D947" t="n">
        <v>5895.25</v>
      </c>
    </row>
    <row r="948">
      <c r="A948" t="n">
        <v>763</v>
      </c>
      <c r="B948" t="n">
        <v>819.09</v>
      </c>
      <c r="C948" t="n">
        <v>44165.73</v>
      </c>
      <c r="D948" t="n">
        <v>11148.77</v>
      </c>
    </row>
    <row r="949">
      <c r="A949" t="n">
        <v>594</v>
      </c>
      <c r="B949" t="n">
        <v>23970.67</v>
      </c>
      <c r="C949" t="n">
        <v>42327.75</v>
      </c>
      <c r="D949" t="n">
        <v>15510.16</v>
      </c>
    </row>
    <row r="950">
      <c r="A950" t="n">
        <v>660</v>
      </c>
      <c r="B950" t="n">
        <v>19609.46</v>
      </c>
      <c r="C950" t="n">
        <v>26650.36</v>
      </c>
      <c r="D950" t="n">
        <v>18201.65</v>
      </c>
    </row>
    <row r="951">
      <c r="A951" t="n">
        <v>737</v>
      </c>
      <c r="B951" t="n">
        <v>8962.24</v>
      </c>
      <c r="C951" t="n">
        <v>39007.23</v>
      </c>
      <c r="D951" t="n">
        <v>20104.8</v>
      </c>
    </row>
    <row r="952">
      <c r="A952" t="n">
        <v>644</v>
      </c>
      <c r="B952" t="n">
        <v>7056.3</v>
      </c>
      <c r="C952" t="n">
        <v>50785.19</v>
      </c>
      <c r="D952" t="n">
        <v>6988.11</v>
      </c>
    </row>
    <row r="953">
      <c r="A953" t="n">
        <v>701</v>
      </c>
      <c r="B953" t="n">
        <v>18904.27</v>
      </c>
      <c r="C953" t="n">
        <v>53346.25</v>
      </c>
      <c r="D953" t="n">
        <v>6411.48</v>
      </c>
    </row>
    <row r="954">
      <c r="A954" t="n">
        <v>759</v>
      </c>
      <c r="B954" t="n">
        <v>6411.48</v>
      </c>
      <c r="C954" t="n">
        <v>40072.54</v>
      </c>
      <c r="D954" t="n">
        <v>13516.55</v>
      </c>
    </row>
    <row r="955">
      <c r="A955" t="n">
        <v>649</v>
      </c>
      <c r="B955" t="n">
        <v>17868.97</v>
      </c>
      <c r="C955" t="n">
        <v>32394.94</v>
      </c>
      <c r="D955" t="n">
        <v>19649.69</v>
      </c>
    </row>
    <row r="956">
      <c r="A956" t="n">
        <v>724</v>
      </c>
      <c r="B956" t="n">
        <v>8228.16</v>
      </c>
      <c r="C956" t="n">
        <v>36123.93</v>
      </c>
      <c r="D956" t="n">
        <v>32701.3</v>
      </c>
    </row>
    <row r="957">
      <c r="A957" t="n">
        <v>710</v>
      </c>
      <c r="B957" t="n">
        <v>2008.16</v>
      </c>
      <c r="C957" t="n">
        <v>16271.33</v>
      </c>
      <c r="D957" t="n">
        <v>8846.08</v>
      </c>
    </row>
    <row r="958">
      <c r="A958" t="n">
        <v>704</v>
      </c>
      <c r="B958" t="n">
        <v>8379.99</v>
      </c>
      <c r="C958" t="n">
        <v>8388.959999999999</v>
      </c>
      <c r="D958" t="n">
        <v>7963.81</v>
      </c>
    </row>
    <row r="959">
      <c r="A959" t="n">
        <v>808</v>
      </c>
      <c r="B959" t="n">
        <v>1895.77</v>
      </c>
      <c r="C959" t="n">
        <v>29918.71</v>
      </c>
      <c r="D959" t="n">
        <v>8388.16</v>
      </c>
    </row>
    <row r="960">
      <c r="A960" t="n">
        <v>752</v>
      </c>
      <c r="B960" t="n">
        <v>10538.28</v>
      </c>
      <c r="C960" t="n">
        <v>16869.89</v>
      </c>
      <c r="D960" t="n">
        <v>11165.51</v>
      </c>
    </row>
    <row r="961">
      <c r="A961" t="n">
        <v>664</v>
      </c>
      <c r="B961" t="n">
        <v>11701.85</v>
      </c>
      <c r="C961" t="n">
        <v>9153.25</v>
      </c>
      <c r="D961" t="n">
        <v>12938.99</v>
      </c>
    </row>
    <row r="962">
      <c r="A962" t="n">
        <v>713</v>
      </c>
      <c r="B962" t="n">
        <v>13677.53</v>
      </c>
      <c r="C962" t="n">
        <v>34752.8</v>
      </c>
      <c r="D962" t="n">
        <v>15787.66</v>
      </c>
    </row>
    <row r="963">
      <c r="A963" t="n">
        <v>697</v>
      </c>
      <c r="B963" t="n">
        <v>29809.91</v>
      </c>
      <c r="C963" t="n">
        <v>6530.97</v>
      </c>
      <c r="D963" t="n">
        <v>17032.05</v>
      </c>
    </row>
    <row r="964">
      <c r="A964" t="n">
        <v>634</v>
      </c>
      <c r="B964" t="n">
        <v>20706.57</v>
      </c>
      <c r="C964" t="n">
        <v>19123.38</v>
      </c>
      <c r="D964" t="n">
        <v>1895.77</v>
      </c>
    </row>
    <row r="965">
      <c r="A965" t="n">
        <v>716</v>
      </c>
      <c r="B965" t="n">
        <v>13024.82</v>
      </c>
      <c r="C965" t="n">
        <v>59833.73</v>
      </c>
      <c r="D965" t="n">
        <v>11908.24</v>
      </c>
    </row>
    <row r="966">
      <c r="A966" t="n">
        <v>644</v>
      </c>
      <c r="B966" t="n">
        <v>10126.74</v>
      </c>
      <c r="C966" t="n">
        <v>13648.29</v>
      </c>
      <c r="D966" t="n">
        <v>11701.85</v>
      </c>
    </row>
    <row r="967">
      <c r="A967" t="n">
        <v>642</v>
      </c>
      <c r="B967" t="n">
        <v>14925.42</v>
      </c>
      <c r="C967" t="n">
        <v>52727.09</v>
      </c>
      <c r="D967" t="n">
        <v>19898.82</v>
      </c>
    </row>
    <row r="968">
      <c r="A968" t="n">
        <v>663</v>
      </c>
      <c r="B968" t="n">
        <v>24984.55</v>
      </c>
      <c r="C968" t="n">
        <v>27559.18</v>
      </c>
      <c r="D968" t="n">
        <v>10180.72</v>
      </c>
    </row>
    <row r="969">
      <c r="A969" t="n">
        <v>678</v>
      </c>
      <c r="B969" t="n">
        <v>20207.57</v>
      </c>
      <c r="C969" t="n">
        <v>20990.74</v>
      </c>
      <c r="D969" t="n">
        <v>0</v>
      </c>
    </row>
    <row r="970">
      <c r="A970" t="n">
        <v>699</v>
      </c>
      <c r="B970" t="n">
        <v>15655.06</v>
      </c>
      <c r="C970" t="n">
        <v>32706.75</v>
      </c>
      <c r="D970" t="n">
        <v>20706.57</v>
      </c>
    </row>
    <row r="971">
      <c r="A971" t="n">
        <v>711</v>
      </c>
      <c r="B971" t="n">
        <v>3502.1</v>
      </c>
      <c r="C971" t="n">
        <v>50773.31</v>
      </c>
      <c r="D971" t="n">
        <v>13770.82</v>
      </c>
    </row>
    <row r="972">
      <c r="A972" t="n">
        <v>888</v>
      </c>
      <c r="B972" t="n">
        <v>2039.53</v>
      </c>
      <c r="C972" t="n">
        <v>58129.77</v>
      </c>
      <c r="D972" t="n">
        <v>12936.85</v>
      </c>
    </row>
    <row r="973">
      <c r="A973" t="n">
        <v>723</v>
      </c>
      <c r="B973" t="n">
        <v>7914.77</v>
      </c>
      <c r="C973" t="n">
        <v>35846.72</v>
      </c>
      <c r="D973" t="n">
        <v>10126.74</v>
      </c>
    </row>
    <row r="974">
      <c r="A974" t="n">
        <v>694</v>
      </c>
      <c r="B974" t="n">
        <v>4435.63</v>
      </c>
      <c r="C974" t="n">
        <v>40496.5</v>
      </c>
      <c r="D974" t="n">
        <v>14925.42</v>
      </c>
    </row>
    <row r="975">
      <c r="A975" t="n">
        <v>702</v>
      </c>
      <c r="B975" t="n">
        <v>0</v>
      </c>
      <c r="C975" t="n">
        <v>12120.6</v>
      </c>
      <c r="D975" t="n">
        <v>15180.72</v>
      </c>
    </row>
    <row r="976">
      <c r="A976" t="n">
        <v>721</v>
      </c>
      <c r="B976" t="n">
        <v>11021.03</v>
      </c>
      <c r="C976" t="n">
        <v>12691.77</v>
      </c>
      <c r="D976" t="n">
        <v>8104.52</v>
      </c>
    </row>
    <row r="977">
      <c r="A977" t="n">
        <v>660</v>
      </c>
      <c r="B977" t="n">
        <v>26126.52</v>
      </c>
      <c r="C977" t="n">
        <v>12104.58</v>
      </c>
      <c r="D977" t="n">
        <v>16730.53</v>
      </c>
    </row>
    <row r="978">
      <c r="A978" t="n">
        <v>656</v>
      </c>
      <c r="B978" t="n">
        <v>12425.37</v>
      </c>
      <c r="C978" t="n">
        <v>18197.93</v>
      </c>
      <c r="D978" t="n">
        <v>7439.64</v>
      </c>
    </row>
    <row r="979">
      <c r="A979" t="n">
        <v>591</v>
      </c>
      <c r="B979" t="n">
        <v>17362.15</v>
      </c>
      <c r="C979" t="n">
        <v>33015.4</v>
      </c>
      <c r="D979" t="n">
        <v>4435.63</v>
      </c>
    </row>
    <row r="980">
      <c r="A980" t="n">
        <v>810</v>
      </c>
      <c r="B980" t="n">
        <v>8110.2</v>
      </c>
      <c r="C980" t="n">
        <v>31501.41</v>
      </c>
      <c r="D980" t="n">
        <v>0</v>
      </c>
    </row>
    <row r="981">
      <c r="A981" t="n">
        <v>752</v>
      </c>
      <c r="B981" t="n">
        <v>6891.54</v>
      </c>
      <c r="C981" t="n">
        <v>51801.26</v>
      </c>
      <c r="D981" t="n">
        <v>6990.68</v>
      </c>
    </row>
    <row r="982">
      <c r="A982" t="n">
        <v>746</v>
      </c>
      <c r="B982" t="n">
        <v>9617.809999999999</v>
      </c>
      <c r="C982" t="n">
        <v>19133.8</v>
      </c>
      <c r="D982" t="n">
        <v>6792.37</v>
      </c>
    </row>
    <row r="983">
      <c r="A983" t="n">
        <v>750</v>
      </c>
      <c r="B983" t="n">
        <v>11022.66</v>
      </c>
      <c r="C983" t="n">
        <v>17985.49</v>
      </c>
      <c r="D983" t="n">
        <v>5911.92</v>
      </c>
    </row>
    <row r="984">
      <c r="A984" t="n">
        <v>776</v>
      </c>
      <c r="B984" t="n">
        <v>9835.99</v>
      </c>
      <c r="C984" t="n">
        <v>47473.04</v>
      </c>
      <c r="D984" t="n">
        <v>17362.15</v>
      </c>
    </row>
    <row r="985">
      <c r="A985" t="n">
        <v>666</v>
      </c>
      <c r="B985" t="n">
        <v>11642.08</v>
      </c>
      <c r="C985" t="n">
        <v>33719.66</v>
      </c>
      <c r="D985" t="n">
        <v>16085.58</v>
      </c>
    </row>
    <row r="986">
      <c r="A986" t="n">
        <v>703</v>
      </c>
      <c r="B986" t="n">
        <v>7864.36</v>
      </c>
      <c r="C986" t="n">
        <v>8757.52</v>
      </c>
      <c r="D986" t="n">
        <v>6891.54</v>
      </c>
    </row>
    <row r="987">
      <c r="A987" t="n">
        <v>736</v>
      </c>
      <c r="B987" t="n">
        <v>8005.2</v>
      </c>
      <c r="C987" t="n">
        <v>57910.37</v>
      </c>
      <c r="D987" t="n">
        <v>9617.809999999999</v>
      </c>
    </row>
    <row r="988">
      <c r="A988" t="n">
        <v>689</v>
      </c>
      <c r="B988" t="n">
        <v>20105.86</v>
      </c>
      <c r="C988" t="n">
        <v>8099.47</v>
      </c>
      <c r="D988" t="n">
        <v>15273.52</v>
      </c>
    </row>
    <row r="989">
      <c r="A989" t="n">
        <v>654</v>
      </c>
      <c r="B989" t="n">
        <v>12449.28</v>
      </c>
      <c r="C989" t="n">
        <v>59679.92</v>
      </c>
      <c r="D989" t="n">
        <v>3195.62</v>
      </c>
    </row>
    <row r="990">
      <c r="A990" t="n">
        <v>736</v>
      </c>
      <c r="B990" t="n">
        <v>16009.34</v>
      </c>
      <c r="C990" t="n">
        <v>32472.89</v>
      </c>
      <c r="D990" t="n">
        <v>7864.36</v>
      </c>
    </row>
    <row r="991">
      <c r="A991" t="n">
        <v>784</v>
      </c>
      <c r="B991" t="n">
        <v>6490.44</v>
      </c>
      <c r="C991" t="n">
        <v>18292.79</v>
      </c>
      <c r="D991" t="n">
        <v>6418.56</v>
      </c>
    </row>
    <row r="992">
      <c r="A992" t="n">
        <v>726</v>
      </c>
      <c r="B992" t="n">
        <v>9597.25</v>
      </c>
      <c r="C992" t="n">
        <v>33864.69</v>
      </c>
      <c r="D992" t="n">
        <v>23421.72</v>
      </c>
    </row>
    <row r="993">
      <c r="A993" t="n">
        <v>610</v>
      </c>
      <c r="B993" t="n">
        <v>24944.02</v>
      </c>
      <c r="C993" t="n">
        <v>12038.61</v>
      </c>
      <c r="D993" t="n">
        <v>12449.28</v>
      </c>
    </row>
    <row r="994">
      <c r="A994" t="n">
        <v>635</v>
      </c>
      <c r="B994" t="n">
        <v>13635.61</v>
      </c>
      <c r="C994" t="n">
        <v>33655.76</v>
      </c>
      <c r="D994" t="n">
        <v>15838.3</v>
      </c>
    </row>
    <row r="995">
      <c r="A995" t="n">
        <v>719</v>
      </c>
      <c r="B995" t="n">
        <v>13886.48</v>
      </c>
      <c r="C995" t="n">
        <v>44983.93</v>
      </c>
      <c r="D995" t="n">
        <v>15250.2</v>
      </c>
    </row>
    <row r="996">
      <c r="A996" t="n">
        <v>625</v>
      </c>
      <c r="B996" t="n">
        <v>18333.12</v>
      </c>
      <c r="C996" t="n">
        <v>7994.86</v>
      </c>
      <c r="D996" t="n">
        <v>9353.889999999999</v>
      </c>
    </row>
    <row r="997">
      <c r="A997" t="n">
        <v>630</v>
      </c>
      <c r="B997" t="n">
        <v>17907.7</v>
      </c>
      <c r="C997" t="n">
        <v>54309.21</v>
      </c>
      <c r="D997" t="n">
        <v>10235.03</v>
      </c>
    </row>
    <row r="998">
      <c r="A998" t="n">
        <v>763</v>
      </c>
      <c r="B998" t="n">
        <v>4056.69</v>
      </c>
      <c r="C998" t="n">
        <v>43485.1</v>
      </c>
      <c r="D998" t="n">
        <v>13635.61</v>
      </c>
    </row>
    <row r="999">
      <c r="A999" t="n">
        <v>596</v>
      </c>
      <c r="B999" t="n">
        <v>16602.52</v>
      </c>
      <c r="C999" t="n">
        <v>58805.23</v>
      </c>
      <c r="D999" t="n">
        <v>11256.64</v>
      </c>
    </row>
    <row r="1000">
      <c r="A1000" t="n">
        <v>736</v>
      </c>
      <c r="B1000" t="n">
        <v>9767.629999999999</v>
      </c>
      <c r="C1000" t="n">
        <v>38615.32</v>
      </c>
      <c r="D1000" t="n">
        <v>10553.21</v>
      </c>
    </row>
    <row r="1001">
      <c r="A1001" t="n">
        <v>656</v>
      </c>
      <c r="B1001" t="n">
        <v>18461.04</v>
      </c>
      <c r="C1001" t="n">
        <v>35003.33</v>
      </c>
      <c r="D1001" t="n">
        <v>13886.48</v>
      </c>
    </row>
    <row r="1002">
      <c r="A1002" t="n">
        <v>600</v>
      </c>
      <c r="B1002" t="n">
        <v>27449.19</v>
      </c>
      <c r="C1002" t="n">
        <v>38789.39</v>
      </c>
      <c r="D1002" t="n">
        <v>18333.12</v>
      </c>
    </row>
    <row r="1003">
      <c r="A1003" t="n">
        <v>763</v>
      </c>
      <c r="B1003" t="n">
        <v>6672.36</v>
      </c>
      <c r="C1003" t="n">
        <v>16335.11</v>
      </c>
      <c r="D1003" t="n">
        <v>13973.79</v>
      </c>
    </row>
    <row r="1004">
      <c r="A1004" t="n">
        <v>647</v>
      </c>
      <c r="B1004" t="n">
        <v>14414.65</v>
      </c>
      <c r="C1004" t="n">
        <v>41041.22</v>
      </c>
      <c r="D1004" t="n">
        <v>17907.7</v>
      </c>
    </row>
    <row r="1005">
      <c r="A1005" t="n">
        <v>704</v>
      </c>
      <c r="B1005" t="n">
        <v>6488.54</v>
      </c>
      <c r="C1005" t="n">
        <v>24580.47</v>
      </c>
      <c r="D1005" t="n">
        <v>4056.69</v>
      </c>
    </row>
    <row r="1006">
      <c r="A1006" t="n">
        <v>615</v>
      </c>
      <c r="B1006" t="n">
        <v>20722.02</v>
      </c>
      <c r="C1006" t="n">
        <v>34643.67</v>
      </c>
      <c r="D1006" t="n">
        <v>9767.629999999999</v>
      </c>
    </row>
    <row r="1007">
      <c r="A1007" t="n">
        <v>635</v>
      </c>
      <c r="B1007" t="n">
        <v>26071.27</v>
      </c>
      <c r="C1007" t="n">
        <v>21684.86</v>
      </c>
      <c r="D1007" t="n">
        <v>18461.04</v>
      </c>
    </row>
    <row r="1008">
      <c r="A1008" t="n">
        <v>727</v>
      </c>
      <c r="B1008" t="n">
        <v>17805.64</v>
      </c>
      <c r="C1008" t="n">
        <v>42251.15</v>
      </c>
      <c r="D1008" t="n">
        <v>13591.57</v>
      </c>
    </row>
    <row r="1009">
      <c r="A1009" t="n">
        <v>706</v>
      </c>
      <c r="B1009" t="n">
        <v>12200.13</v>
      </c>
      <c r="C1009" t="n">
        <v>43011.54</v>
      </c>
      <c r="D1009" t="n">
        <v>15883.82</v>
      </c>
    </row>
    <row r="1010">
      <c r="A1010" t="n">
        <v>654</v>
      </c>
      <c r="B1010" t="n">
        <v>9298.690000000001</v>
      </c>
      <c r="C1010" t="n">
        <v>30256.27</v>
      </c>
      <c r="D1010" t="n">
        <v>16340.37</v>
      </c>
    </row>
    <row r="1011">
      <c r="A1011" t="n">
        <v>778</v>
      </c>
      <c r="B1011" t="n">
        <v>14463.58</v>
      </c>
      <c r="C1011" t="n">
        <v>6658.21</v>
      </c>
      <c r="D1011" t="n">
        <v>7129.2</v>
      </c>
    </row>
    <row r="1012">
      <c r="A1012" t="n">
        <v>741</v>
      </c>
      <c r="B1012" t="n">
        <v>10683.04</v>
      </c>
      <c r="C1012" t="n">
        <v>29805.47</v>
      </c>
      <c r="D1012" t="n">
        <v>7114.43</v>
      </c>
    </row>
    <row r="1013">
      <c r="A1013" t="n">
        <v>743</v>
      </c>
      <c r="B1013" t="n">
        <v>13515.03</v>
      </c>
      <c r="C1013" t="n">
        <v>14711.41</v>
      </c>
      <c r="D1013" t="n">
        <v>12990.73</v>
      </c>
    </row>
    <row r="1014">
      <c r="A1014" t="n">
        <v>623</v>
      </c>
      <c r="B1014" t="n">
        <v>10011.96</v>
      </c>
      <c r="C1014" t="n">
        <v>16963.3</v>
      </c>
      <c r="D1014" t="n">
        <v>35786.75</v>
      </c>
    </row>
    <row r="1015">
      <c r="A1015" t="n">
        <v>656</v>
      </c>
      <c r="B1015" t="n">
        <v>6957.3</v>
      </c>
      <c r="C1015" t="n">
        <v>57254.27</v>
      </c>
      <c r="D1015" t="n">
        <v>1792.98</v>
      </c>
    </row>
    <row r="1016">
      <c r="A1016" t="n">
        <v>763</v>
      </c>
      <c r="B1016" t="n">
        <v>10449.9</v>
      </c>
      <c r="C1016" t="n">
        <v>37190.3</v>
      </c>
      <c r="D1016" t="n">
        <v>14463.58</v>
      </c>
    </row>
    <row r="1017">
      <c r="A1017" t="n">
        <v>741</v>
      </c>
      <c r="B1017" t="n">
        <v>12134.01</v>
      </c>
      <c r="C1017" t="n">
        <v>56762.59</v>
      </c>
      <c r="D1017" t="n">
        <v>11346.55</v>
      </c>
    </row>
    <row r="1018">
      <c r="A1018" t="n">
        <v>745</v>
      </c>
      <c r="B1018" t="n">
        <v>11174.06</v>
      </c>
      <c r="C1018" t="n">
        <v>21715.57</v>
      </c>
      <c r="D1018" t="n">
        <v>16435.85</v>
      </c>
    </row>
    <row r="1019">
      <c r="A1019" t="n">
        <v>639</v>
      </c>
      <c r="B1019" t="n">
        <v>21925.62</v>
      </c>
      <c r="C1019" t="n">
        <v>14253.72</v>
      </c>
      <c r="D1019" t="n">
        <v>13515.03</v>
      </c>
    </row>
    <row r="1020">
      <c r="A1020" t="n">
        <v>701</v>
      </c>
      <c r="B1020" t="n">
        <v>15103.23</v>
      </c>
      <c r="C1020" t="n">
        <v>5931.7</v>
      </c>
      <c r="D1020" t="n">
        <v>3528.83</v>
      </c>
    </row>
    <row r="1021">
      <c r="A1021" t="n">
        <v>734</v>
      </c>
      <c r="B1021" t="n">
        <v>11718.51</v>
      </c>
      <c r="C1021" t="n">
        <v>24544.07</v>
      </c>
      <c r="D1021" t="n">
        <v>8412.9</v>
      </c>
    </row>
    <row r="1022">
      <c r="A1022" t="n">
        <v>720</v>
      </c>
      <c r="B1022" t="n">
        <v>8591.799999999999</v>
      </c>
      <c r="C1022" t="n">
        <v>23764.71</v>
      </c>
      <c r="D1022" t="n">
        <v>10011.96</v>
      </c>
    </row>
    <row r="1023">
      <c r="A1023" t="n">
        <v>660</v>
      </c>
      <c r="B1023" t="n">
        <v>10006.21</v>
      </c>
      <c r="C1023" t="n">
        <v>35466.24</v>
      </c>
      <c r="D1023" t="n">
        <v>6957.3</v>
      </c>
    </row>
    <row r="1024">
      <c r="A1024" t="n">
        <v>701</v>
      </c>
      <c r="B1024" t="n">
        <v>3721.04</v>
      </c>
      <c r="C1024" t="n">
        <v>38710.28</v>
      </c>
      <c r="D1024" t="n">
        <v>10449.9</v>
      </c>
    </row>
    <row r="1025">
      <c r="A1025" t="n">
        <v>626</v>
      </c>
      <c r="B1025" t="n">
        <v>12838.8</v>
      </c>
      <c r="C1025" t="n">
        <v>13326.16</v>
      </c>
      <c r="D1025" t="n">
        <v>12134.01</v>
      </c>
    </row>
    <row r="1026">
      <c r="A1026" t="n">
        <v>647</v>
      </c>
      <c r="B1026" t="n">
        <v>6978.13</v>
      </c>
      <c r="C1026" t="n">
        <v>27177.86</v>
      </c>
      <c r="D1026" t="n">
        <v>11174.06</v>
      </c>
    </row>
    <row r="1027">
      <c r="A1027" t="n">
        <v>674</v>
      </c>
      <c r="B1027" t="n">
        <v>14351.28</v>
      </c>
      <c r="C1027" t="n">
        <v>53228.07</v>
      </c>
      <c r="D1027" t="n">
        <v>2481.33</v>
      </c>
    </row>
    <row r="1028">
      <c r="A1028" t="n">
        <v>711</v>
      </c>
      <c r="B1028" t="n">
        <v>17353.01</v>
      </c>
      <c r="C1028" t="n">
        <v>45605.77</v>
      </c>
      <c r="D1028" t="n">
        <v>14716.16</v>
      </c>
    </row>
    <row r="1029">
      <c r="A1029" t="n">
        <v>690</v>
      </c>
      <c r="B1029" t="n">
        <v>11080.4</v>
      </c>
      <c r="C1029" t="n">
        <v>37907.69</v>
      </c>
      <c r="D1029" t="n">
        <v>27116.51</v>
      </c>
    </row>
    <row r="1030">
      <c r="A1030" t="n">
        <v>743</v>
      </c>
      <c r="B1030" t="n">
        <v>5664.03</v>
      </c>
      <c r="C1030" t="n">
        <v>58552.86</v>
      </c>
      <c r="D1030" t="n">
        <v>5331.59</v>
      </c>
    </row>
    <row r="1031">
      <c r="A1031" t="n">
        <v>719</v>
      </c>
      <c r="B1031" t="n">
        <v>14662.15</v>
      </c>
      <c r="C1031" t="n">
        <v>25923.06</v>
      </c>
      <c r="D1031" t="n">
        <v>15510.5</v>
      </c>
    </row>
    <row r="1032">
      <c r="A1032" t="n">
        <v>709</v>
      </c>
      <c r="B1032" t="n">
        <v>14869.75</v>
      </c>
      <c r="C1032" t="n">
        <v>35700.53</v>
      </c>
      <c r="D1032" t="n">
        <v>0</v>
      </c>
    </row>
    <row r="1033">
      <c r="A1033" t="n">
        <v>761</v>
      </c>
      <c r="B1033" t="n">
        <v>8939.33</v>
      </c>
      <c r="C1033" t="n">
        <v>14755.89</v>
      </c>
      <c r="D1033" t="n">
        <v>19920.24</v>
      </c>
    </row>
    <row r="1034">
      <c r="A1034" t="n">
        <v>671</v>
      </c>
      <c r="B1034" t="n">
        <v>16417.34</v>
      </c>
      <c r="C1034" t="n">
        <v>20930.37</v>
      </c>
      <c r="D1034" t="n">
        <v>3677.1</v>
      </c>
    </row>
    <row r="1035">
      <c r="A1035" t="n">
        <v>697</v>
      </c>
      <c r="B1035" t="n">
        <v>12624.21</v>
      </c>
      <c r="C1035" t="n">
        <v>23530.19</v>
      </c>
      <c r="D1035" t="n">
        <v>14351.28</v>
      </c>
    </row>
    <row r="1036">
      <c r="A1036" t="n">
        <v>699</v>
      </c>
      <c r="B1036" t="n">
        <v>20454.19</v>
      </c>
      <c r="C1036" t="n">
        <v>34021.21</v>
      </c>
      <c r="D1036" t="n">
        <v>12916.06</v>
      </c>
    </row>
    <row r="1037">
      <c r="A1037" t="n">
        <v>687</v>
      </c>
      <c r="B1037" t="n">
        <v>10366.77</v>
      </c>
      <c r="C1037" t="n">
        <v>39460.44</v>
      </c>
      <c r="D1037" t="n">
        <v>5071.2</v>
      </c>
    </row>
    <row r="1038">
      <c r="A1038" t="n">
        <v>750</v>
      </c>
      <c r="B1038" t="n">
        <v>9260.41</v>
      </c>
      <c r="C1038" t="n">
        <v>57339.47</v>
      </c>
      <c r="D1038" t="n">
        <v>16684.22</v>
      </c>
    </row>
    <row r="1039">
      <c r="A1039" t="n">
        <v>841</v>
      </c>
      <c r="B1039" t="n">
        <v>2917.04</v>
      </c>
      <c r="C1039" t="n">
        <v>24756.65</v>
      </c>
      <c r="D1039" t="n">
        <v>11080.4</v>
      </c>
    </row>
    <row r="1040">
      <c r="A1040" t="n">
        <v>672</v>
      </c>
      <c r="B1040" t="n">
        <v>21002.13</v>
      </c>
      <c r="C1040" t="n">
        <v>46813.67</v>
      </c>
      <c r="D1040" t="n">
        <v>14869.75</v>
      </c>
    </row>
    <row r="1041">
      <c r="A1041" t="n">
        <v>769</v>
      </c>
      <c r="B1041" t="n">
        <v>7974</v>
      </c>
      <c r="C1041" t="n">
        <v>22096.07</v>
      </c>
      <c r="D1041" t="n">
        <v>10500.61</v>
      </c>
    </row>
    <row r="1042">
      <c r="A1042" t="n">
        <v>673</v>
      </c>
      <c r="B1042" t="n">
        <v>7446</v>
      </c>
      <c r="C1042" t="n">
        <v>24654.4</v>
      </c>
      <c r="D1042" t="n">
        <v>16417.34</v>
      </c>
    </row>
    <row r="1043">
      <c r="A1043" t="n">
        <v>701</v>
      </c>
      <c r="B1043" t="n">
        <v>15780.84</v>
      </c>
      <c r="C1043" t="n">
        <v>16852.69</v>
      </c>
      <c r="D1043" t="n">
        <v>7974</v>
      </c>
    </row>
    <row r="1044">
      <c r="A1044" t="n">
        <v>763</v>
      </c>
      <c r="B1044" t="n">
        <v>11174</v>
      </c>
      <c r="C1044" t="n">
        <v>25280.95</v>
      </c>
      <c r="D1044" t="n">
        <v>7446</v>
      </c>
    </row>
    <row r="1045">
      <c r="A1045" t="n">
        <v>719</v>
      </c>
      <c r="B1045" t="n">
        <v>18148.68</v>
      </c>
      <c r="C1045" t="n">
        <v>49131.02</v>
      </c>
      <c r="D1045" t="n">
        <v>5295.89</v>
      </c>
    </row>
    <row r="1046">
      <c r="A1046" t="n">
        <v>728</v>
      </c>
      <c r="B1046" t="n">
        <v>7468.51</v>
      </c>
      <c r="C1046" t="n">
        <v>57961.55</v>
      </c>
      <c r="D1046" t="n">
        <v>9423.459999999999</v>
      </c>
    </row>
    <row r="1047">
      <c r="A1047" t="n">
        <v>610</v>
      </c>
      <c r="B1047" t="n">
        <v>10141.71</v>
      </c>
      <c r="C1047" t="n">
        <v>47347.74</v>
      </c>
      <c r="D1047" t="n">
        <v>7233.76</v>
      </c>
    </row>
    <row r="1048">
      <c r="A1048" t="n">
        <v>678</v>
      </c>
      <c r="B1048" t="n">
        <v>13538.9</v>
      </c>
      <c r="C1048" t="n">
        <v>19212.38</v>
      </c>
      <c r="D1048" t="n">
        <v>13567.95</v>
      </c>
    </row>
    <row r="1049">
      <c r="A1049" t="n">
        <v>596</v>
      </c>
      <c r="B1049" t="n">
        <v>21903.08</v>
      </c>
      <c r="C1049" t="n">
        <v>20659.66</v>
      </c>
      <c r="D1049" t="n">
        <v>10900.18</v>
      </c>
    </row>
    <row r="1050">
      <c r="A1050" t="n">
        <v>700</v>
      </c>
      <c r="B1050" t="n">
        <v>16609.54</v>
      </c>
      <c r="C1050" t="n">
        <v>26045.82</v>
      </c>
      <c r="D1050" t="n">
        <v>19608.64</v>
      </c>
    </row>
    <row r="1051">
      <c r="A1051" t="n">
        <v>633</v>
      </c>
      <c r="B1051" t="n">
        <v>0</v>
      </c>
      <c r="C1051" t="n">
        <v>11455.98</v>
      </c>
      <c r="D1051" t="n">
        <v>10141.71</v>
      </c>
    </row>
    <row r="1052">
      <c r="A1052" t="n">
        <v>669</v>
      </c>
      <c r="B1052" t="n">
        <v>20765.55</v>
      </c>
      <c r="C1052" t="n">
        <v>24283.94</v>
      </c>
      <c r="D1052" t="n">
        <v>13538.9</v>
      </c>
    </row>
    <row r="1053">
      <c r="A1053" t="n">
        <v>707</v>
      </c>
      <c r="B1053" t="n">
        <v>9026.09</v>
      </c>
      <c r="C1053" t="n">
        <v>34415.44</v>
      </c>
      <c r="D1053" t="n">
        <v>15957.56</v>
      </c>
    </row>
    <row r="1054">
      <c r="A1054" t="n">
        <v>787</v>
      </c>
      <c r="B1054" t="n">
        <v>6102.82</v>
      </c>
      <c r="C1054" t="n">
        <v>49117.36</v>
      </c>
      <c r="D1054" t="n">
        <v>9382.959999999999</v>
      </c>
    </row>
    <row r="1055">
      <c r="A1055" t="n">
        <v>669</v>
      </c>
      <c r="B1055" t="n">
        <v>26400.18</v>
      </c>
      <c r="C1055" t="n">
        <v>33877.15</v>
      </c>
      <c r="D1055" t="n">
        <v>926.23</v>
      </c>
    </row>
    <row r="1056">
      <c r="A1056" t="n">
        <v>790</v>
      </c>
      <c r="B1056" t="n">
        <v>9067.870000000001</v>
      </c>
      <c r="C1056" t="n">
        <v>55243.59</v>
      </c>
      <c r="D1056" t="n">
        <v>8135.35</v>
      </c>
    </row>
    <row r="1057">
      <c r="A1057" t="n">
        <v>718</v>
      </c>
      <c r="B1057" t="n">
        <v>3198.98</v>
      </c>
      <c r="C1057" t="n">
        <v>10907.77</v>
      </c>
      <c r="D1057" t="n">
        <v>20765.55</v>
      </c>
    </row>
    <row r="1058">
      <c r="A1058" t="n">
        <v>728</v>
      </c>
      <c r="B1058" t="n">
        <v>10508.87</v>
      </c>
      <c r="C1058" t="n">
        <v>21844.81</v>
      </c>
      <c r="D1058" t="n">
        <v>16240.83</v>
      </c>
    </row>
    <row r="1059">
      <c r="A1059" t="n">
        <v>653</v>
      </c>
      <c r="B1059" t="n">
        <v>17684.83</v>
      </c>
      <c r="C1059" t="n">
        <v>22523.48</v>
      </c>
      <c r="D1059" t="n">
        <v>4311.5</v>
      </c>
    </row>
    <row r="1060">
      <c r="A1060" t="n">
        <v>715</v>
      </c>
      <c r="B1060" t="n">
        <v>12429.77</v>
      </c>
      <c r="C1060" t="n">
        <v>21164.23</v>
      </c>
      <c r="D1060" t="n">
        <v>1815.45</v>
      </c>
    </row>
    <row r="1061">
      <c r="A1061" t="n">
        <v>629</v>
      </c>
      <c r="B1061" t="n">
        <v>16470.62</v>
      </c>
      <c r="C1061" t="n">
        <v>50063.94</v>
      </c>
      <c r="D1061" t="n">
        <v>21163.54</v>
      </c>
    </row>
    <row r="1062">
      <c r="A1062" t="n">
        <v>637</v>
      </c>
      <c r="B1062" t="n">
        <v>21218.16</v>
      </c>
      <c r="C1062" t="n">
        <v>26018.94</v>
      </c>
      <c r="D1062" t="n">
        <v>21030.26</v>
      </c>
    </row>
    <row r="1063">
      <c r="A1063" t="n">
        <v>801</v>
      </c>
      <c r="B1063" t="n">
        <v>6398.69</v>
      </c>
      <c r="C1063" t="n">
        <v>31828.65</v>
      </c>
      <c r="D1063" t="n">
        <v>17684.83</v>
      </c>
    </row>
    <row r="1064">
      <c r="A1064" t="n">
        <v>729</v>
      </c>
      <c r="B1064" t="n">
        <v>8636.98</v>
      </c>
      <c r="C1064" t="n">
        <v>59078.4</v>
      </c>
      <c r="D1064" t="n">
        <v>0</v>
      </c>
    </row>
    <row r="1065">
      <c r="A1065" t="n">
        <v>705</v>
      </c>
      <c r="B1065" t="n">
        <v>7756.6</v>
      </c>
      <c r="C1065" t="n">
        <v>14545.42</v>
      </c>
      <c r="D1065" t="n">
        <v>18954.69</v>
      </c>
    </row>
    <row r="1066">
      <c r="A1066" t="n">
        <v>727</v>
      </c>
      <c r="B1066" t="n">
        <v>15567.96</v>
      </c>
      <c r="C1066" t="n">
        <v>47216.61</v>
      </c>
      <c r="D1066" t="n">
        <v>11850.3</v>
      </c>
    </row>
    <row r="1067">
      <c r="A1067" t="n">
        <v>569</v>
      </c>
      <c r="B1067" t="n">
        <v>16784.99</v>
      </c>
      <c r="C1067" t="n">
        <v>34264.28</v>
      </c>
      <c r="D1067" t="n">
        <v>16470.62</v>
      </c>
    </row>
    <row r="1068">
      <c r="A1068" t="n">
        <v>760</v>
      </c>
      <c r="B1068" t="n">
        <v>11665.35</v>
      </c>
      <c r="C1068" t="n">
        <v>21306.27</v>
      </c>
      <c r="D1068" t="n">
        <v>17937.6</v>
      </c>
    </row>
    <row r="1069">
      <c r="A1069" t="n">
        <v>690</v>
      </c>
      <c r="B1069" t="n">
        <v>7676.53</v>
      </c>
      <c r="C1069" t="n">
        <v>49328.21</v>
      </c>
      <c r="D1069" t="n">
        <v>6398.69</v>
      </c>
    </row>
    <row r="1070">
      <c r="A1070" t="n">
        <v>692</v>
      </c>
      <c r="B1070" t="n">
        <v>8768.290000000001</v>
      </c>
      <c r="C1070" t="n">
        <v>32343.46</v>
      </c>
      <c r="D1070" t="n">
        <v>5115.55</v>
      </c>
    </row>
    <row r="1071">
      <c r="A1071" t="n">
        <v>750</v>
      </c>
      <c r="B1071" t="n">
        <v>8184.58</v>
      </c>
      <c r="C1071" t="n">
        <v>13637.47</v>
      </c>
      <c r="D1071" t="n">
        <v>22413.48</v>
      </c>
    </row>
    <row r="1072">
      <c r="A1072" t="n">
        <v>697</v>
      </c>
      <c r="B1072" t="n">
        <v>16613.91</v>
      </c>
      <c r="C1072" t="n">
        <v>10764.78</v>
      </c>
      <c r="D1072" t="n">
        <v>26612.95</v>
      </c>
    </row>
    <row r="1073">
      <c r="A1073" t="n">
        <v>730</v>
      </c>
      <c r="B1073" t="n">
        <v>0</v>
      </c>
      <c r="C1073" t="n">
        <v>13293.43</v>
      </c>
      <c r="D1073" t="n">
        <v>2858.45</v>
      </c>
    </row>
    <row r="1074">
      <c r="A1074" t="n">
        <v>647</v>
      </c>
      <c r="B1074" t="n">
        <v>20583.49</v>
      </c>
      <c r="C1074" t="n">
        <v>39038.37</v>
      </c>
      <c r="D1074" t="n">
        <v>6969.89</v>
      </c>
    </row>
    <row r="1075">
      <c r="A1075" t="n">
        <v>742</v>
      </c>
      <c r="B1075" t="n">
        <v>8129.6</v>
      </c>
      <c r="C1075" t="n">
        <v>5315.18</v>
      </c>
      <c r="D1075" t="n">
        <v>15567.96</v>
      </c>
    </row>
    <row r="1076">
      <c r="A1076" t="n">
        <v>779</v>
      </c>
      <c r="B1076" t="n">
        <v>8685.32</v>
      </c>
      <c r="C1076" t="n">
        <v>24342.34</v>
      </c>
      <c r="D1076" t="n">
        <v>16784.99</v>
      </c>
    </row>
    <row r="1077">
      <c r="A1077" t="n">
        <v>661</v>
      </c>
      <c r="B1077" t="n">
        <v>7546.47</v>
      </c>
      <c r="C1077" t="n">
        <v>21058.33</v>
      </c>
      <c r="D1077" t="n">
        <v>12295.04</v>
      </c>
    </row>
    <row r="1078">
      <c r="A1078" t="n">
        <v>694</v>
      </c>
      <c r="B1078" t="n">
        <v>15003.88</v>
      </c>
      <c r="C1078" t="n">
        <v>42185.71</v>
      </c>
      <c r="D1078" t="n">
        <v>7987.03</v>
      </c>
    </row>
    <row r="1079">
      <c r="A1079" t="n">
        <v>751</v>
      </c>
      <c r="B1079" t="n">
        <v>9111.6</v>
      </c>
      <c r="C1079" t="n">
        <v>45184.85</v>
      </c>
      <c r="D1079" t="n">
        <v>5887.22</v>
      </c>
    </row>
    <row r="1080">
      <c r="A1080" t="n">
        <v>653</v>
      </c>
      <c r="B1080" t="n">
        <v>20247.98</v>
      </c>
      <c r="C1080" t="n">
        <v>18613.13</v>
      </c>
      <c r="D1080" t="n">
        <v>6717.77</v>
      </c>
    </row>
    <row r="1081">
      <c r="A1081" t="n">
        <v>658</v>
      </c>
      <c r="B1081" t="n">
        <v>10976.48</v>
      </c>
      <c r="C1081" t="n">
        <v>32794.41</v>
      </c>
      <c r="D1081" t="n">
        <v>13435.94</v>
      </c>
    </row>
    <row r="1082">
      <c r="A1082" t="n">
        <v>748</v>
      </c>
      <c r="B1082" t="n">
        <v>16983.31</v>
      </c>
      <c r="C1082" t="n">
        <v>31775</v>
      </c>
      <c r="D1082" t="n">
        <v>11892.32</v>
      </c>
    </row>
    <row r="1083">
      <c r="A1083" t="n">
        <v>761</v>
      </c>
      <c r="B1083" t="n">
        <v>2260.9</v>
      </c>
      <c r="C1083" t="n">
        <v>7387.82</v>
      </c>
      <c r="D1083" t="n">
        <v>15674.6</v>
      </c>
    </row>
    <row r="1084">
      <c r="A1084" t="n">
        <v>615</v>
      </c>
      <c r="B1084" t="n">
        <v>20273.34</v>
      </c>
      <c r="C1084" t="n">
        <v>25561.77</v>
      </c>
      <c r="D1084" t="n">
        <v>7546.47</v>
      </c>
    </row>
    <row r="1085">
      <c r="A1085" t="n">
        <v>758</v>
      </c>
      <c r="B1085" t="n">
        <v>9201.9</v>
      </c>
      <c r="C1085" t="n">
        <v>51329.48</v>
      </c>
      <c r="D1085" t="n">
        <v>8874.67</v>
      </c>
    </row>
    <row r="1086">
      <c r="A1086" t="n">
        <v>708</v>
      </c>
      <c r="B1086" t="n">
        <v>5280.73</v>
      </c>
      <c r="C1086" t="n">
        <v>16186.26</v>
      </c>
      <c r="D1086" t="n">
        <v>9111.6</v>
      </c>
    </row>
    <row r="1087">
      <c r="A1087" t="n">
        <v>691</v>
      </c>
      <c r="B1087" t="n">
        <v>16345</v>
      </c>
      <c r="C1087" t="n">
        <v>55206.95</v>
      </c>
      <c r="D1087" t="n">
        <v>12943.37</v>
      </c>
    </row>
    <row r="1088">
      <c r="A1088" t="n">
        <v>739</v>
      </c>
      <c r="B1088" t="n">
        <v>8789.82</v>
      </c>
      <c r="C1088" t="n">
        <v>15334.79</v>
      </c>
      <c r="D1088" t="n">
        <v>16983.31</v>
      </c>
    </row>
    <row r="1089">
      <c r="A1089" t="n">
        <v>600</v>
      </c>
      <c r="B1089" t="n">
        <v>22723.74</v>
      </c>
      <c r="C1089" t="n">
        <v>52612.63</v>
      </c>
      <c r="D1089" t="n">
        <v>1616.23</v>
      </c>
    </row>
    <row r="1090">
      <c r="A1090" t="n">
        <v>673</v>
      </c>
      <c r="B1090" t="n">
        <v>15370.35</v>
      </c>
      <c r="C1090" t="n">
        <v>10452.28</v>
      </c>
      <c r="D1090" t="n">
        <v>2260.9</v>
      </c>
    </row>
    <row r="1091">
      <c r="A1091" t="n">
        <v>684</v>
      </c>
      <c r="B1091" t="n">
        <v>13871.3</v>
      </c>
      <c r="C1091" t="n">
        <v>44593.92</v>
      </c>
      <c r="D1091" t="n">
        <v>22522.02</v>
      </c>
    </row>
    <row r="1092">
      <c r="A1092" t="n">
        <v>748</v>
      </c>
      <c r="B1092" t="n">
        <v>4704.04</v>
      </c>
      <c r="C1092" t="n">
        <v>43331.61</v>
      </c>
      <c r="D1092" t="n">
        <v>13193.82</v>
      </c>
    </row>
    <row r="1093">
      <c r="A1093" t="n">
        <v>760</v>
      </c>
      <c r="B1093" t="n">
        <v>17106.42</v>
      </c>
      <c r="C1093" t="n">
        <v>42423.14</v>
      </c>
      <c r="D1093" t="n">
        <v>20244.96</v>
      </c>
    </row>
    <row r="1094">
      <c r="A1094" t="n">
        <v>668</v>
      </c>
      <c r="B1094" t="n">
        <v>11337.62</v>
      </c>
      <c r="C1094" t="n">
        <v>44414.72</v>
      </c>
      <c r="D1094" t="n">
        <v>5280.73</v>
      </c>
    </row>
    <row r="1095">
      <c r="A1095" t="n">
        <v>687</v>
      </c>
      <c r="B1095" t="n">
        <v>17828.59</v>
      </c>
      <c r="C1095" t="n">
        <v>41255.09</v>
      </c>
      <c r="D1095" t="n">
        <v>17870.18</v>
      </c>
    </row>
    <row r="1096">
      <c r="A1096" t="n">
        <v>657</v>
      </c>
      <c r="B1096" t="n">
        <v>22423.31</v>
      </c>
      <c r="C1096" t="n">
        <v>21707.27</v>
      </c>
      <c r="D1096" t="n">
        <v>16345</v>
      </c>
    </row>
    <row r="1097">
      <c r="A1097" t="n">
        <v>614</v>
      </c>
      <c r="B1097" t="n">
        <v>29814.81</v>
      </c>
      <c r="C1097" t="n">
        <v>57174.35</v>
      </c>
      <c r="D1097" t="n">
        <v>22723.74</v>
      </c>
    </row>
    <row r="1098">
      <c r="A1098" t="n">
        <v>734</v>
      </c>
      <c r="B1098" t="n">
        <v>7405.87</v>
      </c>
      <c r="C1098" t="n">
        <v>51903.45</v>
      </c>
      <c r="D1098" t="n">
        <v>15370.35</v>
      </c>
    </row>
    <row r="1099">
      <c r="A1099" t="n">
        <v>728</v>
      </c>
      <c r="B1099" t="n">
        <v>13640.07</v>
      </c>
      <c r="C1099" t="n">
        <v>55517.09</v>
      </c>
      <c r="D1099" t="n">
        <v>12428.8</v>
      </c>
    </row>
    <row r="1100">
      <c r="A1100" t="n">
        <v>698</v>
      </c>
      <c r="B1100" t="n">
        <v>17396.84</v>
      </c>
      <c r="C1100" t="n">
        <v>11412.18</v>
      </c>
      <c r="D1100" t="n">
        <v>13871.3</v>
      </c>
    </row>
    <row r="1101">
      <c r="A1101" t="n">
        <v>653</v>
      </c>
      <c r="B1101" t="n">
        <v>18620.74</v>
      </c>
      <c r="C1101" t="n">
        <v>9506.610000000001</v>
      </c>
      <c r="D1101" t="n">
        <v>17106.42</v>
      </c>
    </row>
    <row r="1102">
      <c r="A1102" t="n">
        <v>628</v>
      </c>
      <c r="B1102" t="n">
        <v>13367.38</v>
      </c>
      <c r="C1102" t="n">
        <v>46840.96</v>
      </c>
      <c r="D1102" t="n">
        <v>11337.62</v>
      </c>
    </row>
    <row r="1103">
      <c r="A1103" t="n">
        <v>642</v>
      </c>
      <c r="B1103" t="n">
        <v>11515.84</v>
      </c>
      <c r="C1103" t="n">
        <v>59916.81</v>
      </c>
      <c r="D1103" t="n">
        <v>7036.42</v>
      </c>
    </row>
    <row r="1104">
      <c r="A1104" t="n">
        <v>689</v>
      </c>
      <c r="B1104" t="n">
        <v>9516.629999999999</v>
      </c>
      <c r="C1104" t="n">
        <v>32722.3</v>
      </c>
      <c r="D1104" t="n">
        <v>21902.33</v>
      </c>
    </row>
    <row r="1105">
      <c r="A1105" t="n">
        <v>755</v>
      </c>
      <c r="B1105" t="n">
        <v>7443.77</v>
      </c>
      <c r="C1105" t="n">
        <v>19534.79</v>
      </c>
      <c r="D1105" t="n">
        <v>13174.42</v>
      </c>
    </row>
    <row r="1106">
      <c r="A1106" t="n">
        <v>761</v>
      </c>
      <c r="B1106" t="n">
        <v>13841.35</v>
      </c>
      <c r="C1106" t="n">
        <v>11983.11</v>
      </c>
      <c r="D1106" t="n">
        <v>20169.42</v>
      </c>
    </row>
    <row r="1107">
      <c r="A1107" t="n">
        <v>704</v>
      </c>
      <c r="B1107" t="n">
        <v>13600.85</v>
      </c>
      <c r="C1107" t="n">
        <v>52614.31</v>
      </c>
      <c r="D1107" t="n">
        <v>7405.87</v>
      </c>
    </row>
    <row r="1108">
      <c r="A1108" t="n">
        <v>672</v>
      </c>
      <c r="B1108" t="n">
        <v>11178.68</v>
      </c>
      <c r="C1108" t="n">
        <v>41538.42</v>
      </c>
      <c r="D1108" t="n">
        <v>4497.22</v>
      </c>
    </row>
    <row r="1109">
      <c r="A1109" t="n">
        <v>696</v>
      </c>
      <c r="B1109" t="n">
        <v>7626.89</v>
      </c>
      <c r="C1109" t="n">
        <v>43108.62</v>
      </c>
      <c r="D1109" t="n">
        <v>9191.059999999999</v>
      </c>
    </row>
    <row r="1110">
      <c r="A1110" t="n">
        <v>688</v>
      </c>
      <c r="B1110" t="n">
        <v>13866.21</v>
      </c>
      <c r="C1110" t="n">
        <v>13320.01</v>
      </c>
      <c r="D1110" t="n">
        <v>5476.43</v>
      </c>
    </row>
    <row r="1111">
      <c r="A1111" t="n">
        <v>671</v>
      </c>
      <c r="B1111" t="n">
        <v>17301.71</v>
      </c>
      <c r="C1111" t="n">
        <v>53448.21</v>
      </c>
      <c r="D1111" t="n">
        <v>9357.709999999999</v>
      </c>
    </row>
    <row r="1112">
      <c r="A1112" t="n">
        <v>685</v>
      </c>
      <c r="B1112" t="n">
        <v>15878.89</v>
      </c>
      <c r="C1112" t="n">
        <v>44602.88</v>
      </c>
      <c r="D1112" t="n">
        <v>11821.44</v>
      </c>
    </row>
    <row r="1113">
      <c r="A1113" t="n">
        <v>627</v>
      </c>
      <c r="B1113" t="n">
        <v>28242.76</v>
      </c>
      <c r="C1113" t="n">
        <v>57263.16</v>
      </c>
      <c r="D1113" t="n">
        <v>13841.35</v>
      </c>
    </row>
    <row r="1114">
      <c r="A1114" t="n">
        <v>610</v>
      </c>
      <c r="B1114" t="n">
        <v>19975.12</v>
      </c>
      <c r="C1114" t="n">
        <v>56986.51</v>
      </c>
      <c r="D1114" t="n">
        <v>11877.58</v>
      </c>
    </row>
    <row r="1115">
      <c r="A1115" t="n">
        <v>714</v>
      </c>
      <c r="B1115" t="n">
        <v>9244.040000000001</v>
      </c>
      <c r="C1115" t="n">
        <v>34496.27</v>
      </c>
      <c r="D1115" t="n">
        <v>9653.120000000001</v>
      </c>
    </row>
    <row r="1116">
      <c r="A1116" t="n">
        <v>646</v>
      </c>
      <c r="B1116" t="n">
        <v>13625.66</v>
      </c>
      <c r="C1116" t="n">
        <v>51696</v>
      </c>
      <c r="D1116" t="n">
        <v>13866.21</v>
      </c>
    </row>
    <row r="1117">
      <c r="A1117" t="n">
        <v>725</v>
      </c>
      <c r="B1117" t="n">
        <v>9415.75</v>
      </c>
      <c r="C1117" t="n">
        <v>49127.64</v>
      </c>
      <c r="D1117" t="n">
        <v>17301.71</v>
      </c>
    </row>
    <row r="1118">
      <c r="A1118" t="n">
        <v>715</v>
      </c>
      <c r="B1118" t="n">
        <v>6498.49</v>
      </c>
      <c r="C1118" t="n">
        <v>12547.26</v>
      </c>
      <c r="D1118" t="n">
        <v>6305.53</v>
      </c>
    </row>
    <row r="1119">
      <c r="A1119" t="n">
        <v>670</v>
      </c>
      <c r="B1119" t="n">
        <v>19920.39</v>
      </c>
      <c r="C1119" t="n">
        <v>24343.51</v>
      </c>
      <c r="D1119" t="n">
        <v>13593.81</v>
      </c>
    </row>
    <row r="1120">
      <c r="A1120" t="n">
        <v>708</v>
      </c>
      <c r="B1120" t="n">
        <v>13920.75</v>
      </c>
      <c r="C1120" t="n">
        <v>18389.15</v>
      </c>
      <c r="D1120" t="n">
        <v>8734.43</v>
      </c>
    </row>
    <row r="1121">
      <c r="A1121" t="n">
        <v>682</v>
      </c>
      <c r="B1121" t="n">
        <v>19463.14</v>
      </c>
      <c r="C1121" t="n">
        <v>14711.73</v>
      </c>
      <c r="D1121" t="n">
        <v>11926.52</v>
      </c>
    </row>
    <row r="1122">
      <c r="A1122" t="n">
        <v>623</v>
      </c>
      <c r="B1122" t="n">
        <v>12125.38</v>
      </c>
      <c r="C1122" t="n">
        <v>35971.21</v>
      </c>
      <c r="D1122" t="n">
        <v>6429.3</v>
      </c>
    </row>
    <row r="1123">
      <c r="A1123" t="n">
        <v>738</v>
      </c>
      <c r="B1123" t="n">
        <v>6199.31</v>
      </c>
      <c r="C1123" t="n">
        <v>50627.66</v>
      </c>
      <c r="D1123" t="n">
        <v>10918.38</v>
      </c>
    </row>
    <row r="1124">
      <c r="A1124" t="n">
        <v>669</v>
      </c>
      <c r="B1124" t="n">
        <v>10919.09</v>
      </c>
      <c r="C1124" t="n">
        <v>15592.1</v>
      </c>
      <c r="D1124" t="n">
        <v>2394.81</v>
      </c>
    </row>
    <row r="1125">
      <c r="A1125" t="n">
        <v>669</v>
      </c>
      <c r="B1125" t="n">
        <v>27371.08</v>
      </c>
      <c r="C1125" t="n">
        <v>42069.47</v>
      </c>
      <c r="D1125" t="n">
        <v>6931.99</v>
      </c>
    </row>
    <row r="1126">
      <c r="A1126" t="n">
        <v>714</v>
      </c>
      <c r="B1126" t="n">
        <v>18754.68</v>
      </c>
      <c r="C1126" t="n">
        <v>11847.43</v>
      </c>
      <c r="D1126" t="n">
        <v>12125.38</v>
      </c>
    </row>
    <row r="1127">
      <c r="A1127" t="n">
        <v>664</v>
      </c>
      <c r="B1127" t="n">
        <v>5493.3</v>
      </c>
      <c r="C1127" t="n">
        <v>52248.7</v>
      </c>
      <c r="D1127" t="n">
        <v>10919.09</v>
      </c>
    </row>
    <row r="1128">
      <c r="A1128" t="n">
        <v>715</v>
      </c>
      <c r="B1128" t="n">
        <v>13830.44</v>
      </c>
      <c r="C1128" t="n">
        <v>41944.05</v>
      </c>
      <c r="D1128" t="n">
        <v>5493.3</v>
      </c>
    </row>
    <row r="1129">
      <c r="A1129" t="n">
        <v>744</v>
      </c>
      <c r="B1129" t="n">
        <v>8609.92</v>
      </c>
      <c r="C1129" t="n">
        <v>31561.19</v>
      </c>
      <c r="D1129" t="n">
        <v>12410.86</v>
      </c>
    </row>
    <row r="1130">
      <c r="A1130" t="n">
        <v>661</v>
      </c>
      <c r="B1130" t="n">
        <v>10060.95</v>
      </c>
      <c r="C1130" t="n">
        <v>27133.62</v>
      </c>
      <c r="D1130" t="n">
        <v>13830.44</v>
      </c>
    </row>
    <row r="1131">
      <c r="A1131" t="n">
        <v>711</v>
      </c>
      <c r="B1131" t="n">
        <v>8187.32</v>
      </c>
      <c r="C1131" t="n">
        <v>38088.66</v>
      </c>
      <c r="D1131" t="n">
        <v>4940.95</v>
      </c>
    </row>
    <row r="1132">
      <c r="A1132" t="n">
        <v>619</v>
      </c>
      <c r="B1132" t="n">
        <v>16896.5</v>
      </c>
      <c r="C1132" t="n">
        <v>5493.21</v>
      </c>
      <c r="D1132" t="n">
        <v>0</v>
      </c>
    </row>
    <row r="1133">
      <c r="A1133" t="n">
        <v>754</v>
      </c>
      <c r="B1133" t="n">
        <v>8247</v>
      </c>
      <c r="C1133" t="n">
        <v>32066.69</v>
      </c>
      <c r="D1133" t="n">
        <v>13061.04</v>
      </c>
    </row>
    <row r="1134">
      <c r="A1134" t="n">
        <v>758</v>
      </c>
      <c r="B1134" t="n">
        <v>9615.379999999999</v>
      </c>
      <c r="C1134" t="n">
        <v>30338.52</v>
      </c>
      <c r="D1134" t="n">
        <v>10384.49</v>
      </c>
    </row>
    <row r="1135">
      <c r="A1135" t="n">
        <v>671</v>
      </c>
      <c r="B1135" t="n">
        <v>6984.84</v>
      </c>
      <c r="C1135" t="n">
        <v>19587.59</v>
      </c>
      <c r="D1135" t="n">
        <v>19073.68</v>
      </c>
    </row>
    <row r="1136">
      <c r="A1136" t="n">
        <v>723</v>
      </c>
      <c r="B1136" t="n">
        <v>10849.7</v>
      </c>
      <c r="C1136" t="n">
        <v>9491.08</v>
      </c>
      <c r="D1136" t="n">
        <v>37944.23</v>
      </c>
    </row>
    <row r="1137">
      <c r="A1137" t="n">
        <v>698</v>
      </c>
      <c r="B1137" t="n">
        <v>15326.46</v>
      </c>
      <c r="C1137" t="n">
        <v>33615.6</v>
      </c>
      <c r="D1137" t="n">
        <v>12953.44</v>
      </c>
    </row>
    <row r="1138">
      <c r="A1138" t="n">
        <v>720</v>
      </c>
      <c r="B1138" t="n">
        <v>10383.8</v>
      </c>
      <c r="C1138" t="n">
        <v>39820.23</v>
      </c>
      <c r="D1138" t="n">
        <v>14653.75</v>
      </c>
    </row>
    <row r="1139">
      <c r="A1139" t="n">
        <v>637</v>
      </c>
      <c r="B1139" t="n">
        <v>1132.9</v>
      </c>
      <c r="C1139" t="n">
        <v>45633.68</v>
      </c>
      <c r="D1139" t="n">
        <v>9615.379999999999</v>
      </c>
    </row>
    <row r="1140">
      <c r="A1140" t="n">
        <v>658</v>
      </c>
      <c r="B1140" t="n">
        <v>23214.95</v>
      </c>
      <c r="C1140" t="n">
        <v>54060.64</v>
      </c>
      <c r="D1140" t="n">
        <v>9779.24</v>
      </c>
    </row>
    <row r="1141">
      <c r="A1141" t="n">
        <v>618</v>
      </c>
      <c r="B1141" t="n">
        <v>18562.02</v>
      </c>
      <c r="C1141" t="n">
        <v>51554.81</v>
      </c>
      <c r="D1141" t="n">
        <v>8163.12</v>
      </c>
    </row>
    <row r="1142">
      <c r="A1142" t="n">
        <v>752</v>
      </c>
      <c r="B1142" t="n">
        <v>7861.35</v>
      </c>
      <c r="C1142" t="n">
        <v>50964.85</v>
      </c>
      <c r="D1142" t="n">
        <v>10383.8</v>
      </c>
    </row>
    <row r="1143">
      <c r="A1143" t="n">
        <v>649</v>
      </c>
      <c r="B1143" t="n">
        <v>29339.99</v>
      </c>
      <c r="C1143" t="n">
        <v>56561.5</v>
      </c>
      <c r="D1143" t="n">
        <v>12690.45</v>
      </c>
    </row>
    <row r="1144">
      <c r="A1144" t="n">
        <v>598</v>
      </c>
      <c r="B1144" t="n">
        <v>8632.469999999999</v>
      </c>
      <c r="C1144" t="n">
        <v>30990.21</v>
      </c>
      <c r="D1144" t="n">
        <v>21320.65</v>
      </c>
    </row>
    <row r="1145">
      <c r="A1145" t="n">
        <v>732</v>
      </c>
      <c r="B1145" t="n">
        <v>3647.44</v>
      </c>
      <c r="C1145" t="n">
        <v>47703.71</v>
      </c>
      <c r="D1145" t="n">
        <v>1427.24</v>
      </c>
    </row>
    <row r="1146">
      <c r="A1146" t="n">
        <v>684</v>
      </c>
      <c r="B1146" t="n">
        <v>0</v>
      </c>
      <c r="C1146" t="n">
        <v>6536.04</v>
      </c>
      <c r="D1146" t="n">
        <v>15946.58</v>
      </c>
    </row>
    <row r="1147">
      <c r="A1147" t="n">
        <v>646</v>
      </c>
      <c r="B1147" t="n">
        <v>6986.5</v>
      </c>
      <c r="C1147" t="n">
        <v>16480.93</v>
      </c>
      <c r="D1147" t="n">
        <v>10320.77</v>
      </c>
    </row>
    <row r="1148">
      <c r="A1148" t="n">
        <v>760</v>
      </c>
      <c r="B1148" t="n">
        <v>9389.76</v>
      </c>
      <c r="C1148" t="n">
        <v>52724.27</v>
      </c>
      <c r="D1148" t="n">
        <v>8145.09</v>
      </c>
    </row>
    <row r="1149">
      <c r="A1149" t="n">
        <v>827</v>
      </c>
      <c r="B1149" t="n">
        <v>4172.08</v>
      </c>
      <c r="C1149" t="n">
        <v>35780.99</v>
      </c>
      <c r="D1149" t="n">
        <v>12078.21</v>
      </c>
    </row>
    <row r="1150">
      <c r="A1150" t="n">
        <v>671</v>
      </c>
      <c r="B1150" t="n">
        <v>15037.51</v>
      </c>
      <c r="C1150" t="n">
        <v>17402.23</v>
      </c>
      <c r="D1150" t="n">
        <v>0</v>
      </c>
    </row>
    <row r="1151">
      <c r="A1151" t="n">
        <v>740</v>
      </c>
      <c r="B1151" t="n">
        <v>6205.54</v>
      </c>
      <c r="C1151" t="n">
        <v>21697.74</v>
      </c>
      <c r="D1151" t="n">
        <v>18487.38</v>
      </c>
    </row>
    <row r="1152">
      <c r="A1152" t="n">
        <v>710</v>
      </c>
      <c r="B1152" t="n">
        <v>10392.36</v>
      </c>
      <c r="C1152" t="n">
        <v>57050.22</v>
      </c>
      <c r="D1152" t="n">
        <v>16635.31</v>
      </c>
    </row>
    <row r="1153">
      <c r="A1153" t="n">
        <v>839</v>
      </c>
      <c r="B1153" t="n">
        <v>520.84</v>
      </c>
      <c r="C1153" t="n">
        <v>31861.86</v>
      </c>
      <c r="D1153" t="n">
        <v>0</v>
      </c>
    </row>
    <row r="1154">
      <c r="A1154" t="n">
        <v>684</v>
      </c>
      <c r="B1154" t="n">
        <v>15492.8</v>
      </c>
      <c r="C1154" t="n">
        <v>54784.76</v>
      </c>
      <c r="D1154" t="n">
        <v>7598.86</v>
      </c>
    </row>
    <row r="1155">
      <c r="A1155" t="n">
        <v>688</v>
      </c>
      <c r="B1155" t="n">
        <v>10925.36</v>
      </c>
      <c r="C1155" t="n">
        <v>37917.27</v>
      </c>
      <c r="D1155" t="n">
        <v>5924</v>
      </c>
    </row>
    <row r="1156">
      <c r="A1156" t="n">
        <v>715</v>
      </c>
      <c r="B1156" t="n">
        <v>9121.25</v>
      </c>
      <c r="C1156" t="n">
        <v>53049.34</v>
      </c>
      <c r="D1156" t="n">
        <v>15037.51</v>
      </c>
    </row>
    <row r="1157">
      <c r="A1157" t="n">
        <v>695</v>
      </c>
      <c r="B1157" t="n">
        <v>15604.11</v>
      </c>
      <c r="C1157" t="n">
        <v>54713.34</v>
      </c>
      <c r="D1157" t="n">
        <v>10818.78</v>
      </c>
    </row>
    <row r="1158">
      <c r="A1158" t="n">
        <v>738</v>
      </c>
      <c r="B1158" t="n">
        <v>5666.89</v>
      </c>
      <c r="C1158" t="n">
        <v>27589.16</v>
      </c>
      <c r="D1158" t="n">
        <v>3616.86</v>
      </c>
    </row>
    <row r="1159">
      <c r="A1159" t="n">
        <v>656</v>
      </c>
      <c r="B1159" t="n">
        <v>19721.62</v>
      </c>
      <c r="C1159" t="n">
        <v>37629.17</v>
      </c>
      <c r="D1159" t="n">
        <v>17949.69</v>
      </c>
    </row>
    <row r="1160">
      <c r="A1160" t="n">
        <v>626</v>
      </c>
      <c r="B1160" t="n">
        <v>23320.3</v>
      </c>
      <c r="C1160" t="n">
        <v>33645</v>
      </c>
      <c r="D1160" t="n">
        <v>20248.78</v>
      </c>
    </row>
    <row r="1161">
      <c r="A1161" t="n">
        <v>615</v>
      </c>
      <c r="B1161" t="n">
        <v>20496.79</v>
      </c>
      <c r="C1161" t="n">
        <v>17362.15</v>
      </c>
      <c r="D1161" t="n">
        <v>6530.86</v>
      </c>
    </row>
    <row r="1162">
      <c r="A1162" t="n">
        <v>693</v>
      </c>
      <c r="B1162" t="n">
        <v>23337.56</v>
      </c>
      <c r="C1162" t="n">
        <v>58986.74</v>
      </c>
      <c r="D1162" t="n">
        <v>8810.280000000001</v>
      </c>
    </row>
    <row r="1163">
      <c r="A1163" t="n">
        <v>633</v>
      </c>
      <c r="B1163" t="n">
        <v>24634.26</v>
      </c>
      <c r="C1163" t="n">
        <v>53963.74</v>
      </c>
      <c r="D1163" t="n">
        <v>18926.02</v>
      </c>
    </row>
    <row r="1164">
      <c r="A1164" t="n">
        <v>720</v>
      </c>
      <c r="B1164" t="n">
        <v>10832.14</v>
      </c>
      <c r="C1164" t="n">
        <v>40922.08</v>
      </c>
      <c r="D1164" t="n">
        <v>12756.08</v>
      </c>
    </row>
    <row r="1165">
      <c r="A1165" t="n">
        <v>687</v>
      </c>
      <c r="B1165" t="n">
        <v>13580.66</v>
      </c>
      <c r="C1165" t="n">
        <v>37939.97</v>
      </c>
      <c r="D1165" t="n">
        <v>23337.56</v>
      </c>
    </row>
    <row r="1166">
      <c r="A1166" t="n">
        <v>600</v>
      </c>
      <c r="B1166" t="n">
        <v>18809.79</v>
      </c>
      <c r="C1166" t="n">
        <v>20027.83</v>
      </c>
      <c r="D1166" t="n">
        <v>4383.82</v>
      </c>
    </row>
    <row r="1167">
      <c r="A1167" t="n">
        <v>616</v>
      </c>
      <c r="B1167" t="n">
        <v>9555.41</v>
      </c>
      <c r="C1167" t="n">
        <v>11244.8</v>
      </c>
      <c r="D1167" t="n">
        <v>4922.73</v>
      </c>
    </row>
    <row r="1168">
      <c r="A1168" t="n">
        <v>633</v>
      </c>
      <c r="B1168" t="n">
        <v>14608.05</v>
      </c>
      <c r="C1168" t="n">
        <v>58570.76</v>
      </c>
      <c r="D1168" t="n">
        <v>3338.69</v>
      </c>
    </row>
    <row r="1169">
      <c r="A1169" t="n">
        <v>706</v>
      </c>
      <c r="B1169" t="n">
        <v>16099.15</v>
      </c>
      <c r="C1169" t="n">
        <v>29861.8</v>
      </c>
      <c r="D1169" t="n">
        <v>8367.57</v>
      </c>
    </row>
    <row r="1170">
      <c r="A1170" t="n">
        <v>711</v>
      </c>
      <c r="B1170" t="n">
        <v>17941.51</v>
      </c>
      <c r="C1170" t="n">
        <v>40276.18</v>
      </c>
      <c r="D1170" t="n">
        <v>6376.58</v>
      </c>
    </row>
    <row r="1171">
      <c r="A1171" t="n">
        <v>690</v>
      </c>
      <c r="B1171" t="n">
        <v>7639.79</v>
      </c>
      <c r="C1171" t="n">
        <v>46642.34</v>
      </c>
      <c r="D1171" t="n">
        <v>17096.9</v>
      </c>
    </row>
    <row r="1172">
      <c r="A1172" t="n">
        <v>720</v>
      </c>
      <c r="B1172" t="n">
        <v>9363.540000000001</v>
      </c>
      <c r="C1172" t="n">
        <v>57381.56</v>
      </c>
      <c r="D1172" t="n">
        <v>3723.68</v>
      </c>
    </row>
    <row r="1173">
      <c r="A1173" t="n">
        <v>691</v>
      </c>
      <c r="B1173" t="n">
        <v>13371.27</v>
      </c>
      <c r="C1173" t="n">
        <v>11245.06</v>
      </c>
      <c r="D1173" t="n">
        <v>22433.38</v>
      </c>
    </row>
    <row r="1174">
      <c r="A1174" t="n">
        <v>727</v>
      </c>
      <c r="B1174" t="n">
        <v>20224.29</v>
      </c>
      <c r="C1174" t="n">
        <v>19986.94</v>
      </c>
      <c r="D1174" t="n">
        <v>9437.709999999999</v>
      </c>
    </row>
    <row r="1175">
      <c r="A1175" t="n">
        <v>691</v>
      </c>
      <c r="B1175" t="n">
        <v>11318.14</v>
      </c>
      <c r="C1175" t="n">
        <v>58574.16</v>
      </c>
      <c r="D1175" t="n">
        <v>15765.32</v>
      </c>
    </row>
    <row r="1176">
      <c r="A1176" t="n">
        <v>696</v>
      </c>
      <c r="B1176" t="n">
        <v>13020.82</v>
      </c>
      <c r="C1176" t="n">
        <v>12310.76</v>
      </c>
      <c r="D1176" t="n">
        <v>3372.28</v>
      </c>
    </row>
    <row r="1177">
      <c r="A1177" t="n">
        <v>563</v>
      </c>
      <c r="B1177" t="n">
        <v>38140.5</v>
      </c>
      <c r="C1177" t="n">
        <v>40697.33</v>
      </c>
      <c r="D1177" t="n">
        <v>14540.21</v>
      </c>
    </row>
    <row r="1178">
      <c r="A1178" t="n">
        <v>653</v>
      </c>
      <c r="B1178" t="n">
        <v>14427.76</v>
      </c>
      <c r="C1178" t="n">
        <v>11799.59</v>
      </c>
      <c r="D1178" t="n">
        <v>26033.41</v>
      </c>
    </row>
    <row r="1179">
      <c r="A1179" t="n">
        <v>760</v>
      </c>
      <c r="B1179" t="n">
        <v>18511.09</v>
      </c>
      <c r="C1179" t="n">
        <v>14252.51</v>
      </c>
      <c r="D1179" t="n">
        <v>12084.87</v>
      </c>
    </row>
    <row r="1180">
      <c r="A1180" t="n">
        <v>696</v>
      </c>
      <c r="B1180" t="n">
        <v>14540.21</v>
      </c>
      <c r="C1180" t="n">
        <v>54267.78</v>
      </c>
      <c r="D1180" t="n">
        <v>4454.83</v>
      </c>
    </row>
    <row r="1181">
      <c r="A1181" t="n">
        <v>738</v>
      </c>
      <c r="B1181" t="n">
        <v>5296.82</v>
      </c>
      <c r="C1181" t="n">
        <v>8363.059999999999</v>
      </c>
      <c r="D1181" t="n">
        <v>16629.22</v>
      </c>
    </row>
    <row r="1182">
      <c r="A1182" t="n">
        <v>752</v>
      </c>
      <c r="B1182" t="n">
        <v>13907.95</v>
      </c>
      <c r="C1182" t="n">
        <v>5625.13</v>
      </c>
      <c r="D1182" t="n">
        <v>7167.53</v>
      </c>
    </row>
    <row r="1183">
      <c r="A1183" t="n">
        <v>761</v>
      </c>
      <c r="B1183" t="n">
        <v>0</v>
      </c>
      <c r="C1183" t="n">
        <v>15114.97</v>
      </c>
      <c r="D1183" t="n">
        <v>21686.25</v>
      </c>
    </row>
    <row r="1184">
      <c r="A1184" t="n">
        <v>719</v>
      </c>
      <c r="B1184" t="n">
        <v>10837.57</v>
      </c>
      <c r="C1184" t="n">
        <v>54128.64</v>
      </c>
      <c r="D1184" t="n">
        <v>17847.56</v>
      </c>
    </row>
    <row r="1185">
      <c r="A1185" t="n">
        <v>714</v>
      </c>
      <c r="B1185" t="n">
        <v>8282.65</v>
      </c>
      <c r="C1185" t="n">
        <v>58752.58</v>
      </c>
      <c r="D1185" t="n">
        <v>14670.31</v>
      </c>
    </row>
    <row r="1186">
      <c r="A1186" t="n">
        <v>753</v>
      </c>
      <c r="B1186" t="n">
        <v>1858.46</v>
      </c>
      <c r="C1186" t="n">
        <v>16598.56</v>
      </c>
      <c r="D1186" t="n">
        <v>16929.91</v>
      </c>
    </row>
    <row r="1187">
      <c r="A1187" t="n">
        <v>759</v>
      </c>
      <c r="B1187" t="n">
        <v>6182.96</v>
      </c>
      <c r="C1187" t="n">
        <v>29214.48</v>
      </c>
      <c r="D1187" t="n">
        <v>12439.66</v>
      </c>
    </row>
    <row r="1188">
      <c r="A1188" t="n">
        <v>728</v>
      </c>
      <c r="B1188" t="n">
        <v>16694.16</v>
      </c>
      <c r="C1188" t="n">
        <v>33094.06</v>
      </c>
      <c r="D1188" t="n">
        <v>6331.02</v>
      </c>
    </row>
    <row r="1189">
      <c r="A1189" t="n">
        <v>629</v>
      </c>
      <c r="B1189" t="n">
        <v>30732.19</v>
      </c>
      <c r="C1189" t="n">
        <v>19049.21</v>
      </c>
      <c r="D1189" t="n">
        <v>17850.63</v>
      </c>
    </row>
    <row r="1190">
      <c r="A1190" t="n">
        <v>640</v>
      </c>
      <c r="B1190" t="n">
        <v>22502.46</v>
      </c>
      <c r="C1190" t="n">
        <v>50051.25</v>
      </c>
      <c r="D1190" t="n">
        <v>27380.73</v>
      </c>
    </row>
    <row r="1191">
      <c r="A1191" t="n">
        <v>767</v>
      </c>
      <c r="B1191" t="n">
        <v>3275.53</v>
      </c>
      <c r="C1191" t="n">
        <v>30460.31</v>
      </c>
      <c r="D1191" t="n">
        <v>12736.58</v>
      </c>
    </row>
    <row r="1192">
      <c r="A1192" t="n">
        <v>751</v>
      </c>
      <c r="B1192" t="n">
        <v>5808.08</v>
      </c>
      <c r="C1192" t="n">
        <v>11380.57</v>
      </c>
      <c r="D1192" t="n">
        <v>1858.46</v>
      </c>
    </row>
    <row r="1193">
      <c r="A1193" t="n">
        <v>661</v>
      </c>
      <c r="B1193" t="n">
        <v>7696.07</v>
      </c>
      <c r="C1193" t="n">
        <v>53191.68</v>
      </c>
      <c r="D1193" t="n">
        <v>11586.46</v>
      </c>
    </row>
    <row r="1194">
      <c r="A1194" t="n">
        <v>696</v>
      </c>
      <c r="B1194" t="n">
        <v>13095.84</v>
      </c>
      <c r="C1194" t="n">
        <v>43684.61</v>
      </c>
      <c r="D1194" t="n">
        <v>16926.72</v>
      </c>
    </row>
    <row r="1195">
      <c r="A1195" t="n">
        <v>720</v>
      </c>
      <c r="B1195" t="n">
        <v>5538.5</v>
      </c>
      <c r="C1195" t="n">
        <v>16207.46</v>
      </c>
      <c r="D1195" t="n">
        <v>17280.36</v>
      </c>
    </row>
    <row r="1196">
      <c r="A1196" t="n">
        <v>670</v>
      </c>
      <c r="B1196" t="n">
        <v>6242.78</v>
      </c>
      <c r="C1196" t="n">
        <v>44931.39</v>
      </c>
      <c r="D1196" t="n">
        <v>3139.23</v>
      </c>
    </row>
    <row r="1197">
      <c r="A1197" t="n">
        <v>685</v>
      </c>
      <c r="B1197" t="n">
        <v>20150.28</v>
      </c>
      <c r="C1197" t="n">
        <v>56442.9</v>
      </c>
      <c r="D1197" t="n">
        <v>15417.51</v>
      </c>
    </row>
    <row r="1198">
      <c r="A1198" t="n">
        <v>632</v>
      </c>
      <c r="B1198" t="n">
        <v>26518.45</v>
      </c>
      <c r="C1198" t="n">
        <v>20417.11</v>
      </c>
      <c r="D1198" t="n">
        <v>22502.46</v>
      </c>
    </row>
    <row r="1199">
      <c r="A1199" t="n">
        <v>781</v>
      </c>
      <c r="B1199" t="n">
        <v>4744.78</v>
      </c>
      <c r="C1199" t="n">
        <v>57396.06</v>
      </c>
      <c r="D1199" t="n">
        <v>3275.53</v>
      </c>
    </row>
    <row r="1200">
      <c r="A1200" t="n">
        <v>590</v>
      </c>
      <c r="B1200" t="n">
        <v>24792.43</v>
      </c>
      <c r="C1200" t="n">
        <v>27774.59</v>
      </c>
      <c r="D1200" t="n">
        <v>21435.68</v>
      </c>
    </row>
    <row r="1201">
      <c r="A1201" t="n">
        <v>626</v>
      </c>
      <c r="B1201" t="n">
        <v>11096.34</v>
      </c>
      <c r="C1201" t="n">
        <v>7781.08</v>
      </c>
      <c r="D1201" t="n">
        <v>6100.15</v>
      </c>
    </row>
    <row r="1202">
      <c r="A1202" t="n">
        <v>622</v>
      </c>
      <c r="B1202" t="n">
        <v>26423.04</v>
      </c>
      <c r="C1202" t="n">
        <v>49332.94</v>
      </c>
      <c r="D1202" t="n">
        <v>26518.45</v>
      </c>
    </row>
    <row r="1203">
      <c r="A1203" t="n">
        <v>754</v>
      </c>
      <c r="B1203" t="n">
        <v>9442.65</v>
      </c>
      <c r="C1203" t="n">
        <v>43585.5</v>
      </c>
      <c r="D1203" t="n">
        <v>4744.78</v>
      </c>
    </row>
    <row r="1204">
      <c r="A1204" t="n">
        <v>721</v>
      </c>
      <c r="B1204" t="n">
        <v>13039.32</v>
      </c>
      <c r="C1204" t="n">
        <v>51871.42</v>
      </c>
      <c r="D1204" t="n">
        <v>13039.32</v>
      </c>
    </row>
    <row r="1205">
      <c r="A1205" t="n">
        <v>723</v>
      </c>
      <c r="B1205" t="n">
        <v>8688.610000000001</v>
      </c>
      <c r="C1205" t="n">
        <v>19212.14</v>
      </c>
      <c r="D1205" t="n">
        <v>51.02</v>
      </c>
    </row>
    <row r="1206">
      <c r="A1206" t="n">
        <v>794</v>
      </c>
      <c r="B1206" t="n">
        <v>7012.73</v>
      </c>
      <c r="C1206" t="n">
        <v>36717.99</v>
      </c>
      <c r="D1206" t="n">
        <v>7012.73</v>
      </c>
    </row>
    <row r="1207">
      <c r="A1207" t="n">
        <v>692</v>
      </c>
      <c r="B1207" t="n">
        <v>12493.17</v>
      </c>
      <c r="C1207" t="n">
        <v>38522.09</v>
      </c>
      <c r="D1207" t="n">
        <v>12493.17</v>
      </c>
    </row>
    <row r="1208">
      <c r="A1208" t="n">
        <v>734</v>
      </c>
      <c r="B1208" t="n">
        <v>12289.06</v>
      </c>
      <c r="C1208" t="n">
        <v>57956.18</v>
      </c>
      <c r="D1208" t="n">
        <v>15115.25</v>
      </c>
    </row>
    <row r="1209">
      <c r="A1209" t="n">
        <v>678</v>
      </c>
      <c r="B1209" t="n">
        <v>16107.11</v>
      </c>
      <c r="C1209" t="n">
        <v>56948.04</v>
      </c>
      <c r="D1209" t="n">
        <v>15282.85</v>
      </c>
    </row>
    <row r="1210">
      <c r="A1210" t="n">
        <v>748</v>
      </c>
      <c r="B1210" t="n">
        <v>6640.91</v>
      </c>
      <c r="C1210" t="n">
        <v>39951.17</v>
      </c>
      <c r="D1210" t="n">
        <v>16107.11</v>
      </c>
    </row>
    <row r="1211">
      <c r="A1211" t="n">
        <v>678</v>
      </c>
      <c r="B1211" t="n">
        <v>3539.03</v>
      </c>
      <c r="C1211" t="n">
        <v>22942.39</v>
      </c>
      <c r="D1211" t="n">
        <v>10922.83</v>
      </c>
    </row>
    <row r="1212">
      <c r="A1212" t="n">
        <v>769</v>
      </c>
      <c r="B1212" t="n">
        <v>9022.360000000001</v>
      </c>
      <c r="C1212" t="n">
        <v>32609.4</v>
      </c>
      <c r="D1212" t="n">
        <v>5594.78</v>
      </c>
    </row>
    <row r="1213">
      <c r="A1213" t="n">
        <v>702</v>
      </c>
      <c r="B1213" t="n">
        <v>12126.03</v>
      </c>
      <c r="C1213" t="n">
        <v>29369.03</v>
      </c>
      <c r="D1213" t="n">
        <v>5877.78</v>
      </c>
    </row>
    <row r="1214">
      <c r="A1214" t="n">
        <v>849</v>
      </c>
      <c r="B1214" t="n">
        <v>1361.42</v>
      </c>
      <c r="C1214" t="n">
        <v>51232.84</v>
      </c>
      <c r="D1214" t="n">
        <v>10752.25</v>
      </c>
    </row>
    <row r="1215">
      <c r="A1215" t="n">
        <v>657</v>
      </c>
      <c r="B1215" t="n">
        <v>33216.58</v>
      </c>
      <c r="C1215" t="n">
        <v>31719.68</v>
      </c>
      <c r="D1215" t="n">
        <v>17906.92</v>
      </c>
    </row>
    <row r="1216">
      <c r="A1216" t="n">
        <v>680</v>
      </c>
      <c r="B1216" t="n">
        <v>13149.61</v>
      </c>
      <c r="C1216" t="n">
        <v>50166.9</v>
      </c>
      <c r="D1216" t="n">
        <v>14508.21</v>
      </c>
    </row>
    <row r="1217">
      <c r="A1217" t="n">
        <v>688</v>
      </c>
      <c r="B1217" t="n">
        <v>5528.23</v>
      </c>
      <c r="C1217" t="n">
        <v>5426.25</v>
      </c>
      <c r="D1217" t="n">
        <v>21665.81</v>
      </c>
    </row>
    <row r="1218">
      <c r="A1218" t="n">
        <v>701</v>
      </c>
      <c r="B1218" t="n">
        <v>10700.98</v>
      </c>
      <c r="C1218" t="n">
        <v>6467.29</v>
      </c>
      <c r="D1218" t="n">
        <v>16116.58</v>
      </c>
    </row>
    <row r="1219">
      <c r="A1219" t="n">
        <v>677</v>
      </c>
      <c r="B1219" t="n">
        <v>14197.54</v>
      </c>
      <c r="C1219" t="n">
        <v>12166.99</v>
      </c>
      <c r="D1219" t="n">
        <v>1974.13</v>
      </c>
    </row>
    <row r="1220">
      <c r="A1220" t="n">
        <v>738</v>
      </c>
      <c r="B1220" t="n">
        <v>11550</v>
      </c>
      <c r="C1220" t="n">
        <v>9457.719999999999</v>
      </c>
      <c r="D1220" t="n">
        <v>14095.18</v>
      </c>
    </row>
    <row r="1221">
      <c r="A1221" t="n">
        <v>702</v>
      </c>
      <c r="B1221" t="n">
        <v>7747.51</v>
      </c>
      <c r="C1221" t="n">
        <v>33021.63</v>
      </c>
      <c r="D1221" t="n">
        <v>11059.19</v>
      </c>
    </row>
    <row r="1222">
      <c r="A1222" t="n">
        <v>746</v>
      </c>
      <c r="B1222" t="n">
        <v>8923.1</v>
      </c>
      <c r="C1222" t="n">
        <v>25766.73</v>
      </c>
      <c r="D1222" t="n">
        <v>16172.05</v>
      </c>
    </row>
    <row r="1223">
      <c r="A1223" t="n">
        <v>595</v>
      </c>
      <c r="B1223" t="n">
        <v>10591.56</v>
      </c>
      <c r="C1223" t="n">
        <v>33429.64</v>
      </c>
      <c r="D1223" t="n">
        <v>20639.79</v>
      </c>
    </row>
    <row r="1224">
      <c r="A1224" t="n">
        <v>706</v>
      </c>
      <c r="B1224" t="n">
        <v>8600.23</v>
      </c>
      <c r="C1224" t="n">
        <v>18513.61</v>
      </c>
      <c r="D1224" t="n">
        <v>12996.18</v>
      </c>
    </row>
    <row r="1225">
      <c r="A1225" t="n">
        <v>777</v>
      </c>
      <c r="B1225" t="n">
        <v>12996.18</v>
      </c>
      <c r="C1225" t="n">
        <v>10002.58</v>
      </c>
      <c r="D1225" t="n">
        <v>12831.31</v>
      </c>
    </row>
    <row r="1226">
      <c r="A1226" t="n">
        <v>599</v>
      </c>
      <c r="B1226" t="n">
        <v>23506.44</v>
      </c>
      <c r="C1226" t="n">
        <v>35905.39</v>
      </c>
      <c r="D1226" t="n">
        <v>0</v>
      </c>
    </row>
    <row r="1227">
      <c r="A1227" t="n">
        <v>597</v>
      </c>
      <c r="B1227" t="n">
        <v>20185.74</v>
      </c>
      <c r="C1227" t="n">
        <v>17448.84</v>
      </c>
      <c r="D1227" t="n">
        <v>23506.44</v>
      </c>
    </row>
    <row r="1228">
      <c r="A1228" t="n">
        <v>691</v>
      </c>
      <c r="B1228" t="n">
        <v>12442.55</v>
      </c>
      <c r="C1228" t="n">
        <v>16631.79</v>
      </c>
      <c r="D1228" t="n">
        <v>3516.14</v>
      </c>
    </row>
    <row r="1229">
      <c r="A1229" t="n">
        <v>752</v>
      </c>
      <c r="B1229" t="n">
        <v>11390.26</v>
      </c>
      <c r="C1229" t="n">
        <v>14086.61</v>
      </c>
      <c r="D1229" t="n">
        <v>12442.55</v>
      </c>
    </row>
    <row r="1230">
      <c r="A1230" t="n">
        <v>641</v>
      </c>
      <c r="B1230" t="n">
        <v>18371.51</v>
      </c>
      <c r="C1230" t="n">
        <v>57538.28</v>
      </c>
      <c r="D1230" t="n">
        <v>1261.02</v>
      </c>
    </row>
    <row r="1231">
      <c r="A1231" t="n">
        <v>714</v>
      </c>
      <c r="B1231" t="n">
        <v>9594.700000000001</v>
      </c>
      <c r="C1231" t="n">
        <v>16696.91</v>
      </c>
      <c r="D1231" t="n">
        <v>5227.4</v>
      </c>
    </row>
    <row r="1232">
      <c r="A1232" t="n">
        <v>701</v>
      </c>
      <c r="B1232" t="n">
        <v>18955.76</v>
      </c>
      <c r="C1232" t="n">
        <v>8155.68</v>
      </c>
      <c r="D1232" t="n">
        <v>17835.83</v>
      </c>
    </row>
    <row r="1233">
      <c r="A1233" t="n">
        <v>739</v>
      </c>
      <c r="B1233" t="n">
        <v>9417.43</v>
      </c>
      <c r="C1233" t="n">
        <v>15709.78</v>
      </c>
      <c r="D1233" t="n">
        <v>21821.83</v>
      </c>
    </row>
    <row r="1234">
      <c r="A1234" t="n">
        <v>728</v>
      </c>
      <c r="B1234" t="n">
        <v>11308.66</v>
      </c>
      <c r="C1234" t="n">
        <v>11814.52</v>
      </c>
      <c r="D1234" t="n">
        <v>11989.43</v>
      </c>
    </row>
    <row r="1235">
      <c r="A1235" t="n">
        <v>734</v>
      </c>
      <c r="B1235" t="n">
        <v>15585.93</v>
      </c>
      <c r="C1235" t="n">
        <v>28349.21</v>
      </c>
      <c r="D1235" t="n">
        <v>15546.44</v>
      </c>
    </row>
    <row r="1236">
      <c r="A1236" t="n">
        <v>675</v>
      </c>
      <c r="B1236" t="n">
        <v>11989.43</v>
      </c>
      <c r="C1236" t="n">
        <v>46341.17</v>
      </c>
      <c r="D1236" t="n">
        <v>20330.68</v>
      </c>
    </row>
    <row r="1237">
      <c r="A1237" t="n">
        <v>621</v>
      </c>
      <c r="B1237" t="n">
        <v>20330.68</v>
      </c>
      <c r="C1237" t="n">
        <v>11253.48</v>
      </c>
      <c r="D1237" t="n">
        <v>13184.04</v>
      </c>
    </row>
    <row r="1238">
      <c r="A1238" t="n">
        <v>876</v>
      </c>
      <c r="B1238" t="n">
        <v>1897.34</v>
      </c>
      <c r="C1238" t="n">
        <v>7544.61</v>
      </c>
      <c r="D1238" t="n">
        <v>6350.09</v>
      </c>
    </row>
    <row r="1239">
      <c r="A1239" t="n">
        <v>776</v>
      </c>
      <c r="B1239" t="n">
        <v>10390.82</v>
      </c>
      <c r="C1239" t="n">
        <v>28529.13</v>
      </c>
      <c r="D1239" t="n">
        <v>6919.58</v>
      </c>
    </row>
    <row r="1240">
      <c r="A1240" t="n">
        <v>712</v>
      </c>
      <c r="B1240" t="n">
        <v>11018.22</v>
      </c>
      <c r="C1240" t="n">
        <v>36493.32</v>
      </c>
      <c r="D1240" t="n">
        <v>14263.06</v>
      </c>
    </row>
    <row r="1241">
      <c r="A1241" t="n">
        <v>657</v>
      </c>
      <c r="B1241" t="n">
        <v>15884.77</v>
      </c>
      <c r="C1241" t="n">
        <v>27151.08</v>
      </c>
      <c r="D1241" t="n">
        <v>1541.28</v>
      </c>
    </row>
    <row r="1242">
      <c r="A1242" t="n">
        <v>669</v>
      </c>
      <c r="B1242" t="n">
        <v>13527.77</v>
      </c>
      <c r="C1242" t="n">
        <v>43796.63</v>
      </c>
      <c r="D1242" t="n">
        <v>9871.870000000001</v>
      </c>
    </row>
    <row r="1243">
      <c r="A1243" t="n">
        <v>640</v>
      </c>
      <c r="B1243" t="n">
        <v>7840.24</v>
      </c>
      <c r="C1243" t="n">
        <v>42914.7</v>
      </c>
      <c r="D1243" t="n">
        <v>14947.57</v>
      </c>
    </row>
    <row r="1244">
      <c r="A1244" t="n">
        <v>695</v>
      </c>
      <c r="B1244" t="n">
        <v>15191.01</v>
      </c>
      <c r="C1244" t="n">
        <v>56666.27</v>
      </c>
      <c r="D1244" t="n">
        <v>7914.76</v>
      </c>
    </row>
    <row r="1245">
      <c r="A1245" t="n">
        <v>618</v>
      </c>
      <c r="B1245" t="n">
        <v>15315.33</v>
      </c>
      <c r="C1245" t="n">
        <v>37188.9</v>
      </c>
      <c r="D1245" t="n">
        <v>15807.39</v>
      </c>
    </row>
    <row r="1246">
      <c r="A1246" t="n">
        <v>650</v>
      </c>
      <c r="B1246" t="n">
        <v>12066.68</v>
      </c>
      <c r="C1246" t="n">
        <v>55173.01</v>
      </c>
      <c r="D1246" t="n">
        <v>8777.290000000001</v>
      </c>
    </row>
    <row r="1247">
      <c r="A1247" t="n">
        <v>696</v>
      </c>
      <c r="B1247" t="n">
        <v>9497.52</v>
      </c>
      <c r="C1247" t="n">
        <v>23997.7</v>
      </c>
      <c r="D1247" t="n">
        <v>12185.36</v>
      </c>
    </row>
    <row r="1248">
      <c r="A1248" t="n">
        <v>782</v>
      </c>
      <c r="B1248" t="n">
        <v>9242.299999999999</v>
      </c>
      <c r="C1248" t="n">
        <v>44031.77</v>
      </c>
      <c r="D1248" t="n">
        <v>13942.38</v>
      </c>
    </row>
    <row r="1249">
      <c r="A1249" t="n">
        <v>696</v>
      </c>
      <c r="B1249" t="n">
        <v>8520.43</v>
      </c>
      <c r="C1249" t="n">
        <v>47865.19</v>
      </c>
      <c r="D1249" t="n">
        <v>7840.24</v>
      </c>
    </row>
    <row r="1250">
      <c r="A1250" t="n">
        <v>670</v>
      </c>
      <c r="B1250" t="n">
        <v>21226.16</v>
      </c>
      <c r="C1250" t="n">
        <v>7797.64</v>
      </c>
      <c r="D1250" t="n">
        <v>11818.37</v>
      </c>
    </row>
    <row r="1251">
      <c r="A1251" t="n">
        <v>622</v>
      </c>
      <c r="B1251" t="n">
        <v>13628.7</v>
      </c>
      <c r="C1251" t="n">
        <v>32100.44</v>
      </c>
      <c r="D1251" t="n">
        <v>8520.43</v>
      </c>
    </row>
    <row r="1252">
      <c r="A1252" t="n">
        <v>727</v>
      </c>
      <c r="B1252" t="n">
        <v>10240.56</v>
      </c>
      <c r="C1252" t="n">
        <v>11275.15</v>
      </c>
      <c r="D1252" t="n">
        <v>4835.04</v>
      </c>
    </row>
    <row r="1253">
      <c r="A1253" t="n">
        <v>697</v>
      </c>
      <c r="B1253" t="n">
        <v>17204.58</v>
      </c>
      <c r="C1253" t="n">
        <v>36940.93</v>
      </c>
      <c r="D1253" t="n">
        <v>14770.37</v>
      </c>
    </row>
    <row r="1254">
      <c r="A1254" t="n">
        <v>568</v>
      </c>
      <c r="B1254" t="n">
        <v>8391.809999999999</v>
      </c>
      <c r="C1254" t="n">
        <v>58461.97</v>
      </c>
      <c r="D1254" t="n">
        <v>17204.58</v>
      </c>
    </row>
    <row r="1255">
      <c r="A1255" t="n">
        <v>639</v>
      </c>
      <c r="B1255" t="n">
        <v>15278.22</v>
      </c>
      <c r="C1255" t="n">
        <v>25958.74</v>
      </c>
      <c r="D1255" t="n">
        <v>12540.64</v>
      </c>
    </row>
    <row r="1256">
      <c r="A1256" t="n">
        <v>756</v>
      </c>
      <c r="B1256" t="n">
        <v>7142.08</v>
      </c>
      <c r="C1256" t="n">
        <v>23799.72</v>
      </c>
      <c r="D1256" t="n">
        <v>14442.18</v>
      </c>
    </row>
    <row r="1257">
      <c r="A1257" t="n">
        <v>699</v>
      </c>
      <c r="B1257" t="n">
        <v>12540.64</v>
      </c>
      <c r="C1257" t="n">
        <v>46533.5</v>
      </c>
      <c r="D1257" t="n">
        <v>3272.34</v>
      </c>
    </row>
    <row r="1258">
      <c r="A1258" t="n">
        <v>747</v>
      </c>
      <c r="B1258" t="n">
        <v>9414.24</v>
      </c>
      <c r="C1258" t="n">
        <v>59594.03</v>
      </c>
      <c r="D1258" t="n">
        <v>0</v>
      </c>
    </row>
    <row r="1259">
      <c r="A1259" t="n">
        <v>749</v>
      </c>
      <c r="B1259" t="n">
        <v>14235.49</v>
      </c>
      <c r="C1259" t="n">
        <v>7653.72</v>
      </c>
      <c r="D1259" t="n">
        <v>10035.38</v>
      </c>
    </row>
    <row r="1260">
      <c r="A1260" t="n">
        <v>755</v>
      </c>
      <c r="B1260" t="n">
        <v>9020.200000000001</v>
      </c>
      <c r="C1260" t="n">
        <v>14738.85</v>
      </c>
      <c r="D1260" t="n">
        <v>17396.45</v>
      </c>
    </row>
    <row r="1261">
      <c r="A1261" t="n">
        <v>781</v>
      </c>
      <c r="B1261" t="n">
        <v>0</v>
      </c>
      <c r="C1261" t="n">
        <v>46033.73</v>
      </c>
      <c r="D1261" t="n">
        <v>26846.61</v>
      </c>
    </row>
    <row r="1262">
      <c r="A1262" t="n">
        <v>732</v>
      </c>
      <c r="B1262" t="n">
        <v>13608.9</v>
      </c>
      <c r="C1262" t="n">
        <v>50001.95</v>
      </c>
      <c r="D1262" t="n">
        <v>10767.79</v>
      </c>
    </row>
    <row r="1263">
      <c r="A1263" t="n">
        <v>610</v>
      </c>
      <c r="B1263" t="n">
        <v>16842.85</v>
      </c>
      <c r="C1263" t="n">
        <v>45536.86</v>
      </c>
      <c r="D1263" t="n">
        <v>16781.37</v>
      </c>
    </row>
    <row r="1264">
      <c r="A1264" t="n">
        <v>670</v>
      </c>
      <c r="B1264" t="n">
        <v>18924.12</v>
      </c>
      <c r="C1264" t="n">
        <v>15729.25</v>
      </c>
      <c r="D1264" t="n">
        <v>2041.43</v>
      </c>
    </row>
    <row r="1265">
      <c r="A1265" t="n">
        <v>676</v>
      </c>
      <c r="B1265" t="n">
        <v>11767.18</v>
      </c>
      <c r="C1265" t="n">
        <v>6392.43</v>
      </c>
      <c r="D1265" t="n">
        <v>14575.75</v>
      </c>
    </row>
    <row r="1266">
      <c r="A1266" t="n">
        <v>756</v>
      </c>
      <c r="B1266" t="n">
        <v>7010.29</v>
      </c>
      <c r="C1266" t="n">
        <v>10006.62</v>
      </c>
      <c r="D1266" t="n">
        <v>6645.05</v>
      </c>
    </row>
    <row r="1267">
      <c r="A1267" t="n">
        <v>741</v>
      </c>
      <c r="B1267" t="n">
        <v>14558.08</v>
      </c>
      <c r="C1267" t="n">
        <v>12962.16</v>
      </c>
      <c r="D1267" t="n">
        <v>14558.08</v>
      </c>
    </row>
    <row r="1268">
      <c r="A1268" t="n">
        <v>747</v>
      </c>
      <c r="B1268" t="n">
        <v>6735.38</v>
      </c>
      <c r="C1268" t="n">
        <v>59211.11</v>
      </c>
      <c r="D1268" t="n">
        <v>7774.46</v>
      </c>
    </row>
    <row r="1269">
      <c r="A1269" t="n">
        <v>720</v>
      </c>
      <c r="B1269" t="n">
        <v>20939.7</v>
      </c>
      <c r="C1269" t="n">
        <v>30893.48</v>
      </c>
      <c r="D1269" t="n">
        <v>21095.45</v>
      </c>
    </row>
    <row r="1270">
      <c r="A1270" t="n">
        <v>669</v>
      </c>
      <c r="B1270" t="n">
        <v>17025.81</v>
      </c>
      <c r="C1270" t="n">
        <v>51829.8</v>
      </c>
      <c r="D1270" t="n">
        <v>2573.49</v>
      </c>
    </row>
    <row r="1271">
      <c r="A1271" t="n">
        <v>827</v>
      </c>
      <c r="B1271" t="n">
        <v>6682.75</v>
      </c>
      <c r="C1271" t="n">
        <v>19378.46</v>
      </c>
      <c r="D1271" t="n">
        <v>14549.11</v>
      </c>
    </row>
    <row r="1272">
      <c r="A1272" t="n">
        <v>609</v>
      </c>
      <c r="B1272" t="n">
        <v>7131.11</v>
      </c>
      <c r="C1272" t="n">
        <v>23857.9</v>
      </c>
      <c r="D1272" t="n">
        <v>16679.72</v>
      </c>
    </row>
    <row r="1273">
      <c r="A1273" t="n">
        <v>690</v>
      </c>
      <c r="B1273" t="n">
        <v>13834.61</v>
      </c>
      <c r="C1273" t="n">
        <v>22206.61</v>
      </c>
      <c r="D1273" t="n">
        <v>22034.63</v>
      </c>
    </row>
    <row r="1274">
      <c r="A1274" t="n">
        <v>617</v>
      </c>
      <c r="B1274" t="n">
        <v>11012.57</v>
      </c>
      <c r="C1274" t="n">
        <v>39715.07</v>
      </c>
      <c r="D1274" t="n">
        <v>16203.37</v>
      </c>
    </row>
    <row r="1275">
      <c r="A1275" t="n">
        <v>710</v>
      </c>
      <c r="B1275" t="n">
        <v>9623.549999999999</v>
      </c>
      <c r="C1275" t="n">
        <v>12117.03</v>
      </c>
      <c r="D1275" t="n">
        <v>8346.52</v>
      </c>
    </row>
    <row r="1276">
      <c r="A1276" t="n">
        <v>771</v>
      </c>
      <c r="B1276" t="n">
        <v>7318.81</v>
      </c>
      <c r="C1276" t="n">
        <v>5629.17</v>
      </c>
      <c r="D1276" t="n">
        <v>20712.5</v>
      </c>
    </row>
    <row r="1277">
      <c r="A1277" t="n">
        <v>748</v>
      </c>
      <c r="B1277" t="n">
        <v>7123.8</v>
      </c>
      <c r="C1277" t="n">
        <v>41105.4</v>
      </c>
      <c r="D1277" t="n">
        <v>7318.81</v>
      </c>
    </row>
    <row r="1278">
      <c r="A1278" t="n">
        <v>729</v>
      </c>
      <c r="B1278" t="n">
        <v>13807.34</v>
      </c>
      <c r="C1278" t="n">
        <v>37059.25</v>
      </c>
      <c r="D1278" t="n">
        <v>4016.53</v>
      </c>
    </row>
    <row r="1279">
      <c r="A1279" t="n">
        <v>631</v>
      </c>
      <c r="B1279" t="n">
        <v>7992.36</v>
      </c>
      <c r="C1279" t="n">
        <v>54068.1</v>
      </c>
      <c r="D1279" t="n">
        <v>8718.889999999999</v>
      </c>
    </row>
    <row r="1280">
      <c r="A1280" t="n">
        <v>709</v>
      </c>
      <c r="B1280" t="n">
        <v>12602.74</v>
      </c>
      <c r="C1280" t="n">
        <v>22312.55</v>
      </c>
      <c r="D1280" t="n">
        <v>11678.26</v>
      </c>
    </row>
    <row r="1281">
      <c r="A1281" t="n">
        <v>724</v>
      </c>
      <c r="B1281" t="n">
        <v>2506.18</v>
      </c>
      <c r="C1281" t="n">
        <v>55521.71</v>
      </c>
      <c r="D1281" t="n">
        <v>25413.01</v>
      </c>
    </row>
    <row r="1282">
      <c r="A1282" t="n">
        <v>816</v>
      </c>
      <c r="B1282" t="n">
        <v>2515.01</v>
      </c>
      <c r="C1282" t="n">
        <v>53086.29</v>
      </c>
      <c r="D1282" t="n">
        <v>18358.51</v>
      </c>
    </row>
    <row r="1283">
      <c r="A1283" t="n">
        <v>576</v>
      </c>
      <c r="B1283" t="n">
        <v>23474.54</v>
      </c>
      <c r="C1283" t="n">
        <v>30017.95</v>
      </c>
      <c r="D1283" t="n">
        <v>8712.24</v>
      </c>
    </row>
    <row r="1284">
      <c r="A1284" t="n">
        <v>728</v>
      </c>
      <c r="B1284" t="n">
        <v>15951.6</v>
      </c>
      <c r="C1284" t="n">
        <v>11339.72</v>
      </c>
      <c r="D1284" t="n">
        <v>9008.219999999999</v>
      </c>
    </row>
    <row r="1285">
      <c r="A1285" t="n">
        <v>636</v>
      </c>
      <c r="B1285" t="n">
        <v>17950.55</v>
      </c>
      <c r="C1285" t="n">
        <v>37587.56</v>
      </c>
      <c r="D1285" t="n">
        <v>11427.83</v>
      </c>
    </row>
    <row r="1286">
      <c r="A1286" t="n">
        <v>662</v>
      </c>
      <c r="B1286" t="n">
        <v>0</v>
      </c>
      <c r="C1286" t="n">
        <v>13243.85</v>
      </c>
      <c r="D1286" t="n">
        <v>7137.59</v>
      </c>
    </row>
    <row r="1287">
      <c r="A1287" t="n">
        <v>660</v>
      </c>
      <c r="B1287" t="n">
        <v>25979.34</v>
      </c>
      <c r="C1287" t="n">
        <v>25536.07</v>
      </c>
      <c r="D1287" t="n">
        <v>28814.41</v>
      </c>
    </row>
    <row r="1288">
      <c r="A1288" t="n">
        <v>694</v>
      </c>
      <c r="B1288" t="n">
        <v>12401.63</v>
      </c>
      <c r="C1288" t="n">
        <v>34423.9</v>
      </c>
      <c r="D1288" t="n">
        <v>10889.32</v>
      </c>
    </row>
    <row r="1289">
      <c r="A1289" t="n">
        <v>643</v>
      </c>
      <c r="B1289" t="n">
        <v>9474.719999999999</v>
      </c>
      <c r="C1289" t="n">
        <v>39386.98</v>
      </c>
      <c r="D1289" t="n">
        <v>28085.93</v>
      </c>
    </row>
    <row r="1290">
      <c r="A1290" t="n">
        <v>726</v>
      </c>
      <c r="B1290" t="n">
        <v>18575.29</v>
      </c>
      <c r="C1290" t="n">
        <v>42290.66</v>
      </c>
      <c r="D1290" t="n">
        <v>0</v>
      </c>
    </row>
    <row r="1291">
      <c r="A1291" t="n">
        <v>689</v>
      </c>
      <c r="B1291" t="n">
        <v>14810.93</v>
      </c>
      <c r="C1291" t="n">
        <v>18703.51</v>
      </c>
      <c r="D1291" t="n">
        <v>17385.25</v>
      </c>
    </row>
    <row r="1292">
      <c r="A1292" t="n">
        <v>712</v>
      </c>
      <c r="B1292" t="n">
        <v>7814.78</v>
      </c>
      <c r="C1292" t="n">
        <v>26661.78</v>
      </c>
      <c r="D1292" t="n">
        <v>8603.190000000001</v>
      </c>
    </row>
    <row r="1293">
      <c r="A1293" t="n">
        <v>714</v>
      </c>
      <c r="B1293" t="n">
        <v>12565.92</v>
      </c>
      <c r="C1293" t="n">
        <v>32667.73</v>
      </c>
      <c r="D1293" t="n">
        <v>7842.04</v>
      </c>
    </row>
    <row r="1294">
      <c r="A1294" t="n">
        <v>770</v>
      </c>
      <c r="B1294" t="n">
        <v>10722.57</v>
      </c>
      <c r="C1294" t="n">
        <v>10091.84</v>
      </c>
      <c r="D1294" t="n">
        <v>8042.32</v>
      </c>
    </row>
    <row r="1295">
      <c r="A1295" t="n">
        <v>737</v>
      </c>
      <c r="B1295" t="n">
        <v>4971.16</v>
      </c>
      <c r="C1295" t="n">
        <v>25406.02</v>
      </c>
      <c r="D1295" t="n">
        <v>9474.719999999999</v>
      </c>
    </row>
    <row r="1296">
      <c r="A1296" t="n">
        <v>757</v>
      </c>
      <c r="B1296" t="n">
        <v>8388.629999999999</v>
      </c>
      <c r="C1296" t="n">
        <v>54732.66</v>
      </c>
      <c r="D1296" t="n">
        <v>14821.75</v>
      </c>
    </row>
    <row r="1297">
      <c r="A1297" t="n">
        <v>684</v>
      </c>
      <c r="B1297" t="n">
        <v>4218.24</v>
      </c>
      <c r="C1297" t="n">
        <v>7788.26</v>
      </c>
      <c r="D1297" t="n">
        <v>18036.64</v>
      </c>
    </row>
    <row r="1298">
      <c r="A1298" t="n">
        <v>699</v>
      </c>
      <c r="B1298" t="n">
        <v>12755.93</v>
      </c>
      <c r="C1298" t="n">
        <v>31792.12</v>
      </c>
      <c r="D1298" t="n">
        <v>14104.19</v>
      </c>
    </row>
    <row r="1299">
      <c r="A1299" t="n">
        <v>765</v>
      </c>
      <c r="B1299" t="n">
        <v>13486.66</v>
      </c>
      <c r="C1299" t="n">
        <v>58853.79</v>
      </c>
      <c r="D1299" t="n">
        <v>14810.93</v>
      </c>
    </row>
    <row r="1300">
      <c r="A1300" t="n">
        <v>838</v>
      </c>
      <c r="B1300" t="n">
        <v>3909.97</v>
      </c>
      <c r="C1300" t="n">
        <v>47283.65</v>
      </c>
      <c r="D1300" t="n">
        <v>12565.92</v>
      </c>
    </row>
    <row r="1301">
      <c r="A1301" t="n">
        <v>630</v>
      </c>
      <c r="B1301" t="n">
        <v>13263.31</v>
      </c>
      <c r="C1301" t="n">
        <v>11358.1</v>
      </c>
      <c r="D1301" t="n">
        <v>3419.74</v>
      </c>
    </row>
    <row r="1302">
      <c r="A1302" t="n">
        <v>810</v>
      </c>
      <c r="B1302" t="n">
        <v>5743.78</v>
      </c>
      <c r="C1302" t="n">
        <v>53856.37</v>
      </c>
      <c r="D1302" t="n">
        <v>16121.19</v>
      </c>
    </row>
    <row r="1303">
      <c r="A1303" t="n">
        <v>614</v>
      </c>
      <c r="B1303" t="n">
        <v>5368.85</v>
      </c>
      <c r="C1303" t="n">
        <v>21288.41</v>
      </c>
      <c r="D1303" t="n">
        <v>6223.75</v>
      </c>
    </row>
    <row r="1304">
      <c r="A1304" t="n">
        <v>706</v>
      </c>
      <c r="B1304" t="n">
        <v>5894.2</v>
      </c>
      <c r="C1304" t="n">
        <v>38130.9</v>
      </c>
      <c r="D1304" t="n">
        <v>5294.16</v>
      </c>
    </row>
    <row r="1305">
      <c r="A1305" t="n">
        <v>674</v>
      </c>
      <c r="B1305" t="n">
        <v>8706.25</v>
      </c>
      <c r="C1305" t="n">
        <v>30487.57</v>
      </c>
      <c r="D1305" t="n">
        <v>16538.37</v>
      </c>
    </row>
    <row r="1306">
      <c r="A1306" t="n">
        <v>677</v>
      </c>
      <c r="B1306" t="n">
        <v>13056.21</v>
      </c>
      <c r="C1306" t="n">
        <v>30566.71</v>
      </c>
      <c r="D1306" t="n">
        <v>5685.36</v>
      </c>
    </row>
    <row r="1307">
      <c r="A1307" t="n">
        <v>672</v>
      </c>
      <c r="B1307" t="n">
        <v>19276.65</v>
      </c>
      <c r="C1307" t="n">
        <v>23607.57</v>
      </c>
      <c r="D1307" t="n">
        <v>12755.93</v>
      </c>
    </row>
    <row r="1308">
      <c r="A1308" t="n">
        <v>704</v>
      </c>
      <c r="B1308" t="n">
        <v>4436.02</v>
      </c>
      <c r="C1308" t="n">
        <v>34282.03</v>
      </c>
      <c r="D1308" t="n">
        <v>14433.04</v>
      </c>
    </row>
    <row r="1309">
      <c r="A1309" t="n">
        <v>767</v>
      </c>
      <c r="B1309" t="n">
        <v>5610.19</v>
      </c>
      <c r="C1309" t="n">
        <v>31592.05</v>
      </c>
      <c r="D1309" t="n">
        <v>25913.22</v>
      </c>
    </row>
    <row r="1310">
      <c r="A1310" t="n">
        <v>707</v>
      </c>
      <c r="B1310" t="n">
        <v>8906.9</v>
      </c>
      <c r="C1310" t="n">
        <v>44276.97</v>
      </c>
      <c r="D1310" t="n">
        <v>3870.49</v>
      </c>
    </row>
    <row r="1311">
      <c r="A1311" t="n">
        <v>685</v>
      </c>
      <c r="B1311" t="n">
        <v>11217.63</v>
      </c>
      <c r="C1311" t="n">
        <v>18851.71</v>
      </c>
      <c r="D1311" t="n">
        <v>3909.97</v>
      </c>
    </row>
    <row r="1312">
      <c r="A1312" t="n">
        <v>679</v>
      </c>
      <c r="B1312" t="n">
        <v>6267.46</v>
      </c>
      <c r="C1312" t="n">
        <v>39545.35</v>
      </c>
      <c r="D1312" t="n">
        <v>13263.31</v>
      </c>
    </row>
    <row r="1313">
      <c r="A1313" t="n">
        <v>587</v>
      </c>
      <c r="B1313" t="n">
        <v>21617.39</v>
      </c>
      <c r="C1313" t="n">
        <v>57683.06</v>
      </c>
      <c r="D1313" t="n">
        <v>26754.89</v>
      </c>
    </row>
    <row r="1314">
      <c r="A1314" t="n">
        <v>665</v>
      </c>
      <c r="B1314" t="n">
        <v>25694.49</v>
      </c>
      <c r="C1314" t="n">
        <v>44325.08</v>
      </c>
      <c r="D1314" t="n">
        <v>12794.09</v>
      </c>
    </row>
    <row r="1315">
      <c r="A1315" t="n">
        <v>758</v>
      </c>
      <c r="B1315" t="n">
        <v>9081.75</v>
      </c>
      <c r="C1315" t="n">
        <v>7903.57</v>
      </c>
      <c r="D1315" t="n">
        <v>7161.36</v>
      </c>
    </row>
    <row r="1316">
      <c r="A1316" t="n">
        <v>750</v>
      </c>
      <c r="B1316" t="n">
        <v>17256.84</v>
      </c>
      <c r="C1316" t="n">
        <v>10496.88</v>
      </c>
      <c r="D1316" t="n">
        <v>10184.77</v>
      </c>
    </row>
    <row r="1317">
      <c r="A1317" t="n">
        <v>662</v>
      </c>
      <c r="B1317" t="n">
        <v>28639.31</v>
      </c>
      <c r="C1317" t="n">
        <v>31817.31</v>
      </c>
      <c r="D1317" t="n">
        <v>21820.31</v>
      </c>
    </row>
    <row r="1318">
      <c r="A1318" t="n">
        <v>717</v>
      </c>
      <c r="B1318" t="n">
        <v>15100.04</v>
      </c>
      <c r="C1318" t="n">
        <v>35639.48</v>
      </c>
      <c r="D1318" t="n">
        <v>11516.91</v>
      </c>
    </row>
    <row r="1319">
      <c r="A1319" t="n">
        <v>717</v>
      </c>
      <c r="B1319" t="n">
        <v>8692.610000000001</v>
      </c>
      <c r="C1319" t="n">
        <v>27079.13</v>
      </c>
      <c r="D1319" t="n">
        <v>10678.37</v>
      </c>
    </row>
    <row r="1320">
      <c r="A1320" t="n">
        <v>745</v>
      </c>
      <c r="B1320" t="n">
        <v>3013.86</v>
      </c>
      <c r="C1320" t="n">
        <v>41447.65</v>
      </c>
      <c r="D1320" t="n">
        <v>8906.9</v>
      </c>
    </row>
    <row r="1321">
      <c r="A1321" t="n">
        <v>643</v>
      </c>
      <c r="B1321" t="n">
        <v>17691.88</v>
      </c>
      <c r="C1321" t="n">
        <v>29456.92</v>
      </c>
      <c r="D1321" t="n">
        <v>7865.8</v>
      </c>
    </row>
    <row r="1322">
      <c r="A1322" t="n">
        <v>629</v>
      </c>
      <c r="B1322" t="n">
        <v>20602.34</v>
      </c>
      <c r="C1322" t="n">
        <v>50570.72</v>
      </c>
      <c r="D1322" t="n">
        <v>11638.64</v>
      </c>
    </row>
    <row r="1323">
      <c r="A1323" t="n">
        <v>710</v>
      </c>
      <c r="B1323" t="n">
        <v>19341.82</v>
      </c>
      <c r="C1323" t="n">
        <v>16411.24</v>
      </c>
      <c r="D1323" t="n">
        <v>2570.64</v>
      </c>
    </row>
    <row r="1324">
      <c r="A1324" t="n">
        <v>724</v>
      </c>
      <c r="B1324" t="n">
        <v>9331.450000000001</v>
      </c>
      <c r="C1324" t="n">
        <v>37959.33</v>
      </c>
      <c r="D1324" t="n">
        <v>6046.39</v>
      </c>
    </row>
    <row r="1325">
      <c r="A1325" t="n">
        <v>742</v>
      </c>
      <c r="B1325" t="n">
        <v>3754.32</v>
      </c>
      <c r="C1325" t="n">
        <v>44551.61</v>
      </c>
      <c r="D1325" t="n">
        <v>17256.84</v>
      </c>
    </row>
    <row r="1326">
      <c r="A1326" t="n">
        <v>753</v>
      </c>
      <c r="B1326" t="n">
        <v>4671.73</v>
      </c>
      <c r="C1326" t="n">
        <v>51225.54</v>
      </c>
      <c r="D1326" t="n">
        <v>3322.35</v>
      </c>
    </row>
    <row r="1327">
      <c r="A1327" t="n">
        <v>655</v>
      </c>
      <c r="B1327" t="n">
        <v>23778.83</v>
      </c>
      <c r="C1327" t="n">
        <v>30521.48</v>
      </c>
      <c r="D1327" t="n">
        <v>28639.31</v>
      </c>
    </row>
    <row r="1328">
      <c r="A1328" t="n">
        <v>647</v>
      </c>
      <c r="B1328" t="n">
        <v>11655.06</v>
      </c>
      <c r="C1328" t="n">
        <v>51083.67</v>
      </c>
      <c r="D1328" t="n">
        <v>23400.5</v>
      </c>
    </row>
    <row r="1329">
      <c r="A1329" t="n">
        <v>709</v>
      </c>
      <c r="B1329" t="n">
        <v>852.42</v>
      </c>
      <c r="C1329" t="n">
        <v>46024.14</v>
      </c>
      <c r="D1329" t="n">
        <v>15379.02</v>
      </c>
    </row>
    <row r="1330">
      <c r="A1330" t="n">
        <v>702</v>
      </c>
      <c r="B1330" t="n">
        <v>9957.799999999999</v>
      </c>
      <c r="C1330" t="n">
        <v>21526.16</v>
      </c>
      <c r="D1330" t="n">
        <v>13925.31</v>
      </c>
    </row>
    <row r="1331">
      <c r="A1331" t="n">
        <v>638</v>
      </c>
      <c r="B1331" t="n">
        <v>22448.07</v>
      </c>
      <c r="C1331" t="n">
        <v>51944.34</v>
      </c>
      <c r="D1331" t="n">
        <v>20602.34</v>
      </c>
    </row>
    <row r="1332">
      <c r="A1332" t="n">
        <v>699</v>
      </c>
      <c r="B1332" t="n">
        <v>9226.66</v>
      </c>
      <c r="C1332" t="n">
        <v>58391.75</v>
      </c>
      <c r="D1332" t="n">
        <v>6392.84</v>
      </c>
    </row>
    <row r="1333">
      <c r="A1333" t="n">
        <v>701</v>
      </c>
      <c r="B1333" t="n">
        <v>9745.9</v>
      </c>
      <c r="C1333" t="n">
        <v>11196.5</v>
      </c>
      <c r="D1333" t="n">
        <v>14718</v>
      </c>
    </row>
    <row r="1334">
      <c r="A1334" t="n">
        <v>695</v>
      </c>
      <c r="B1334" t="n">
        <v>13182.42</v>
      </c>
      <c r="C1334" t="n">
        <v>36779.88</v>
      </c>
      <c r="D1334" t="n">
        <v>11655.06</v>
      </c>
    </row>
    <row r="1335">
      <c r="A1335" t="n">
        <v>708</v>
      </c>
      <c r="B1335" t="n">
        <v>10475.64</v>
      </c>
      <c r="C1335" t="n">
        <v>36659.8</v>
      </c>
      <c r="D1335" t="n">
        <v>10892.77</v>
      </c>
    </row>
    <row r="1336">
      <c r="A1336" t="n">
        <v>728</v>
      </c>
      <c r="B1336" t="n">
        <v>12513.68</v>
      </c>
      <c r="C1336" t="n">
        <v>31524.22</v>
      </c>
      <c r="D1336" t="n">
        <v>16167.46</v>
      </c>
    </row>
    <row r="1337">
      <c r="A1337" t="n">
        <v>636</v>
      </c>
      <c r="B1337" t="n">
        <v>13715.89</v>
      </c>
      <c r="C1337" t="n">
        <v>57583.51</v>
      </c>
      <c r="D1337" t="n">
        <v>35973.56</v>
      </c>
    </row>
    <row r="1338">
      <c r="A1338" t="n">
        <v>750</v>
      </c>
      <c r="B1338" t="n">
        <v>10154.44</v>
      </c>
      <c r="C1338" t="n">
        <v>46888.14</v>
      </c>
      <c r="D1338" t="n">
        <v>9164.08</v>
      </c>
    </row>
    <row r="1339">
      <c r="A1339" t="n">
        <v>675</v>
      </c>
      <c r="B1339" t="n">
        <v>6284.6</v>
      </c>
      <c r="C1339" t="n">
        <v>30893.92</v>
      </c>
      <c r="D1339" t="n">
        <v>9973.25</v>
      </c>
    </row>
    <row r="1340">
      <c r="A1340" t="n">
        <v>754</v>
      </c>
      <c r="B1340" t="n">
        <v>10743.48</v>
      </c>
      <c r="C1340" t="n">
        <v>15784.41</v>
      </c>
      <c r="D1340" t="n">
        <v>9226.66</v>
      </c>
    </row>
    <row r="1341">
      <c r="A1341" t="n">
        <v>670</v>
      </c>
      <c r="B1341" t="n">
        <v>15393.86</v>
      </c>
      <c r="C1341" t="n">
        <v>28225.59</v>
      </c>
      <c r="D1341" t="n">
        <v>10048.62</v>
      </c>
    </row>
    <row r="1342">
      <c r="A1342" t="n">
        <v>691</v>
      </c>
      <c r="B1342" t="n">
        <v>14586.32</v>
      </c>
      <c r="C1342" t="n">
        <v>17956.59</v>
      </c>
      <c r="D1342" t="n">
        <v>14906.37</v>
      </c>
    </row>
    <row r="1343">
      <c r="A1343" t="n">
        <v>654</v>
      </c>
      <c r="B1343" t="n">
        <v>22728.22</v>
      </c>
      <c r="C1343" t="n">
        <v>16732.56</v>
      </c>
      <c r="D1343" t="n">
        <v>15847.21</v>
      </c>
    </row>
    <row r="1344">
      <c r="A1344" t="n">
        <v>740</v>
      </c>
      <c r="B1344" t="n">
        <v>12880.17</v>
      </c>
      <c r="C1344" t="n">
        <v>51733.27</v>
      </c>
      <c r="D1344" t="n">
        <v>12513.68</v>
      </c>
    </row>
    <row r="1345">
      <c r="A1345" t="n">
        <v>708</v>
      </c>
      <c r="B1345" t="n">
        <v>4021.66</v>
      </c>
      <c r="C1345" t="n">
        <v>28170.96</v>
      </c>
      <c r="D1345" t="n">
        <v>12038.21</v>
      </c>
    </row>
    <row r="1346">
      <c r="A1346" t="n">
        <v>703</v>
      </c>
      <c r="B1346" t="n">
        <v>6474.45</v>
      </c>
      <c r="C1346" t="n">
        <v>14358.84</v>
      </c>
      <c r="D1346" t="n">
        <v>5169.57</v>
      </c>
    </row>
    <row r="1347">
      <c r="A1347" t="n">
        <v>660</v>
      </c>
      <c r="B1347" t="n">
        <v>4962</v>
      </c>
      <c r="C1347" t="n">
        <v>54617.18</v>
      </c>
      <c r="D1347" t="n">
        <v>7602.75</v>
      </c>
    </row>
    <row r="1348">
      <c r="A1348" t="n">
        <v>683</v>
      </c>
      <c r="B1348" t="n">
        <v>14464.53</v>
      </c>
      <c r="C1348" t="n">
        <v>38482.69</v>
      </c>
      <c r="D1348" t="n">
        <v>16230.99</v>
      </c>
    </row>
    <row r="1349">
      <c r="A1349" t="n">
        <v>710</v>
      </c>
      <c r="B1349" t="n">
        <v>4789.62</v>
      </c>
      <c r="C1349" t="n">
        <v>57683.21</v>
      </c>
      <c r="D1349" t="n">
        <v>11160.69</v>
      </c>
    </row>
    <row r="1350">
      <c r="A1350" t="n">
        <v>744</v>
      </c>
      <c r="B1350" t="n">
        <v>9880.540000000001</v>
      </c>
      <c r="C1350" t="n">
        <v>10053.82</v>
      </c>
      <c r="D1350" t="n">
        <v>16863.36</v>
      </c>
    </row>
    <row r="1351">
      <c r="A1351" t="n">
        <v>643</v>
      </c>
      <c r="B1351" t="n">
        <v>10802.48</v>
      </c>
      <c r="C1351" t="n">
        <v>52442.62</v>
      </c>
      <c r="D1351" t="n">
        <v>6474.45</v>
      </c>
    </row>
    <row r="1352">
      <c r="A1352" t="n">
        <v>708</v>
      </c>
      <c r="B1352" t="n">
        <v>8867</v>
      </c>
      <c r="C1352" t="n">
        <v>24155.52</v>
      </c>
      <c r="D1352" t="n">
        <v>4962</v>
      </c>
    </row>
    <row r="1353">
      <c r="A1353" t="n">
        <v>720</v>
      </c>
      <c r="B1353" t="n">
        <v>6791.19</v>
      </c>
      <c r="C1353" t="n">
        <v>31075.29</v>
      </c>
      <c r="D1353" t="n">
        <v>20159.07</v>
      </c>
    </row>
    <row r="1354">
      <c r="A1354" t="n">
        <v>642</v>
      </c>
      <c r="B1354" t="n">
        <v>19384.59</v>
      </c>
      <c r="C1354" t="n">
        <v>26266.26</v>
      </c>
      <c r="D1354" t="n">
        <v>13434.31</v>
      </c>
    </row>
    <row r="1355">
      <c r="A1355" t="n">
        <v>719</v>
      </c>
      <c r="B1355" t="n">
        <v>7437.93</v>
      </c>
      <c r="C1355" t="n">
        <v>59524.39</v>
      </c>
      <c r="D1355" t="n">
        <v>7851.04</v>
      </c>
    </row>
    <row r="1356">
      <c r="A1356" t="n">
        <v>718</v>
      </c>
      <c r="B1356" t="n">
        <v>8385.32</v>
      </c>
      <c r="C1356" t="n">
        <v>38820.74</v>
      </c>
      <c r="D1356" t="n">
        <v>13884.43</v>
      </c>
    </row>
    <row r="1357">
      <c r="A1357" t="n">
        <v>671</v>
      </c>
      <c r="B1357" t="n">
        <v>16316.3</v>
      </c>
      <c r="C1357" t="n">
        <v>19435.14</v>
      </c>
      <c r="D1357" t="n">
        <v>2568.4</v>
      </c>
    </row>
    <row r="1358">
      <c r="A1358" t="n">
        <v>636</v>
      </c>
      <c r="B1358" t="n">
        <v>27195.57</v>
      </c>
      <c r="C1358" t="n">
        <v>50995.07</v>
      </c>
      <c r="D1358" t="n">
        <v>9880.540000000001</v>
      </c>
    </row>
    <row r="1359">
      <c r="A1359" t="n">
        <v>672</v>
      </c>
      <c r="B1359" t="n">
        <v>13172.03</v>
      </c>
      <c r="C1359" t="n">
        <v>6301.42</v>
      </c>
      <c r="D1359" t="n">
        <v>10802.48</v>
      </c>
    </row>
    <row r="1360">
      <c r="A1360" t="n">
        <v>743</v>
      </c>
      <c r="B1360" t="n">
        <v>9957.610000000001</v>
      </c>
      <c r="C1360" t="n">
        <v>44577.56</v>
      </c>
      <c r="D1360" t="n">
        <v>8875.65</v>
      </c>
    </row>
    <row r="1361">
      <c r="A1361" t="n">
        <v>672</v>
      </c>
      <c r="B1361" t="n">
        <v>22461.07</v>
      </c>
      <c r="C1361" t="n">
        <v>20686.33</v>
      </c>
      <c r="D1361" t="n">
        <v>4737.16</v>
      </c>
    </row>
    <row r="1362">
      <c r="A1362" t="n">
        <v>672</v>
      </c>
      <c r="B1362" t="n">
        <v>13200.99</v>
      </c>
      <c r="C1362" t="n">
        <v>46878.46</v>
      </c>
      <c r="D1362" t="n">
        <v>4579.99</v>
      </c>
    </row>
    <row r="1363">
      <c r="A1363" t="n">
        <v>623</v>
      </c>
      <c r="B1363" t="n">
        <v>13941.6</v>
      </c>
      <c r="C1363" t="n">
        <v>10226.52</v>
      </c>
      <c r="D1363" t="n">
        <v>7518.91</v>
      </c>
    </row>
    <row r="1364">
      <c r="A1364" t="n">
        <v>690</v>
      </c>
      <c r="B1364" t="n">
        <v>16055.47</v>
      </c>
      <c r="C1364" t="n">
        <v>6337.72</v>
      </c>
      <c r="D1364" t="n">
        <v>11559.48</v>
      </c>
    </row>
    <row r="1365">
      <c r="A1365" t="n">
        <v>791</v>
      </c>
      <c r="B1365" t="n">
        <v>6503.16</v>
      </c>
      <c r="C1365" t="n">
        <v>38948.18</v>
      </c>
      <c r="D1365" t="n">
        <v>16316.3</v>
      </c>
    </row>
    <row r="1366">
      <c r="A1366" t="n">
        <v>768</v>
      </c>
      <c r="B1366" t="n">
        <v>6670.93</v>
      </c>
      <c r="C1366" t="n">
        <v>53192.81</v>
      </c>
      <c r="D1366" t="n">
        <v>13389.7</v>
      </c>
    </row>
    <row r="1367">
      <c r="A1367" t="n">
        <v>719</v>
      </c>
      <c r="B1367" t="n">
        <v>6759.09</v>
      </c>
      <c r="C1367" t="n">
        <v>15029.8</v>
      </c>
      <c r="D1367" t="n">
        <v>22461.07</v>
      </c>
    </row>
    <row r="1368">
      <c r="A1368" t="n">
        <v>756</v>
      </c>
      <c r="B1368" t="n">
        <v>13321.46</v>
      </c>
      <c r="C1368" t="n">
        <v>59701.35</v>
      </c>
      <c r="D1368" t="n">
        <v>16055.47</v>
      </c>
    </row>
    <row r="1369">
      <c r="A1369" t="n">
        <v>682</v>
      </c>
      <c r="B1369" t="n">
        <v>10271.01</v>
      </c>
      <c r="C1369" t="n">
        <v>52131.55</v>
      </c>
      <c r="D1369" t="n">
        <v>12748.74</v>
      </c>
    </row>
    <row r="1370">
      <c r="A1370" t="n">
        <v>637</v>
      </c>
      <c r="B1370" t="n">
        <v>12329.33</v>
      </c>
      <c r="C1370" t="n">
        <v>39047.34</v>
      </c>
      <c r="D1370" t="n">
        <v>5868.92</v>
      </c>
    </row>
    <row r="1371">
      <c r="A1371" t="n">
        <v>691</v>
      </c>
      <c r="B1371" t="n">
        <v>0</v>
      </c>
      <c r="C1371" t="n">
        <v>7174.62</v>
      </c>
      <c r="D1371" t="n">
        <v>9794.15</v>
      </c>
    </row>
    <row r="1372">
      <c r="A1372" t="n">
        <v>686</v>
      </c>
      <c r="B1372" t="n">
        <v>10576.67</v>
      </c>
      <c r="C1372" t="n">
        <v>37594.86</v>
      </c>
      <c r="D1372" t="n">
        <v>4450.86</v>
      </c>
    </row>
    <row r="1373">
      <c r="A1373" t="n">
        <v>670</v>
      </c>
      <c r="B1373" t="n">
        <v>10703.67</v>
      </c>
      <c r="C1373" t="n">
        <v>18651.86</v>
      </c>
      <c r="D1373" t="n">
        <v>1478.23</v>
      </c>
    </row>
    <row r="1374">
      <c r="A1374" t="n">
        <v>711</v>
      </c>
      <c r="B1374" t="n">
        <v>11497.17</v>
      </c>
      <c r="C1374" t="n">
        <v>54102.06</v>
      </c>
      <c r="D1374" t="n">
        <v>1539.27</v>
      </c>
    </row>
    <row r="1375">
      <c r="A1375" t="n">
        <v>763</v>
      </c>
      <c r="B1375" t="n">
        <v>9884.790000000001</v>
      </c>
      <c r="C1375" t="n">
        <v>54950.15</v>
      </c>
      <c r="D1375" t="n">
        <v>12025.05</v>
      </c>
    </row>
    <row r="1376">
      <c r="A1376" t="n">
        <v>631</v>
      </c>
      <c r="B1376" t="n">
        <v>8871.33</v>
      </c>
      <c r="C1376" t="n">
        <v>10241.99</v>
      </c>
      <c r="D1376" t="n">
        <v>9666.780000000001</v>
      </c>
    </row>
    <row r="1377">
      <c r="A1377" t="n">
        <v>728</v>
      </c>
      <c r="B1377" t="n">
        <v>7192.09</v>
      </c>
      <c r="C1377" t="n">
        <v>9767.52</v>
      </c>
      <c r="D1377" t="n">
        <v>7604.84</v>
      </c>
    </row>
    <row r="1378">
      <c r="A1378" t="n">
        <v>722</v>
      </c>
      <c r="B1378" t="n">
        <v>14942.04</v>
      </c>
      <c r="C1378" t="n">
        <v>9418.43</v>
      </c>
      <c r="D1378" t="n">
        <v>3612.6</v>
      </c>
    </row>
    <row r="1379">
      <c r="A1379" t="n">
        <v>729</v>
      </c>
      <c r="B1379" t="n">
        <v>5652.05</v>
      </c>
      <c r="C1379" t="n">
        <v>46390.68</v>
      </c>
      <c r="D1379" t="n">
        <v>8626.030000000001</v>
      </c>
    </row>
    <row r="1380">
      <c r="A1380" t="n">
        <v>692</v>
      </c>
      <c r="B1380" t="n">
        <v>10626.71</v>
      </c>
      <c r="C1380" t="n">
        <v>53191.16</v>
      </c>
      <c r="D1380" t="n">
        <v>10762.92</v>
      </c>
    </row>
    <row r="1381">
      <c r="A1381" t="n">
        <v>665</v>
      </c>
      <c r="B1381" t="n">
        <v>14313.58</v>
      </c>
      <c r="C1381" t="n">
        <v>17629.54</v>
      </c>
      <c r="D1381" t="n">
        <v>19204.61</v>
      </c>
    </row>
    <row r="1382">
      <c r="A1382" t="n">
        <v>668</v>
      </c>
      <c r="B1382" t="n">
        <v>16625.12</v>
      </c>
      <c r="C1382" t="n">
        <v>30968.47</v>
      </c>
      <c r="D1382" t="n">
        <v>11497.17</v>
      </c>
    </row>
    <row r="1383">
      <c r="A1383" t="n">
        <v>764</v>
      </c>
      <c r="B1383" t="n">
        <v>11201.9</v>
      </c>
      <c r="C1383" t="n">
        <v>36280.44</v>
      </c>
      <c r="D1383" t="n">
        <v>9884.790000000001</v>
      </c>
    </row>
    <row r="1384">
      <c r="A1384" t="n">
        <v>682</v>
      </c>
      <c r="B1384" t="n">
        <v>11041.51</v>
      </c>
      <c r="C1384" t="n">
        <v>32872.04</v>
      </c>
      <c r="D1384" t="n">
        <v>8871.33</v>
      </c>
    </row>
    <row r="1385">
      <c r="A1385" t="n">
        <v>766</v>
      </c>
      <c r="B1385" t="n">
        <v>4351.08</v>
      </c>
      <c r="C1385" t="n">
        <v>9826.639999999999</v>
      </c>
      <c r="D1385" t="n">
        <v>13227.99</v>
      </c>
    </row>
    <row r="1386">
      <c r="A1386" t="n">
        <v>684</v>
      </c>
      <c r="B1386" t="n">
        <v>13527.39</v>
      </c>
      <c r="C1386" t="n">
        <v>16399.34</v>
      </c>
      <c r="D1386" t="n">
        <v>16922.26</v>
      </c>
    </row>
    <row r="1387">
      <c r="A1387" t="n">
        <v>721</v>
      </c>
      <c r="B1387" t="n">
        <v>4859.72</v>
      </c>
      <c r="C1387" t="n">
        <v>50883.46</v>
      </c>
      <c r="D1387" t="n">
        <v>15333.62</v>
      </c>
    </row>
    <row r="1388">
      <c r="A1388" t="n">
        <v>683</v>
      </c>
      <c r="B1388" t="n">
        <v>9056.639999999999</v>
      </c>
      <c r="C1388" t="n">
        <v>33127.26</v>
      </c>
      <c r="D1388" t="n">
        <v>18899.86</v>
      </c>
    </row>
    <row r="1389">
      <c r="A1389" t="n">
        <v>700</v>
      </c>
      <c r="B1389" t="n">
        <v>7512.26</v>
      </c>
      <c r="C1389" t="n">
        <v>16046.83</v>
      </c>
      <c r="D1389" t="n">
        <v>14920.65</v>
      </c>
    </row>
    <row r="1390">
      <c r="A1390" t="n">
        <v>658</v>
      </c>
      <c r="B1390" t="n">
        <v>14649.05</v>
      </c>
      <c r="C1390" t="n">
        <v>7164.5</v>
      </c>
      <c r="D1390" t="n">
        <v>8270.84</v>
      </c>
    </row>
    <row r="1391">
      <c r="A1391" t="n">
        <v>636</v>
      </c>
      <c r="B1391" t="n">
        <v>22291.78</v>
      </c>
      <c r="C1391" t="n">
        <v>56300.42</v>
      </c>
      <c r="D1391" t="n">
        <v>15829.68</v>
      </c>
    </row>
    <row r="1392">
      <c r="A1392" t="n">
        <v>671</v>
      </c>
      <c r="B1392" t="n">
        <v>13449.73</v>
      </c>
      <c r="C1392" t="n">
        <v>32831.68</v>
      </c>
      <c r="D1392" t="n">
        <v>1200.1</v>
      </c>
    </row>
    <row r="1393">
      <c r="A1393" t="n">
        <v>758</v>
      </c>
      <c r="B1393" t="n">
        <v>13152.32</v>
      </c>
      <c r="C1393" t="n">
        <v>34075.31</v>
      </c>
      <c r="D1393" t="n">
        <v>12108.95</v>
      </c>
    </row>
    <row r="1394">
      <c r="A1394" t="n">
        <v>692</v>
      </c>
      <c r="B1394" t="n">
        <v>7529.94</v>
      </c>
      <c r="C1394" t="n">
        <v>56418.84</v>
      </c>
      <c r="D1394" t="n">
        <v>5364.62</v>
      </c>
    </row>
    <row r="1395">
      <c r="A1395" t="n">
        <v>732</v>
      </c>
      <c r="B1395" t="n">
        <v>3203.68</v>
      </c>
      <c r="C1395" t="n">
        <v>50562.14</v>
      </c>
      <c r="D1395" t="n">
        <v>12492.47</v>
      </c>
    </row>
    <row r="1396">
      <c r="A1396" t="n">
        <v>709</v>
      </c>
      <c r="B1396" t="n">
        <v>5672.31</v>
      </c>
      <c r="C1396" t="n">
        <v>27675.05</v>
      </c>
      <c r="D1396" t="n">
        <v>4856.04</v>
      </c>
    </row>
    <row r="1397">
      <c r="A1397" t="n">
        <v>689</v>
      </c>
      <c r="B1397" t="n">
        <v>8707.950000000001</v>
      </c>
      <c r="C1397" t="n">
        <v>17997.68</v>
      </c>
      <c r="D1397" t="n">
        <v>3953.29</v>
      </c>
    </row>
    <row r="1398">
      <c r="A1398" t="n">
        <v>633</v>
      </c>
      <c r="B1398" t="n">
        <v>25673.27</v>
      </c>
      <c r="C1398" t="n">
        <v>16716.18</v>
      </c>
      <c r="D1398" t="n">
        <v>5864.31</v>
      </c>
    </row>
    <row r="1399">
      <c r="A1399" t="n">
        <v>673</v>
      </c>
      <c r="B1399" t="n">
        <v>24981.04</v>
      </c>
      <c r="C1399" t="n">
        <v>38118.13</v>
      </c>
      <c r="D1399" t="n">
        <v>18113.89</v>
      </c>
    </row>
    <row r="1400">
      <c r="A1400" t="n">
        <v>658</v>
      </c>
      <c r="B1400" t="n">
        <v>13413.73</v>
      </c>
      <c r="C1400" t="n">
        <v>53390.39</v>
      </c>
      <c r="D1400" t="n">
        <v>11019.17</v>
      </c>
    </row>
    <row r="1401">
      <c r="A1401" t="n">
        <v>693</v>
      </c>
      <c r="B1401" t="n">
        <v>17699.07</v>
      </c>
      <c r="C1401" t="n">
        <v>38767.27</v>
      </c>
      <c r="D1401" t="n">
        <v>16394.07</v>
      </c>
    </row>
    <row r="1402">
      <c r="A1402" t="n">
        <v>756</v>
      </c>
      <c r="B1402" t="n">
        <v>11594.91</v>
      </c>
      <c r="C1402" t="n">
        <v>21794.77</v>
      </c>
      <c r="D1402" t="n">
        <v>8522.860000000001</v>
      </c>
    </row>
    <row r="1403">
      <c r="A1403" t="n">
        <v>746</v>
      </c>
      <c r="B1403" t="n">
        <v>7400.96</v>
      </c>
      <c r="C1403" t="n">
        <v>11252.72</v>
      </c>
      <c r="D1403" t="n">
        <v>8064.77</v>
      </c>
    </row>
    <row r="1404">
      <c r="A1404" t="n">
        <v>762</v>
      </c>
      <c r="B1404" t="n">
        <v>11873.75</v>
      </c>
      <c r="C1404" t="n">
        <v>14266.8</v>
      </c>
      <c r="D1404" t="n">
        <v>8741.27</v>
      </c>
    </row>
    <row r="1405">
      <c r="A1405" t="n">
        <v>669</v>
      </c>
      <c r="B1405" t="n">
        <v>9376.93</v>
      </c>
      <c r="C1405" t="n">
        <v>13127.79</v>
      </c>
      <c r="D1405" t="n">
        <v>11287.86</v>
      </c>
    </row>
    <row r="1406">
      <c r="A1406" t="n">
        <v>778</v>
      </c>
      <c r="B1406" t="n">
        <v>6583.64</v>
      </c>
      <c r="C1406" t="n">
        <v>48638.35</v>
      </c>
      <c r="D1406" t="n">
        <v>15708.46</v>
      </c>
    </row>
    <row r="1407">
      <c r="A1407" t="n">
        <v>645</v>
      </c>
      <c r="B1407" t="n">
        <v>6136.49</v>
      </c>
      <c r="C1407" t="n">
        <v>42157.22</v>
      </c>
      <c r="D1407" t="n">
        <v>12710.12</v>
      </c>
    </row>
    <row r="1408">
      <c r="A1408" t="n">
        <v>800</v>
      </c>
      <c r="B1408" t="n">
        <v>5956.67</v>
      </c>
      <c r="C1408" t="n">
        <v>33142.91</v>
      </c>
      <c r="D1408" t="n">
        <v>7801.18</v>
      </c>
    </row>
    <row r="1409">
      <c r="A1409" t="n">
        <v>852</v>
      </c>
      <c r="B1409" t="n">
        <v>4931.42</v>
      </c>
      <c r="C1409" t="n">
        <v>29337.29</v>
      </c>
      <c r="D1409" t="n">
        <v>11468.7</v>
      </c>
    </row>
    <row r="1410">
      <c r="A1410" t="n">
        <v>709</v>
      </c>
      <c r="B1410" t="n">
        <v>26559.77</v>
      </c>
      <c r="C1410" t="n">
        <v>38165.13</v>
      </c>
      <c r="D1410" t="n">
        <v>5917.16</v>
      </c>
    </row>
    <row r="1411">
      <c r="A1411" t="n">
        <v>676</v>
      </c>
      <c r="B1411" t="n">
        <v>8787.879999999999</v>
      </c>
      <c r="C1411" t="n">
        <v>9693.92</v>
      </c>
      <c r="D1411" t="n">
        <v>13957.76</v>
      </c>
    </row>
    <row r="1412">
      <c r="A1412" t="n">
        <v>698</v>
      </c>
      <c r="B1412" t="n">
        <v>16813.11</v>
      </c>
      <c r="C1412" t="n">
        <v>30075.87</v>
      </c>
      <c r="D1412" t="n">
        <v>14897.82</v>
      </c>
    </row>
    <row r="1413">
      <c r="A1413" t="n">
        <v>729</v>
      </c>
      <c r="B1413" t="n">
        <v>8285.4</v>
      </c>
      <c r="C1413" t="n">
        <v>39411.34</v>
      </c>
      <c r="D1413" t="n">
        <v>6136.49</v>
      </c>
    </row>
    <row r="1414">
      <c r="A1414" t="n">
        <v>639</v>
      </c>
      <c r="B1414" t="n">
        <v>18542.84</v>
      </c>
      <c r="C1414" t="n">
        <v>6693.01</v>
      </c>
      <c r="D1414" t="n">
        <v>10660.13</v>
      </c>
    </row>
    <row r="1415">
      <c r="A1415" t="n">
        <v>775</v>
      </c>
      <c r="B1415" t="n">
        <v>9061.92</v>
      </c>
      <c r="C1415" t="n">
        <v>34119.28</v>
      </c>
      <c r="D1415" t="n">
        <v>15921.86</v>
      </c>
    </row>
    <row r="1416">
      <c r="A1416" t="n">
        <v>643</v>
      </c>
      <c r="B1416" t="n">
        <v>18226.6</v>
      </c>
      <c r="C1416" t="n">
        <v>50226.38</v>
      </c>
      <c r="D1416" t="n">
        <v>18542.84</v>
      </c>
    </row>
    <row r="1417">
      <c r="A1417" t="n">
        <v>706</v>
      </c>
      <c r="B1417" t="n">
        <v>14483.6</v>
      </c>
      <c r="C1417" t="n">
        <v>12826.34</v>
      </c>
      <c r="D1417" t="n">
        <v>6385.27</v>
      </c>
    </row>
    <row r="1418">
      <c r="A1418" t="n">
        <v>671</v>
      </c>
      <c r="B1418" t="n">
        <v>6433.85</v>
      </c>
      <c r="C1418" t="n">
        <v>5894.47</v>
      </c>
      <c r="D1418" t="n">
        <v>6814.13</v>
      </c>
    </row>
    <row r="1419">
      <c r="A1419" t="n">
        <v>647</v>
      </c>
      <c r="B1419" t="n">
        <v>24352.27</v>
      </c>
      <c r="C1419" t="n">
        <v>41390.92</v>
      </c>
      <c r="D1419" t="n">
        <v>6433.85</v>
      </c>
    </row>
    <row r="1420">
      <c r="A1420" t="n">
        <v>674</v>
      </c>
      <c r="B1420" t="n">
        <v>12027.36</v>
      </c>
      <c r="C1420" t="n">
        <v>15177.29</v>
      </c>
      <c r="D1420" t="n">
        <v>6881.25</v>
      </c>
    </row>
    <row r="1421">
      <c r="A1421" t="n">
        <v>654</v>
      </c>
      <c r="B1421" t="n">
        <v>984.67</v>
      </c>
      <c r="C1421" t="n">
        <v>50153.93</v>
      </c>
      <c r="D1421" t="n">
        <v>16610.43</v>
      </c>
    </row>
    <row r="1422">
      <c r="A1422" t="n">
        <v>779</v>
      </c>
      <c r="B1422" t="n">
        <v>7413.06</v>
      </c>
      <c r="C1422" t="n">
        <v>11143.02</v>
      </c>
      <c r="D1422" t="n">
        <v>12027.36</v>
      </c>
    </row>
    <row r="1423">
      <c r="A1423" t="n">
        <v>717</v>
      </c>
      <c r="B1423" t="n">
        <v>7667.89</v>
      </c>
      <c r="C1423" t="n">
        <v>19152.66</v>
      </c>
      <c r="D1423" t="n">
        <v>6049.77</v>
      </c>
    </row>
    <row r="1424">
      <c r="A1424" t="n">
        <v>681</v>
      </c>
      <c r="B1424" t="n">
        <v>16246.89</v>
      </c>
      <c r="C1424" t="n">
        <v>12408.87</v>
      </c>
      <c r="D1424" t="n">
        <v>12266.24</v>
      </c>
    </row>
    <row r="1425">
      <c r="A1425" t="n">
        <v>745</v>
      </c>
      <c r="B1425" t="n">
        <v>6921.54</v>
      </c>
      <c r="C1425" t="n">
        <v>47011.99</v>
      </c>
      <c r="D1425" t="n">
        <v>10550.93</v>
      </c>
    </row>
    <row r="1426">
      <c r="A1426" t="n">
        <v>715</v>
      </c>
      <c r="B1426" t="n">
        <v>4771.86</v>
      </c>
      <c r="C1426" t="n">
        <v>53157.16</v>
      </c>
      <c r="D1426" t="n">
        <v>16426.04</v>
      </c>
    </row>
    <row r="1427">
      <c r="A1427" t="n">
        <v>731</v>
      </c>
      <c r="B1427" t="n">
        <v>14092.36</v>
      </c>
      <c r="C1427" t="n">
        <v>52613.85</v>
      </c>
      <c r="D1427" t="n">
        <v>6113.45</v>
      </c>
    </row>
    <row r="1428">
      <c r="A1428" t="n">
        <v>629</v>
      </c>
      <c r="B1428" t="n">
        <v>19998.97</v>
      </c>
      <c r="C1428" t="n">
        <v>44382.27</v>
      </c>
      <c r="D1428" t="n">
        <v>21339.78</v>
      </c>
    </row>
    <row r="1429">
      <c r="A1429" t="n">
        <v>700</v>
      </c>
      <c r="B1429" t="n">
        <v>13460.75</v>
      </c>
      <c r="C1429" t="n">
        <v>50433.71</v>
      </c>
      <c r="D1429" t="n">
        <v>4255.97</v>
      </c>
    </row>
    <row r="1430">
      <c r="A1430" t="n">
        <v>516</v>
      </c>
      <c r="B1430" t="n">
        <v>17799.32</v>
      </c>
      <c r="C1430" t="n">
        <v>43191.85</v>
      </c>
      <c r="D1430" t="n">
        <v>24562.62</v>
      </c>
    </row>
    <row r="1431">
      <c r="A1431" t="n">
        <v>666</v>
      </c>
      <c r="B1431" t="n">
        <v>13257.85</v>
      </c>
      <c r="C1431" t="n">
        <v>11295.39</v>
      </c>
      <c r="D1431" t="n">
        <v>16610.02</v>
      </c>
    </row>
    <row r="1432">
      <c r="A1432" t="n">
        <v>683</v>
      </c>
      <c r="B1432" t="n">
        <v>16610.02</v>
      </c>
      <c r="C1432" t="n">
        <v>26552.14</v>
      </c>
      <c r="D1432" t="n">
        <v>14564.67</v>
      </c>
    </row>
    <row r="1433">
      <c r="A1433" t="n">
        <v>692</v>
      </c>
      <c r="B1433" t="n">
        <v>14564.67</v>
      </c>
      <c r="C1433" t="n">
        <v>12191.7</v>
      </c>
      <c r="D1433" t="n">
        <v>8583.82</v>
      </c>
    </row>
    <row r="1434">
      <c r="A1434" t="n">
        <v>711</v>
      </c>
      <c r="B1434" t="n">
        <v>8434.950000000001</v>
      </c>
      <c r="C1434" t="n">
        <v>11129.59</v>
      </c>
      <c r="D1434" t="n">
        <v>8434.950000000001</v>
      </c>
    </row>
    <row r="1435">
      <c r="A1435" t="n">
        <v>681</v>
      </c>
      <c r="B1435" t="n">
        <v>20334.36</v>
      </c>
      <c r="C1435" t="n">
        <v>59407.8</v>
      </c>
      <c r="D1435" t="n">
        <v>20334.36</v>
      </c>
    </row>
    <row r="1436">
      <c r="A1436" t="n">
        <v>789</v>
      </c>
      <c r="B1436" t="n">
        <v>7293.04</v>
      </c>
      <c r="C1436" t="n">
        <v>38220.66</v>
      </c>
      <c r="D1436" t="n">
        <v>8517.120000000001</v>
      </c>
    </row>
    <row r="1437">
      <c r="A1437" t="n">
        <v>730</v>
      </c>
      <c r="B1437" t="n">
        <v>15106.56</v>
      </c>
      <c r="C1437" t="n">
        <v>54452.74</v>
      </c>
      <c r="D1437" t="n">
        <v>14975.47</v>
      </c>
    </row>
    <row r="1438">
      <c r="A1438" t="n">
        <v>808</v>
      </c>
      <c r="B1438" t="n">
        <v>3520.38</v>
      </c>
      <c r="C1438" t="n">
        <v>17566.39</v>
      </c>
      <c r="D1438" t="n">
        <v>16893.38</v>
      </c>
    </row>
    <row r="1439">
      <c r="A1439" t="n">
        <v>799</v>
      </c>
      <c r="B1439" t="n">
        <v>9239.610000000001</v>
      </c>
      <c r="C1439" t="n">
        <v>21145.44</v>
      </c>
      <c r="D1439" t="n">
        <v>22556.11</v>
      </c>
    </row>
    <row r="1440">
      <c r="A1440" t="n">
        <v>723</v>
      </c>
      <c r="B1440" t="n">
        <v>14932.05</v>
      </c>
      <c r="C1440" t="n">
        <v>22758.18</v>
      </c>
      <c r="D1440" t="n">
        <v>9323.200000000001</v>
      </c>
    </row>
    <row r="1441">
      <c r="A1441" t="n">
        <v>641</v>
      </c>
      <c r="B1441" t="n">
        <v>9323.200000000001</v>
      </c>
      <c r="C1441" t="n">
        <v>50119.64</v>
      </c>
      <c r="D1441" t="n">
        <v>8172.64</v>
      </c>
    </row>
    <row r="1442">
      <c r="A1442" t="n">
        <v>772</v>
      </c>
      <c r="B1442" t="n">
        <v>6420.49</v>
      </c>
      <c r="C1442" t="n">
        <v>34971.46</v>
      </c>
      <c r="D1442" t="n">
        <v>9483.879999999999</v>
      </c>
    </row>
    <row r="1443">
      <c r="A1443" t="n">
        <v>751</v>
      </c>
      <c r="B1443" t="n">
        <v>13603.42</v>
      </c>
      <c r="C1443" t="n">
        <v>15500.69</v>
      </c>
      <c r="D1443" t="n">
        <v>6579.82</v>
      </c>
    </row>
    <row r="1444">
      <c r="A1444" t="n">
        <v>637</v>
      </c>
      <c r="B1444" t="n">
        <v>21271.82</v>
      </c>
      <c r="C1444" t="n">
        <v>57967.86</v>
      </c>
      <c r="D1444" t="n">
        <v>9620.01</v>
      </c>
    </row>
    <row r="1445">
      <c r="A1445" t="n">
        <v>826</v>
      </c>
      <c r="B1445" t="n">
        <v>1913.07</v>
      </c>
      <c r="C1445" t="n">
        <v>38323.6</v>
      </c>
      <c r="D1445" t="n">
        <v>12248.24</v>
      </c>
    </row>
    <row r="1446">
      <c r="A1446" t="n">
        <v>745</v>
      </c>
      <c r="B1446" t="n">
        <v>13545.49</v>
      </c>
      <c r="C1446" t="n">
        <v>35860.92</v>
      </c>
      <c r="D1446" t="n">
        <v>12822.69</v>
      </c>
    </row>
    <row r="1447">
      <c r="A1447" t="n">
        <v>670</v>
      </c>
      <c r="B1447" t="n">
        <v>9863.09</v>
      </c>
      <c r="C1447" t="n">
        <v>33463.12</v>
      </c>
      <c r="D1447" t="n">
        <v>13545.49</v>
      </c>
    </row>
    <row r="1448">
      <c r="A1448" t="n">
        <v>693</v>
      </c>
      <c r="B1448" t="n">
        <v>6435.54</v>
      </c>
      <c r="C1448" t="n">
        <v>25479.78</v>
      </c>
      <c r="D1448" t="n">
        <v>8165.4</v>
      </c>
    </row>
    <row r="1449">
      <c r="A1449" t="n">
        <v>620</v>
      </c>
      <c r="B1449" t="n">
        <v>20867.83</v>
      </c>
      <c r="C1449" t="n">
        <v>35464.39</v>
      </c>
      <c r="D1449" t="n">
        <v>12392.71</v>
      </c>
    </row>
    <row r="1450">
      <c r="A1450" t="n">
        <v>684</v>
      </c>
      <c r="B1450" t="n">
        <v>9112.870000000001</v>
      </c>
      <c r="C1450" t="n">
        <v>7516.96</v>
      </c>
      <c r="D1450" t="n">
        <v>9863.09</v>
      </c>
    </row>
    <row r="1451">
      <c r="A1451" t="n">
        <v>765</v>
      </c>
      <c r="B1451" t="n">
        <v>12797.03</v>
      </c>
      <c r="C1451" t="n">
        <v>19957.4</v>
      </c>
      <c r="D1451" t="n">
        <v>17580.39</v>
      </c>
    </row>
    <row r="1452">
      <c r="A1452" t="n">
        <v>644</v>
      </c>
      <c r="B1452" t="n">
        <v>7374.2</v>
      </c>
      <c r="C1452" t="n">
        <v>52261.46</v>
      </c>
      <c r="D1452" t="n">
        <v>3998.75</v>
      </c>
    </row>
    <row r="1453">
      <c r="A1453" t="n">
        <v>632</v>
      </c>
      <c r="B1453" t="n">
        <v>18853.41</v>
      </c>
      <c r="C1453" t="n">
        <v>15455.2</v>
      </c>
      <c r="D1453" t="n">
        <v>4155.66</v>
      </c>
    </row>
    <row r="1454">
      <c r="A1454" t="n">
        <v>704</v>
      </c>
      <c r="B1454" t="n">
        <v>8921.950000000001</v>
      </c>
      <c r="C1454" t="n">
        <v>52394.09</v>
      </c>
      <c r="D1454" t="n">
        <v>3712.11</v>
      </c>
    </row>
    <row r="1455">
      <c r="A1455" t="n">
        <v>722</v>
      </c>
      <c r="B1455" t="n">
        <v>12351.87</v>
      </c>
      <c r="C1455" t="n">
        <v>11604.55</v>
      </c>
      <c r="D1455" t="n">
        <v>3804.77</v>
      </c>
    </row>
    <row r="1456">
      <c r="A1456" t="n">
        <v>716</v>
      </c>
      <c r="B1456" t="n">
        <v>11617.96</v>
      </c>
      <c r="C1456" t="n">
        <v>24290.98</v>
      </c>
      <c r="D1456" t="n">
        <v>18853.41</v>
      </c>
    </row>
    <row r="1457">
      <c r="A1457" t="n">
        <v>585</v>
      </c>
      <c r="B1457" t="n">
        <v>48521.79</v>
      </c>
      <c r="C1457" t="n">
        <v>45900.95</v>
      </c>
      <c r="D1457" t="n">
        <v>12432.29</v>
      </c>
    </row>
    <row r="1458">
      <c r="A1458" t="n">
        <v>720</v>
      </c>
      <c r="B1458" t="n">
        <v>13379.79</v>
      </c>
      <c r="C1458" t="n">
        <v>21611.29</v>
      </c>
      <c r="D1458" t="n">
        <v>3246.84</v>
      </c>
    </row>
    <row r="1459">
      <c r="A1459" t="n">
        <v>812</v>
      </c>
      <c r="B1459" t="n">
        <v>6652.28</v>
      </c>
      <c r="C1459" t="n">
        <v>13750.95</v>
      </c>
      <c r="D1459" t="n">
        <v>18879.1</v>
      </c>
    </row>
    <row r="1460">
      <c r="A1460" t="n">
        <v>737</v>
      </c>
      <c r="B1460" t="n">
        <v>15373.61</v>
      </c>
      <c r="C1460" t="n">
        <v>49420.42</v>
      </c>
      <c r="D1460" t="n">
        <v>35838.85</v>
      </c>
    </row>
    <row r="1461">
      <c r="A1461" t="n">
        <v>758</v>
      </c>
      <c r="B1461" t="n">
        <v>4868.34</v>
      </c>
      <c r="C1461" t="n">
        <v>37033.66</v>
      </c>
      <c r="D1461" t="n">
        <v>1491.62</v>
      </c>
    </row>
    <row r="1462">
      <c r="A1462" t="n">
        <v>687</v>
      </c>
      <c r="B1462" t="n">
        <v>12198.95</v>
      </c>
      <c r="C1462" t="n">
        <v>52937.41</v>
      </c>
      <c r="D1462" t="n">
        <v>13341.54</v>
      </c>
    </row>
    <row r="1463">
      <c r="A1463" t="n">
        <v>719</v>
      </c>
      <c r="B1463" t="n">
        <v>8728.35</v>
      </c>
      <c r="C1463" t="n">
        <v>10585.04</v>
      </c>
      <c r="D1463" t="n">
        <v>13648.76</v>
      </c>
    </row>
    <row r="1464">
      <c r="A1464" t="n">
        <v>698</v>
      </c>
      <c r="B1464" t="n">
        <v>12560.26</v>
      </c>
      <c r="C1464" t="n">
        <v>21531.4</v>
      </c>
      <c r="D1464" t="n">
        <v>5504.11</v>
      </c>
    </row>
    <row r="1465">
      <c r="A1465" t="n">
        <v>672</v>
      </c>
      <c r="B1465" t="n">
        <v>11245.3</v>
      </c>
      <c r="C1465" t="n">
        <v>50813.72</v>
      </c>
      <c r="D1465" t="n">
        <v>11628.03</v>
      </c>
    </row>
    <row r="1466">
      <c r="A1466" t="n">
        <v>711</v>
      </c>
      <c r="B1466" t="n">
        <v>12689.93</v>
      </c>
      <c r="C1466" t="n">
        <v>18487.59</v>
      </c>
      <c r="D1466" t="n">
        <v>9429.639999999999</v>
      </c>
    </row>
    <row r="1467">
      <c r="A1467" t="n">
        <v>762</v>
      </c>
      <c r="B1467" t="n">
        <v>1965.29</v>
      </c>
      <c r="C1467" t="n">
        <v>55410.6</v>
      </c>
      <c r="D1467" t="n">
        <v>6474.7</v>
      </c>
    </row>
    <row r="1468">
      <c r="A1468" t="n">
        <v>697</v>
      </c>
      <c r="B1468" t="n">
        <v>13080.44</v>
      </c>
      <c r="C1468" t="n">
        <v>16158.84</v>
      </c>
      <c r="D1468" t="n">
        <v>11565.98</v>
      </c>
    </row>
    <row r="1469">
      <c r="A1469" t="n">
        <v>672</v>
      </c>
      <c r="B1469" t="n">
        <v>12027.11</v>
      </c>
      <c r="C1469" t="n">
        <v>10203.39</v>
      </c>
      <c r="D1469" t="n">
        <v>25852.76</v>
      </c>
    </row>
    <row r="1470">
      <c r="A1470" t="n">
        <v>708</v>
      </c>
      <c r="B1470" t="n">
        <v>11639.89</v>
      </c>
      <c r="C1470" t="n">
        <v>16819.74</v>
      </c>
      <c r="D1470" t="n">
        <v>11342.27</v>
      </c>
    </row>
    <row r="1471">
      <c r="A1471" t="n">
        <v>751</v>
      </c>
      <c r="B1471" t="n">
        <v>11745.89</v>
      </c>
      <c r="C1471" t="n">
        <v>22914.95</v>
      </c>
      <c r="D1471" t="n">
        <v>23883.46</v>
      </c>
    </row>
    <row r="1472">
      <c r="A1472" t="n">
        <v>618</v>
      </c>
      <c r="B1472" t="n">
        <v>21347.05</v>
      </c>
      <c r="C1472" t="n">
        <v>36287.4</v>
      </c>
      <c r="D1472" t="n">
        <v>11745.89</v>
      </c>
    </row>
    <row r="1473">
      <c r="A1473" t="n">
        <v>774</v>
      </c>
      <c r="B1473" t="n">
        <v>6540.46</v>
      </c>
      <c r="C1473" t="n">
        <v>27592.69</v>
      </c>
      <c r="D1473" t="n">
        <v>5373.19</v>
      </c>
    </row>
    <row r="1474">
      <c r="A1474" t="n">
        <v>689</v>
      </c>
      <c r="B1474" t="n">
        <v>12652.13</v>
      </c>
      <c r="C1474" t="n">
        <v>36824.14</v>
      </c>
      <c r="D1474" t="n">
        <v>6540.46</v>
      </c>
    </row>
    <row r="1475">
      <c r="A1475" t="n">
        <v>757</v>
      </c>
      <c r="B1475" t="n">
        <v>7040.81</v>
      </c>
      <c r="C1475" t="n">
        <v>38144.51</v>
      </c>
      <c r="D1475" t="n">
        <v>12652.13</v>
      </c>
    </row>
    <row r="1476">
      <c r="A1476" t="n">
        <v>791</v>
      </c>
      <c r="B1476" t="n">
        <v>7650.46</v>
      </c>
      <c r="C1476" t="n">
        <v>29602.14</v>
      </c>
      <c r="D1476" t="n">
        <v>3884.03</v>
      </c>
    </row>
    <row r="1477">
      <c r="A1477" t="n">
        <v>598</v>
      </c>
      <c r="B1477" t="n">
        <v>29562.46</v>
      </c>
      <c r="C1477" t="n">
        <v>54599.76</v>
      </c>
      <c r="D1477" t="n">
        <v>6214.25</v>
      </c>
    </row>
    <row r="1478">
      <c r="A1478" t="n">
        <v>791</v>
      </c>
      <c r="B1478" t="n">
        <v>3884.03</v>
      </c>
      <c r="C1478" t="n">
        <v>52794.3</v>
      </c>
      <c r="D1478" t="n">
        <v>11586.15</v>
      </c>
    </row>
    <row r="1479">
      <c r="A1479" t="n">
        <v>732</v>
      </c>
      <c r="B1479" t="n">
        <v>12659.67</v>
      </c>
      <c r="C1479" t="n">
        <v>45358.08</v>
      </c>
      <c r="D1479" t="n">
        <v>3733.8</v>
      </c>
    </row>
    <row r="1480">
      <c r="A1480" t="n">
        <v>756</v>
      </c>
      <c r="B1480" t="n">
        <v>11586.15</v>
      </c>
      <c r="C1480" t="n">
        <v>17836.16</v>
      </c>
      <c r="D1480" t="n">
        <v>12563.28</v>
      </c>
    </row>
    <row r="1481">
      <c r="A1481" t="n">
        <v>605</v>
      </c>
      <c r="B1481" t="n">
        <v>3733.8</v>
      </c>
      <c r="C1481" t="n">
        <v>43875.13</v>
      </c>
      <c r="D1481" t="n">
        <v>8993.610000000001</v>
      </c>
    </row>
    <row r="1482">
      <c r="A1482" t="n">
        <v>638</v>
      </c>
      <c r="B1482" t="n">
        <v>15841.53</v>
      </c>
      <c r="C1482" t="n">
        <v>59199.5</v>
      </c>
      <c r="D1482" t="n">
        <v>6110.99</v>
      </c>
    </row>
    <row r="1483">
      <c r="A1483" t="n">
        <v>621</v>
      </c>
      <c r="B1483" t="n">
        <v>17133.57</v>
      </c>
      <c r="C1483" t="n">
        <v>34474.26</v>
      </c>
      <c r="D1483" t="n">
        <v>6558.9</v>
      </c>
    </row>
    <row r="1484">
      <c r="A1484" t="n">
        <v>766</v>
      </c>
      <c r="B1484" t="n">
        <v>6110.99</v>
      </c>
      <c r="C1484" t="n">
        <v>28613.84</v>
      </c>
      <c r="D1484" t="n">
        <v>27079.39</v>
      </c>
    </row>
    <row r="1485">
      <c r="A1485" t="n">
        <v>708</v>
      </c>
      <c r="B1485" t="n">
        <v>12202.78</v>
      </c>
      <c r="C1485" t="n">
        <v>48450.98</v>
      </c>
      <c r="D1485" t="n">
        <v>8678.309999999999</v>
      </c>
    </row>
    <row r="1486">
      <c r="A1486" t="n">
        <v>591</v>
      </c>
      <c r="B1486" t="n">
        <v>24351.23</v>
      </c>
      <c r="C1486" t="n">
        <v>17318.93</v>
      </c>
      <c r="D1486" t="n">
        <v>13608.24</v>
      </c>
    </row>
    <row r="1487">
      <c r="A1487" t="n">
        <v>671</v>
      </c>
      <c r="B1487" t="n">
        <v>13281.78</v>
      </c>
      <c r="C1487" t="n">
        <v>54801.84</v>
      </c>
      <c r="D1487" t="n">
        <v>9353.719999999999</v>
      </c>
    </row>
    <row r="1488">
      <c r="A1488" t="n">
        <v>804</v>
      </c>
      <c r="B1488" t="n">
        <v>5735.96</v>
      </c>
      <c r="C1488" t="n">
        <v>17114.69</v>
      </c>
      <c r="D1488" t="n">
        <v>6947.85</v>
      </c>
    </row>
    <row r="1489">
      <c r="A1489" t="n">
        <v>688</v>
      </c>
      <c r="B1489" t="n">
        <v>7740.84</v>
      </c>
      <c r="C1489" t="n">
        <v>35644.53</v>
      </c>
      <c r="D1489" t="n">
        <v>11882.31</v>
      </c>
    </row>
    <row r="1490">
      <c r="A1490" t="n">
        <v>707</v>
      </c>
      <c r="B1490" t="n">
        <v>4627.02</v>
      </c>
      <c r="C1490" t="n">
        <v>8235.24</v>
      </c>
      <c r="D1490" t="n">
        <v>10265.95</v>
      </c>
    </row>
    <row r="1491">
      <c r="A1491" t="n">
        <v>763</v>
      </c>
      <c r="B1491" t="n">
        <v>8200.49</v>
      </c>
      <c r="C1491" t="n">
        <v>35499.32</v>
      </c>
      <c r="D1491" t="n">
        <v>17583.88</v>
      </c>
    </row>
    <row r="1492">
      <c r="A1492" t="n">
        <v>638</v>
      </c>
      <c r="B1492" t="n">
        <v>10265.95</v>
      </c>
      <c r="C1492" t="n">
        <v>55460.7</v>
      </c>
      <c r="D1492" t="n">
        <v>17931.4</v>
      </c>
    </row>
    <row r="1493">
      <c r="A1493" t="n">
        <v>710</v>
      </c>
      <c r="B1493" t="n">
        <v>17583.88</v>
      </c>
      <c r="C1493" t="n">
        <v>53064.29</v>
      </c>
      <c r="D1493" t="n">
        <v>5089.48</v>
      </c>
    </row>
    <row r="1494">
      <c r="A1494" t="n">
        <v>702</v>
      </c>
      <c r="B1494" t="n">
        <v>17196.85</v>
      </c>
      <c r="C1494" t="n">
        <v>16067.38</v>
      </c>
      <c r="D1494" t="n">
        <v>4537.33</v>
      </c>
    </row>
    <row r="1495">
      <c r="A1495" t="n">
        <v>682</v>
      </c>
      <c r="B1495" t="n">
        <v>10717.11</v>
      </c>
      <c r="C1495" t="n">
        <v>11417.91</v>
      </c>
      <c r="D1495" t="n">
        <v>7278.96</v>
      </c>
    </row>
    <row r="1496">
      <c r="A1496" t="n">
        <v>711</v>
      </c>
      <c r="B1496" t="n">
        <v>14825.2</v>
      </c>
      <c r="C1496" t="n">
        <v>7812.91</v>
      </c>
      <c r="D1496" t="n">
        <v>6662.97</v>
      </c>
    </row>
    <row r="1497">
      <c r="A1497" t="n">
        <v>685</v>
      </c>
      <c r="B1497" t="n">
        <v>22168.37</v>
      </c>
      <c r="C1497" t="n">
        <v>13419.14</v>
      </c>
      <c r="D1497" t="n">
        <v>6579.21</v>
      </c>
    </row>
    <row r="1498">
      <c r="A1498" t="n">
        <v>767</v>
      </c>
      <c r="B1498" t="n">
        <v>11186.85</v>
      </c>
      <c r="C1498" t="n">
        <v>43641.01</v>
      </c>
      <c r="D1498" t="n">
        <v>14359.06</v>
      </c>
    </row>
    <row r="1499">
      <c r="A1499" t="n">
        <v>641</v>
      </c>
      <c r="B1499" t="n">
        <v>10686.05</v>
      </c>
      <c r="C1499" t="n">
        <v>41782.75</v>
      </c>
      <c r="D1499" t="n">
        <v>7600.89</v>
      </c>
    </row>
    <row r="1500">
      <c r="A1500" t="n">
        <v>611</v>
      </c>
      <c r="B1500" t="n">
        <v>19668.64</v>
      </c>
      <c r="C1500" t="n">
        <v>5342.31</v>
      </c>
      <c r="D1500" t="n">
        <v>15901.52</v>
      </c>
    </row>
    <row r="1501">
      <c r="A1501" t="n">
        <v>679</v>
      </c>
      <c r="B1501" t="n">
        <v>20526.9</v>
      </c>
      <c r="C1501" t="n">
        <v>21787.82</v>
      </c>
      <c r="D1501" t="n">
        <v>13614.89</v>
      </c>
    </row>
    <row r="1502">
      <c r="A1502" t="n">
        <v>665</v>
      </c>
      <c r="B1502" t="n">
        <v>12889.72</v>
      </c>
      <c r="C1502" t="n">
        <v>50748.75</v>
      </c>
      <c r="D1502" t="n">
        <v>12944.39</v>
      </c>
    </row>
    <row r="1503">
      <c r="A1503" t="n">
        <v>666</v>
      </c>
      <c r="B1503" t="n">
        <v>8547.58</v>
      </c>
      <c r="C1503" t="n">
        <v>5145.63</v>
      </c>
      <c r="D1503" t="n">
        <v>7941.73</v>
      </c>
    </row>
    <row r="1504">
      <c r="A1504" t="n">
        <v>738</v>
      </c>
      <c r="B1504" t="n">
        <v>6747.88</v>
      </c>
      <c r="C1504" t="n">
        <v>45961.07</v>
      </c>
      <c r="D1504" t="n">
        <v>0</v>
      </c>
    </row>
    <row r="1505">
      <c r="A1505" t="n">
        <v>749</v>
      </c>
      <c r="B1505" t="n">
        <v>13529.41</v>
      </c>
      <c r="C1505" t="n">
        <v>26286.79</v>
      </c>
      <c r="D1505" t="n">
        <v>6747.88</v>
      </c>
    </row>
    <row r="1506">
      <c r="A1506" t="n">
        <v>730</v>
      </c>
      <c r="B1506" t="n">
        <v>2079.81</v>
      </c>
      <c r="C1506" t="n">
        <v>57259.15</v>
      </c>
      <c r="D1506" t="n">
        <v>13529.41</v>
      </c>
    </row>
    <row r="1507">
      <c r="A1507" t="n">
        <v>772</v>
      </c>
      <c r="B1507" t="n">
        <v>13065.25</v>
      </c>
      <c r="C1507" t="n">
        <v>51317.22</v>
      </c>
      <c r="D1507" t="n">
        <v>12549.8</v>
      </c>
    </row>
    <row r="1508">
      <c r="A1508" t="n">
        <v>762</v>
      </c>
      <c r="B1508" t="n">
        <v>1420.31</v>
      </c>
      <c r="C1508" t="n">
        <v>8538.83</v>
      </c>
      <c r="D1508" t="n">
        <v>7307.83</v>
      </c>
    </row>
    <row r="1509">
      <c r="A1509" t="n">
        <v>644</v>
      </c>
      <c r="B1509" t="n">
        <v>21148.38</v>
      </c>
      <c r="C1509" t="n">
        <v>27635.59</v>
      </c>
      <c r="D1509" t="n">
        <v>19857.21</v>
      </c>
    </row>
    <row r="1510">
      <c r="A1510" t="n">
        <v>649</v>
      </c>
      <c r="B1510" t="n">
        <v>18753.57</v>
      </c>
      <c r="C1510" t="n">
        <v>12474.9</v>
      </c>
      <c r="D1510" t="n">
        <v>4594.81</v>
      </c>
    </row>
    <row r="1511">
      <c r="A1511" t="n">
        <v>704</v>
      </c>
      <c r="B1511" t="n">
        <v>9697.969999999999</v>
      </c>
      <c r="C1511" t="n">
        <v>26198.23</v>
      </c>
      <c r="D1511" t="n">
        <v>9086.129999999999</v>
      </c>
    </row>
    <row r="1512">
      <c r="A1512" t="n">
        <v>791</v>
      </c>
      <c r="B1512" t="n">
        <v>6209.45</v>
      </c>
      <c r="C1512" t="n">
        <v>44474.82</v>
      </c>
      <c r="D1512" t="n">
        <v>21148.38</v>
      </c>
    </row>
    <row r="1513">
      <c r="A1513" t="n">
        <v>796</v>
      </c>
      <c r="B1513" t="n">
        <v>8026.07</v>
      </c>
      <c r="C1513" t="n">
        <v>35617.91</v>
      </c>
      <c r="D1513" t="n">
        <v>11378.47</v>
      </c>
    </row>
    <row r="1514">
      <c r="A1514" t="n">
        <v>627</v>
      </c>
      <c r="B1514" t="n">
        <v>9805.690000000001</v>
      </c>
      <c r="C1514" t="n">
        <v>39149.44</v>
      </c>
      <c r="D1514" t="n">
        <v>7689.79</v>
      </c>
    </row>
    <row r="1515">
      <c r="A1515" t="n">
        <v>659</v>
      </c>
      <c r="B1515" t="n">
        <v>10093.9</v>
      </c>
      <c r="C1515" t="n">
        <v>27814.78</v>
      </c>
      <c r="D1515" t="n">
        <v>14377.95</v>
      </c>
    </row>
    <row r="1516">
      <c r="A1516" t="n">
        <v>694</v>
      </c>
      <c r="B1516" t="n">
        <v>4162.96</v>
      </c>
      <c r="C1516" t="n">
        <v>35586.25</v>
      </c>
      <c r="D1516" t="n">
        <v>20630.77</v>
      </c>
    </row>
    <row r="1517">
      <c r="A1517" t="n">
        <v>787</v>
      </c>
      <c r="B1517" t="n">
        <v>8708.73</v>
      </c>
      <c r="C1517" t="n">
        <v>58430.22</v>
      </c>
      <c r="D1517" t="n">
        <v>13675.68</v>
      </c>
    </row>
    <row r="1518">
      <c r="A1518" t="n">
        <v>678</v>
      </c>
      <c r="B1518" t="n">
        <v>20695.06</v>
      </c>
      <c r="C1518" t="n">
        <v>52450.08</v>
      </c>
      <c r="D1518" t="n">
        <v>14160.42</v>
      </c>
    </row>
    <row r="1519">
      <c r="A1519" t="n">
        <v>697</v>
      </c>
      <c r="B1519" t="n">
        <v>6336.15</v>
      </c>
      <c r="C1519" t="n">
        <v>9447.639999999999</v>
      </c>
      <c r="D1519" t="n">
        <v>25641.17</v>
      </c>
    </row>
    <row r="1520">
      <c r="A1520" t="n">
        <v>596</v>
      </c>
      <c r="B1520" t="n">
        <v>33056.9</v>
      </c>
      <c r="C1520" t="n">
        <v>10333.62</v>
      </c>
      <c r="D1520" t="n">
        <v>11412.52</v>
      </c>
    </row>
    <row r="1521">
      <c r="A1521" t="n">
        <v>761</v>
      </c>
      <c r="B1521" t="n">
        <v>5939.09</v>
      </c>
      <c r="C1521" t="n">
        <v>8417.84</v>
      </c>
      <c r="D1521" t="n">
        <v>14107.12</v>
      </c>
    </row>
    <row r="1522">
      <c r="A1522" t="n">
        <v>701</v>
      </c>
      <c r="B1522" t="n">
        <v>12842.63</v>
      </c>
      <c r="C1522" t="n">
        <v>44414.54</v>
      </c>
      <c r="D1522" t="n">
        <v>20380.96</v>
      </c>
    </row>
    <row r="1523">
      <c r="A1523" t="n">
        <v>700</v>
      </c>
      <c r="B1523" t="n">
        <v>15072.56</v>
      </c>
      <c r="C1523" t="n">
        <v>11586.58</v>
      </c>
      <c r="D1523" t="n">
        <v>11633.88</v>
      </c>
    </row>
    <row r="1524">
      <c r="A1524" t="n">
        <v>750</v>
      </c>
      <c r="B1524" t="n">
        <v>6391.49</v>
      </c>
      <c r="C1524" t="n">
        <v>7874.14</v>
      </c>
      <c r="D1524" t="n">
        <v>33056.9</v>
      </c>
    </row>
    <row r="1525">
      <c r="A1525" t="n">
        <v>741</v>
      </c>
      <c r="B1525" t="n">
        <v>7889.85</v>
      </c>
      <c r="C1525" t="n">
        <v>19047.14</v>
      </c>
      <c r="D1525" t="n">
        <v>9372.98</v>
      </c>
    </row>
    <row r="1526">
      <c r="A1526" t="n">
        <v>661</v>
      </c>
      <c r="B1526" t="n">
        <v>17528.62</v>
      </c>
      <c r="C1526" t="n">
        <v>28142.73</v>
      </c>
      <c r="D1526" t="n">
        <v>16454.58</v>
      </c>
    </row>
    <row r="1527">
      <c r="A1527" t="n">
        <v>674</v>
      </c>
      <c r="B1527" t="n">
        <v>15812.66</v>
      </c>
      <c r="C1527" t="n">
        <v>21801.95</v>
      </c>
      <c r="D1527" t="n">
        <v>11558.26</v>
      </c>
    </row>
    <row r="1528">
      <c r="A1528" t="n">
        <v>738</v>
      </c>
      <c r="B1528" t="n">
        <v>11248.3</v>
      </c>
      <c r="C1528" t="n">
        <v>48126.95</v>
      </c>
      <c r="D1528" t="n">
        <v>19674.48</v>
      </c>
    </row>
    <row r="1529">
      <c r="A1529" t="n">
        <v>707</v>
      </c>
      <c r="B1529" t="n">
        <v>11434.3</v>
      </c>
      <c r="C1529" t="n">
        <v>28058.29</v>
      </c>
      <c r="D1529" t="n">
        <v>14955.13</v>
      </c>
    </row>
    <row r="1530">
      <c r="A1530" t="n">
        <v>735</v>
      </c>
      <c r="B1530" t="n">
        <v>10087.48</v>
      </c>
      <c r="C1530" t="n">
        <v>30379.71</v>
      </c>
      <c r="D1530" t="n">
        <v>6391.34</v>
      </c>
    </row>
    <row r="1531">
      <c r="A1531" t="n">
        <v>647</v>
      </c>
      <c r="B1531" t="n">
        <v>9030.6</v>
      </c>
      <c r="C1531" t="n">
        <v>51349.9</v>
      </c>
      <c r="D1531" t="n">
        <v>13521.92</v>
      </c>
    </row>
    <row r="1532">
      <c r="A1532" t="n">
        <v>607</v>
      </c>
      <c r="B1532" t="n">
        <v>14533.64</v>
      </c>
      <c r="C1532" t="n">
        <v>28546.19</v>
      </c>
      <c r="D1532" t="n">
        <v>17368.94</v>
      </c>
    </row>
    <row r="1533">
      <c r="A1533" t="n">
        <v>661</v>
      </c>
      <c r="B1533" t="n">
        <v>6214.14</v>
      </c>
      <c r="C1533" t="n">
        <v>21140.76</v>
      </c>
      <c r="D1533" t="n">
        <v>5777.55</v>
      </c>
    </row>
    <row r="1534">
      <c r="A1534" t="n">
        <v>745</v>
      </c>
      <c r="B1534" t="n">
        <v>8922.209999999999</v>
      </c>
      <c r="C1534" t="n">
        <v>13020.44</v>
      </c>
      <c r="D1534" t="n">
        <v>8986.690000000001</v>
      </c>
    </row>
    <row r="1535">
      <c r="A1535" t="n">
        <v>704</v>
      </c>
      <c r="B1535" t="n">
        <v>9356.9</v>
      </c>
      <c r="C1535" t="n">
        <v>43732.04</v>
      </c>
      <c r="D1535" t="n">
        <v>6583.59</v>
      </c>
    </row>
    <row r="1536">
      <c r="A1536" t="n">
        <v>600</v>
      </c>
      <c r="B1536" t="n">
        <v>9074.549999999999</v>
      </c>
      <c r="C1536" t="n">
        <v>20409.73</v>
      </c>
      <c r="D1536" t="n">
        <v>10087.48</v>
      </c>
    </row>
    <row r="1537">
      <c r="A1537" t="n">
        <v>721</v>
      </c>
      <c r="B1537" t="n">
        <v>14649.87</v>
      </c>
      <c r="C1537" t="n">
        <v>57884.35</v>
      </c>
      <c r="D1537" t="n">
        <v>6214.14</v>
      </c>
    </row>
    <row r="1538">
      <c r="A1538" t="n">
        <v>634</v>
      </c>
      <c r="B1538" t="n">
        <v>22230.05</v>
      </c>
      <c r="C1538" t="n">
        <v>10304.57</v>
      </c>
      <c r="D1538" t="n">
        <v>18472.23</v>
      </c>
    </row>
    <row r="1539">
      <c r="A1539" t="n">
        <v>609</v>
      </c>
      <c r="B1539" t="n">
        <v>15172.47</v>
      </c>
      <c r="C1539" t="n">
        <v>49394.44</v>
      </c>
      <c r="D1539" t="n">
        <v>9356.9</v>
      </c>
    </row>
    <row r="1540">
      <c r="A1540" t="n">
        <v>789</v>
      </c>
      <c r="B1540" t="n">
        <v>4244.77</v>
      </c>
      <c r="C1540" t="n">
        <v>48065.71</v>
      </c>
      <c r="D1540" t="n">
        <v>14090.19</v>
      </c>
    </row>
    <row r="1541">
      <c r="A1541" t="n">
        <v>665</v>
      </c>
      <c r="B1541" t="n">
        <v>5122.66</v>
      </c>
      <c r="C1541" t="n">
        <v>42751.66</v>
      </c>
      <c r="D1541" t="n">
        <v>20744.6</v>
      </c>
    </row>
    <row r="1542">
      <c r="A1542" t="n">
        <v>608</v>
      </c>
      <c r="B1542" t="n">
        <v>13340.4</v>
      </c>
      <c r="C1542" t="n">
        <v>18972.34</v>
      </c>
      <c r="D1542" t="n">
        <v>4952.97</v>
      </c>
    </row>
    <row r="1543">
      <c r="A1543" t="n">
        <v>732</v>
      </c>
      <c r="B1543" t="n">
        <v>11643.44</v>
      </c>
      <c r="C1543" t="n">
        <v>12998.82</v>
      </c>
      <c r="D1543" t="n">
        <v>16484.3</v>
      </c>
    </row>
    <row r="1544">
      <c r="A1544" t="n">
        <v>748</v>
      </c>
      <c r="B1544" t="n">
        <v>7321.54</v>
      </c>
      <c r="C1544" t="n">
        <v>9536.76</v>
      </c>
      <c r="D1544" t="n">
        <v>16567.13</v>
      </c>
    </row>
    <row r="1545">
      <c r="A1545" t="n">
        <v>652</v>
      </c>
      <c r="B1545" t="n">
        <v>8271.790000000001</v>
      </c>
      <c r="C1545" t="n">
        <v>31419.1</v>
      </c>
      <c r="D1545" t="n">
        <v>16198.04</v>
      </c>
    </row>
    <row r="1546">
      <c r="A1546" t="n">
        <v>742</v>
      </c>
      <c r="B1546" t="n">
        <v>6138.68</v>
      </c>
      <c r="C1546" t="n">
        <v>51053.84</v>
      </c>
      <c r="D1546" t="n">
        <v>8645.860000000001</v>
      </c>
    </row>
    <row r="1547">
      <c r="A1547" t="n">
        <v>689</v>
      </c>
      <c r="B1547" t="n">
        <v>12982.79</v>
      </c>
      <c r="C1547" t="n">
        <v>37647.64</v>
      </c>
      <c r="D1547" t="n">
        <v>12652.72</v>
      </c>
    </row>
    <row r="1548">
      <c r="A1548" t="n">
        <v>746</v>
      </c>
      <c r="B1548" t="n">
        <v>11810.82</v>
      </c>
      <c r="C1548" t="n">
        <v>7633.5</v>
      </c>
      <c r="D1548" t="n">
        <v>21226.76</v>
      </c>
    </row>
    <row r="1549">
      <c r="A1549" t="n">
        <v>665</v>
      </c>
      <c r="B1549" t="n">
        <v>10828.1</v>
      </c>
      <c r="C1549" t="n">
        <v>19514.74</v>
      </c>
      <c r="D1549" t="n">
        <v>17913.63</v>
      </c>
    </row>
    <row r="1550">
      <c r="A1550" t="n">
        <v>654</v>
      </c>
      <c r="B1550" t="n">
        <v>18810.41</v>
      </c>
      <c r="C1550" t="n">
        <v>5048.78</v>
      </c>
      <c r="D1550" t="n">
        <v>8147.21</v>
      </c>
    </row>
    <row r="1551">
      <c r="A1551" t="n">
        <v>708</v>
      </c>
      <c r="B1551" t="n">
        <v>11793.17</v>
      </c>
      <c r="C1551" t="n">
        <v>19419</v>
      </c>
      <c r="D1551" t="n">
        <v>6138.68</v>
      </c>
    </row>
    <row r="1552">
      <c r="A1552" t="n">
        <v>854</v>
      </c>
      <c r="B1552" t="n">
        <v>1758.14</v>
      </c>
      <c r="C1552" t="n">
        <v>47299.5</v>
      </c>
      <c r="D1552" t="n">
        <v>12982.79</v>
      </c>
    </row>
    <row r="1553">
      <c r="A1553" t="n">
        <v>713</v>
      </c>
      <c r="B1553" t="n">
        <v>9375.42</v>
      </c>
      <c r="C1553" t="n">
        <v>24319.88</v>
      </c>
      <c r="D1553" t="n">
        <v>6130.92</v>
      </c>
    </row>
    <row r="1554">
      <c r="A1554" t="n">
        <v>676</v>
      </c>
      <c r="B1554" t="n">
        <v>24127.08</v>
      </c>
      <c r="C1554" t="n">
        <v>25230.34</v>
      </c>
      <c r="D1554" t="n">
        <v>3424.74</v>
      </c>
    </row>
    <row r="1555">
      <c r="A1555" t="n">
        <v>638</v>
      </c>
      <c r="B1555" t="n">
        <v>33008.02</v>
      </c>
      <c r="C1555" t="n">
        <v>59036.49</v>
      </c>
      <c r="D1555" t="n">
        <v>11071.1</v>
      </c>
    </row>
    <row r="1556">
      <c r="A1556" t="n">
        <v>733</v>
      </c>
      <c r="B1556" t="n">
        <v>10011.08</v>
      </c>
      <c r="C1556" t="n">
        <v>16244.44</v>
      </c>
      <c r="D1556" t="n">
        <v>9335.870000000001</v>
      </c>
    </row>
    <row r="1557">
      <c r="A1557" t="n">
        <v>727</v>
      </c>
      <c r="B1557" t="n">
        <v>8705.610000000001</v>
      </c>
      <c r="C1557" t="n">
        <v>46177.39</v>
      </c>
      <c r="D1557" t="n">
        <v>9588.799999999999</v>
      </c>
    </row>
    <row r="1558">
      <c r="A1558" t="n">
        <v>628</v>
      </c>
      <c r="B1558" t="n">
        <v>14437.99</v>
      </c>
      <c r="C1558" t="n">
        <v>30047.31</v>
      </c>
      <c r="D1558" t="n">
        <v>17810.74</v>
      </c>
    </row>
    <row r="1559">
      <c r="A1559" t="n">
        <v>743</v>
      </c>
      <c r="B1559" t="n">
        <v>14065.65</v>
      </c>
      <c r="C1559" t="n">
        <v>22383.49</v>
      </c>
      <c r="D1559" t="n">
        <v>12267.17</v>
      </c>
    </row>
    <row r="1560">
      <c r="A1560" t="n">
        <v>571</v>
      </c>
      <c r="B1560" t="n">
        <v>19736.93</v>
      </c>
      <c r="C1560" t="n">
        <v>14596.87</v>
      </c>
      <c r="D1560" t="n">
        <v>18831.66</v>
      </c>
    </row>
    <row r="1561">
      <c r="A1561" t="n">
        <v>725</v>
      </c>
      <c r="B1561" t="n">
        <v>5831.92</v>
      </c>
      <c r="C1561" t="n">
        <v>26190.19</v>
      </c>
      <c r="D1561" t="n">
        <v>16499.6</v>
      </c>
    </row>
    <row r="1562">
      <c r="A1562" t="n">
        <v>821</v>
      </c>
      <c r="B1562" t="n">
        <v>7371.04</v>
      </c>
      <c r="C1562" t="n">
        <v>44590.73</v>
      </c>
      <c r="D1562" t="n">
        <v>8672.65</v>
      </c>
    </row>
    <row r="1563">
      <c r="A1563" t="n">
        <v>725</v>
      </c>
      <c r="B1563" t="n">
        <v>15050.66</v>
      </c>
      <c r="C1563" t="n">
        <v>29952.66</v>
      </c>
      <c r="D1563" t="n">
        <v>6466.58</v>
      </c>
    </row>
    <row r="1564">
      <c r="A1564" t="n">
        <v>724</v>
      </c>
      <c r="B1564" t="n">
        <v>4924.08</v>
      </c>
      <c r="C1564" t="n">
        <v>44141.31</v>
      </c>
      <c r="D1564" t="n">
        <v>20307.71</v>
      </c>
    </row>
    <row r="1565">
      <c r="A1565" t="n">
        <v>692</v>
      </c>
      <c r="B1565" t="n">
        <v>10488.8</v>
      </c>
      <c r="C1565" t="n">
        <v>25486.46</v>
      </c>
      <c r="D1565" t="n">
        <v>14065.65</v>
      </c>
    </row>
    <row r="1566">
      <c r="A1566" t="n">
        <v>691</v>
      </c>
      <c r="B1566" t="n">
        <v>15228.48</v>
      </c>
      <c r="C1566" t="n">
        <v>17442.41</v>
      </c>
      <c r="D1566" t="n">
        <v>11053.94</v>
      </c>
    </row>
    <row r="1567">
      <c r="A1567" t="n">
        <v>668</v>
      </c>
      <c r="B1567" t="n">
        <v>16165.07</v>
      </c>
      <c r="C1567" t="n">
        <v>21716.07</v>
      </c>
      <c r="D1567" t="n">
        <v>3553.17</v>
      </c>
    </row>
    <row r="1568">
      <c r="A1568" t="n">
        <v>773</v>
      </c>
      <c r="B1568" t="n">
        <v>7303.4</v>
      </c>
      <c r="C1568" t="n">
        <v>51848.77</v>
      </c>
      <c r="D1568" t="n">
        <v>11140.45</v>
      </c>
    </row>
    <row r="1569">
      <c r="A1569" t="n">
        <v>687</v>
      </c>
      <c r="B1569" t="n">
        <v>14085.56</v>
      </c>
      <c r="C1569" t="n">
        <v>28618.31</v>
      </c>
      <c r="D1569" t="n">
        <v>13328.36</v>
      </c>
    </row>
    <row r="1570">
      <c r="A1570" t="n">
        <v>615</v>
      </c>
      <c r="B1570" t="n">
        <v>24138.8</v>
      </c>
      <c r="C1570" t="n">
        <v>38859.2</v>
      </c>
      <c r="D1570" t="n">
        <v>3291.4</v>
      </c>
    </row>
    <row r="1571">
      <c r="A1571" t="n">
        <v>689</v>
      </c>
      <c r="B1571" t="n">
        <v>12560.02</v>
      </c>
      <c r="C1571" t="n">
        <v>21993.51</v>
      </c>
      <c r="D1571" t="n">
        <v>4748.72</v>
      </c>
    </row>
    <row r="1572">
      <c r="A1572" t="n">
        <v>605</v>
      </c>
      <c r="B1572" t="n">
        <v>29036.02</v>
      </c>
      <c r="C1572" t="n">
        <v>36699.18</v>
      </c>
      <c r="D1572" t="n">
        <v>0</v>
      </c>
    </row>
    <row r="1573">
      <c r="A1573" t="n">
        <v>664</v>
      </c>
      <c r="B1573" t="n">
        <v>18496.95</v>
      </c>
      <c r="C1573" t="n">
        <v>20694.83</v>
      </c>
      <c r="D1573" t="n">
        <v>19620.65</v>
      </c>
    </row>
    <row r="1574">
      <c r="A1574" t="n">
        <v>699</v>
      </c>
      <c r="B1574" t="n">
        <v>9263.93</v>
      </c>
      <c r="C1574" t="n">
        <v>47220.2</v>
      </c>
      <c r="D1574" t="n">
        <v>4306.26</v>
      </c>
    </row>
    <row r="1575">
      <c r="A1575" t="n">
        <v>696</v>
      </c>
      <c r="B1575" t="n">
        <v>25661.78</v>
      </c>
      <c r="C1575" t="n">
        <v>10323.44</v>
      </c>
      <c r="D1575" t="n">
        <v>7303.4</v>
      </c>
    </row>
    <row r="1576">
      <c r="A1576" t="n">
        <v>677</v>
      </c>
      <c r="B1576" t="n">
        <v>22944.06</v>
      </c>
      <c r="C1576" t="n">
        <v>34082.52</v>
      </c>
      <c r="D1576" t="n">
        <v>12418.26</v>
      </c>
    </row>
    <row r="1577">
      <c r="A1577" t="n">
        <v>698</v>
      </c>
      <c r="B1577" t="n">
        <v>13450.68</v>
      </c>
      <c r="C1577" t="n">
        <v>51361.63</v>
      </c>
      <c r="D1577" t="n">
        <v>10931.44</v>
      </c>
    </row>
    <row r="1578">
      <c r="A1578" t="n">
        <v>721</v>
      </c>
      <c r="B1578" t="n">
        <v>9583.07</v>
      </c>
      <c r="C1578" t="n">
        <v>49756.93</v>
      </c>
      <c r="D1578" t="n">
        <v>8533.559999999999</v>
      </c>
    </row>
    <row r="1579">
      <c r="A1579" t="n">
        <v>735</v>
      </c>
      <c r="B1579" t="n">
        <v>4767.9</v>
      </c>
      <c r="C1579" t="n">
        <v>39915.65</v>
      </c>
      <c r="D1579" t="n">
        <v>23761.53</v>
      </c>
    </row>
    <row r="1580">
      <c r="A1580" t="n">
        <v>719</v>
      </c>
      <c r="B1580" t="n">
        <v>18143.65</v>
      </c>
      <c r="C1580" t="n">
        <v>46003.51</v>
      </c>
      <c r="D1580" t="n">
        <v>15609.28</v>
      </c>
    </row>
    <row r="1581">
      <c r="A1581" t="n">
        <v>717</v>
      </c>
      <c r="B1581" t="n">
        <v>15979.13</v>
      </c>
      <c r="C1581" t="n">
        <v>18705.75</v>
      </c>
      <c r="D1581" t="n">
        <v>8424.09</v>
      </c>
    </row>
    <row r="1582">
      <c r="A1582" t="n">
        <v>808</v>
      </c>
      <c r="B1582" t="n">
        <v>5590.01</v>
      </c>
      <c r="C1582" t="n">
        <v>17782.2</v>
      </c>
      <c r="D1582" t="n">
        <v>29036.02</v>
      </c>
    </row>
    <row r="1583">
      <c r="A1583" t="n">
        <v>674</v>
      </c>
      <c r="B1583" t="n">
        <v>8850.83</v>
      </c>
      <c r="C1583" t="n">
        <v>48520.58</v>
      </c>
      <c r="D1583" t="n">
        <v>13450.68</v>
      </c>
    </row>
    <row r="1584">
      <c r="A1584" t="n">
        <v>821</v>
      </c>
      <c r="B1584" t="n">
        <v>7390.39</v>
      </c>
      <c r="C1584" t="n">
        <v>39009.97</v>
      </c>
      <c r="D1584" t="n">
        <v>9583.07</v>
      </c>
    </row>
    <row r="1585">
      <c r="A1585" t="n">
        <v>663</v>
      </c>
      <c r="B1585" t="n">
        <v>21399.31</v>
      </c>
      <c r="C1585" t="n">
        <v>11269.23</v>
      </c>
      <c r="D1585" t="n">
        <v>14700.15</v>
      </c>
    </row>
    <row r="1586">
      <c r="A1586" t="n">
        <v>734</v>
      </c>
      <c r="B1586" t="n">
        <v>4428.86</v>
      </c>
      <c r="C1586" t="n">
        <v>55430.99</v>
      </c>
      <c r="D1586" t="n">
        <v>19330.65</v>
      </c>
    </row>
    <row r="1587">
      <c r="A1587" t="n">
        <v>634</v>
      </c>
      <c r="B1587" t="n">
        <v>25602.1</v>
      </c>
      <c r="C1587" t="n">
        <v>18280.1</v>
      </c>
      <c r="D1587" t="n">
        <v>13778.28</v>
      </c>
    </row>
    <row r="1588">
      <c r="A1588" t="n">
        <v>601</v>
      </c>
      <c r="B1588" t="n">
        <v>29827.04</v>
      </c>
      <c r="C1588" t="n">
        <v>51807.09</v>
      </c>
      <c r="D1588" t="n">
        <v>12461.93</v>
      </c>
    </row>
    <row r="1589">
      <c r="A1589" t="n">
        <v>704</v>
      </c>
      <c r="B1589" t="n">
        <v>16332.07</v>
      </c>
      <c r="C1589" t="n">
        <v>22420.48</v>
      </c>
      <c r="D1589" t="n">
        <v>18143.65</v>
      </c>
    </row>
    <row r="1590">
      <c r="A1590" t="n">
        <v>768</v>
      </c>
      <c r="B1590" t="n">
        <v>9052.879999999999</v>
      </c>
      <c r="C1590" t="n">
        <v>21378.84</v>
      </c>
      <c r="D1590" t="n">
        <v>10728.78</v>
      </c>
    </row>
    <row r="1591">
      <c r="A1591" t="n">
        <v>749</v>
      </c>
      <c r="B1591" t="n">
        <v>6321.25</v>
      </c>
      <c r="C1591" t="n">
        <v>43673.2</v>
      </c>
      <c r="D1591" t="n">
        <v>21171.89</v>
      </c>
    </row>
    <row r="1592">
      <c r="A1592" t="n">
        <v>720</v>
      </c>
      <c r="B1592" t="n">
        <v>10770.52</v>
      </c>
      <c r="C1592" t="n">
        <v>42105.91</v>
      </c>
      <c r="D1592" t="n">
        <v>9241.24</v>
      </c>
    </row>
    <row r="1593">
      <c r="A1593" t="n">
        <v>693</v>
      </c>
      <c r="B1593" t="n">
        <v>19566.23</v>
      </c>
      <c r="C1593" t="n">
        <v>30909.88</v>
      </c>
      <c r="D1593" t="n">
        <v>16644.18</v>
      </c>
    </row>
    <row r="1594">
      <c r="A1594" t="n">
        <v>745</v>
      </c>
      <c r="B1594" t="n">
        <v>21456.3</v>
      </c>
      <c r="C1594" t="n">
        <v>47048.58</v>
      </c>
      <c r="D1594" t="n">
        <v>16332.07</v>
      </c>
    </row>
    <row r="1595">
      <c r="A1595" t="n">
        <v>642</v>
      </c>
      <c r="B1595" t="n">
        <v>6669.88</v>
      </c>
      <c r="C1595" t="n">
        <v>8936</v>
      </c>
      <c r="D1595" t="n">
        <v>16283.75</v>
      </c>
    </row>
    <row r="1596">
      <c r="A1596" t="n">
        <v>694</v>
      </c>
      <c r="B1596" t="n">
        <v>18019.71</v>
      </c>
      <c r="C1596" t="n">
        <v>49033.23</v>
      </c>
      <c r="D1596" t="n">
        <v>9247.309999999999</v>
      </c>
    </row>
    <row r="1597">
      <c r="A1597" t="n">
        <v>618</v>
      </c>
      <c r="B1597" t="n">
        <v>15523.33</v>
      </c>
      <c r="C1597" t="n">
        <v>29098.73</v>
      </c>
      <c r="D1597" t="n">
        <v>11275.19</v>
      </c>
    </row>
    <row r="1598">
      <c r="A1598" t="n">
        <v>631</v>
      </c>
      <c r="B1598" t="n">
        <v>18501.36</v>
      </c>
      <c r="C1598" t="n">
        <v>49179.62</v>
      </c>
      <c r="D1598" t="n">
        <v>6669.88</v>
      </c>
    </row>
    <row r="1599">
      <c r="A1599" t="n">
        <v>777</v>
      </c>
      <c r="B1599" t="n">
        <v>1777.01</v>
      </c>
      <c r="C1599" t="n">
        <v>52309.73</v>
      </c>
      <c r="D1599" t="n">
        <v>12343.82</v>
      </c>
    </row>
    <row r="1600">
      <c r="A1600" t="n">
        <v>743</v>
      </c>
      <c r="B1600" t="n">
        <v>5068.09</v>
      </c>
      <c r="C1600" t="n">
        <v>38471.49</v>
      </c>
      <c r="D1600" t="n">
        <v>15523.33</v>
      </c>
    </row>
    <row r="1601">
      <c r="A1601" t="n">
        <v>810</v>
      </c>
      <c r="B1601" t="n">
        <v>7537.12</v>
      </c>
      <c r="C1601" t="n">
        <v>31766.98</v>
      </c>
      <c r="D1601" t="n">
        <v>11139.42</v>
      </c>
    </row>
    <row r="1602">
      <c r="A1602" t="n">
        <v>721</v>
      </c>
      <c r="B1602" t="n">
        <v>2929.1</v>
      </c>
      <c r="C1602" t="n">
        <v>40681.91</v>
      </c>
      <c r="D1602" t="n">
        <v>12942.48</v>
      </c>
    </row>
    <row r="1603">
      <c r="A1603" t="n">
        <v>750</v>
      </c>
      <c r="B1603" t="n">
        <v>11272.93</v>
      </c>
      <c r="C1603" t="n">
        <v>56996.04</v>
      </c>
      <c r="D1603" t="n">
        <v>5435.94</v>
      </c>
    </row>
    <row r="1604">
      <c r="A1604" t="n">
        <v>769</v>
      </c>
      <c r="B1604" t="n">
        <v>4820.02</v>
      </c>
      <c r="C1604" t="n">
        <v>23000.91</v>
      </c>
      <c r="D1604" t="n">
        <v>1777.01</v>
      </c>
    </row>
    <row r="1605">
      <c r="A1605" t="n">
        <v>698</v>
      </c>
      <c r="B1605" t="n">
        <v>14347.92</v>
      </c>
      <c r="C1605" t="n">
        <v>25382.73</v>
      </c>
      <c r="D1605" t="n">
        <v>11272.93</v>
      </c>
    </row>
    <row r="1606">
      <c r="A1606" t="n">
        <v>668</v>
      </c>
      <c r="B1606" t="n">
        <v>17269.53</v>
      </c>
      <c r="C1606" t="n">
        <v>30150.43</v>
      </c>
      <c r="D1606" t="n">
        <v>17269.53</v>
      </c>
    </row>
    <row r="1607">
      <c r="A1607" t="n">
        <v>746</v>
      </c>
      <c r="B1607" t="n">
        <v>8901.07</v>
      </c>
      <c r="C1607" t="n">
        <v>25268.84</v>
      </c>
      <c r="D1607" t="n">
        <v>19591.66</v>
      </c>
    </row>
    <row r="1608">
      <c r="A1608" t="n">
        <v>799</v>
      </c>
      <c r="B1608" t="n">
        <v>716.23</v>
      </c>
      <c r="C1608" t="n">
        <v>44662.11</v>
      </c>
      <c r="D1608" t="n">
        <v>7635.05</v>
      </c>
    </row>
    <row r="1609">
      <c r="A1609" t="n">
        <v>753</v>
      </c>
      <c r="B1609" t="n">
        <v>2549.43</v>
      </c>
      <c r="C1609" t="n">
        <v>23294.39</v>
      </c>
      <c r="D1609" t="n">
        <v>24288.07</v>
      </c>
    </row>
    <row r="1610">
      <c r="A1610" t="n">
        <v>684</v>
      </c>
      <c r="B1610" t="n">
        <v>658.4</v>
      </c>
      <c r="C1610" t="n">
        <v>53004.71</v>
      </c>
      <c r="D1610" t="n">
        <v>12464.99</v>
      </c>
    </row>
    <row r="1611">
      <c r="A1611" t="n">
        <v>720</v>
      </c>
      <c r="B1611" t="n">
        <v>13436.72</v>
      </c>
      <c r="C1611" t="n">
        <v>44397.86</v>
      </c>
      <c r="D1611" t="n">
        <v>20162.67</v>
      </c>
    </row>
    <row r="1612">
      <c r="A1612" t="n">
        <v>714</v>
      </c>
      <c r="B1612" t="n">
        <v>14254.65</v>
      </c>
      <c r="C1612" t="n">
        <v>56382.58</v>
      </c>
      <c r="D1612" t="n">
        <v>716.23</v>
      </c>
    </row>
    <row r="1613">
      <c r="A1613" t="n">
        <v>594</v>
      </c>
      <c r="B1613" t="n">
        <v>20317.81</v>
      </c>
      <c r="C1613" t="n">
        <v>36729.17</v>
      </c>
      <c r="D1613" t="n">
        <v>5491.31</v>
      </c>
    </row>
    <row r="1614">
      <c r="A1614" t="n">
        <v>798</v>
      </c>
      <c r="B1614" t="n">
        <v>4581.86</v>
      </c>
      <c r="C1614" t="n">
        <v>42254.83</v>
      </c>
      <c r="D1614" t="n">
        <v>658.4</v>
      </c>
    </row>
    <row r="1615">
      <c r="A1615" t="n">
        <v>660</v>
      </c>
      <c r="B1615" t="n">
        <v>18962.86</v>
      </c>
      <c r="C1615" t="n">
        <v>57055.36</v>
      </c>
      <c r="D1615" t="n">
        <v>22307.41</v>
      </c>
    </row>
    <row r="1616">
      <c r="A1616" t="n">
        <v>667</v>
      </c>
      <c r="B1616" t="n">
        <v>26975.51</v>
      </c>
      <c r="C1616" t="n">
        <v>23347.27</v>
      </c>
      <c r="D1616" t="n">
        <v>6558.78</v>
      </c>
    </row>
    <row r="1617">
      <c r="A1617" t="n">
        <v>839</v>
      </c>
      <c r="B1617" t="n">
        <v>3230.08</v>
      </c>
      <c r="C1617" t="n">
        <v>23512.56</v>
      </c>
      <c r="D1617" t="n">
        <v>11003.72</v>
      </c>
    </row>
    <row r="1618">
      <c r="A1618" t="n">
        <v>832</v>
      </c>
      <c r="B1618" t="n">
        <v>3785.19</v>
      </c>
      <c r="C1618" t="n">
        <v>37946.91</v>
      </c>
      <c r="D1618" t="n">
        <v>6721.08</v>
      </c>
    </row>
    <row r="1619">
      <c r="A1619" t="n">
        <v>786</v>
      </c>
      <c r="B1619" t="n">
        <v>3997.15</v>
      </c>
      <c r="C1619" t="n">
        <v>10612.61</v>
      </c>
      <c r="D1619" t="n">
        <v>22582.02</v>
      </c>
    </row>
    <row r="1620">
      <c r="A1620" t="n">
        <v>709</v>
      </c>
      <c r="B1620" t="n">
        <v>7590.48</v>
      </c>
      <c r="C1620" t="n">
        <v>44656.22</v>
      </c>
      <c r="D1620" t="n">
        <v>20317.81</v>
      </c>
    </row>
    <row r="1621">
      <c r="A1621" t="n">
        <v>750</v>
      </c>
      <c r="B1621" t="n">
        <v>16946.71</v>
      </c>
      <c r="C1621" t="n">
        <v>52253</v>
      </c>
      <c r="D1621" t="n">
        <v>5993.96</v>
      </c>
    </row>
    <row r="1622">
      <c r="A1622" t="n">
        <v>766</v>
      </c>
      <c r="B1622" t="n">
        <v>8855.73</v>
      </c>
      <c r="C1622" t="n">
        <v>18009.05</v>
      </c>
      <c r="D1622" t="n">
        <v>7590.48</v>
      </c>
    </row>
    <row r="1623">
      <c r="A1623" t="n">
        <v>742</v>
      </c>
      <c r="B1623" t="n">
        <v>11443.27</v>
      </c>
      <c r="C1623" t="n">
        <v>39046.01</v>
      </c>
      <c r="D1623" t="n">
        <v>30397.16</v>
      </c>
    </row>
    <row r="1624">
      <c r="A1624" t="n">
        <v>699</v>
      </c>
      <c r="B1624" t="n">
        <v>9621.120000000001</v>
      </c>
      <c r="C1624" t="n">
        <v>14215.89</v>
      </c>
      <c r="D1624" t="n">
        <v>10751.33</v>
      </c>
    </row>
    <row r="1625">
      <c r="A1625" t="n">
        <v>666</v>
      </c>
      <c r="B1625" t="n">
        <v>20548.09</v>
      </c>
      <c r="C1625" t="n">
        <v>30349.14</v>
      </c>
      <c r="D1625" t="n">
        <v>16946.71</v>
      </c>
    </row>
    <row r="1626">
      <c r="A1626" t="n">
        <v>747</v>
      </c>
      <c r="B1626" t="n">
        <v>4887.46</v>
      </c>
      <c r="C1626" t="n">
        <v>27062.41</v>
      </c>
      <c r="D1626" t="n">
        <v>11228.77</v>
      </c>
    </row>
    <row r="1627">
      <c r="A1627" t="n">
        <v>711</v>
      </c>
      <c r="B1627" t="n">
        <v>7538.55</v>
      </c>
      <c r="C1627" t="n">
        <v>35966.26</v>
      </c>
      <c r="D1627" t="n">
        <v>7004.51</v>
      </c>
    </row>
    <row r="1628">
      <c r="A1628" t="n">
        <v>687</v>
      </c>
      <c r="B1628" t="n">
        <v>21949.06</v>
      </c>
      <c r="C1628" t="n">
        <v>5045.77</v>
      </c>
      <c r="D1628" t="n">
        <v>19806.41</v>
      </c>
    </row>
    <row r="1629">
      <c r="A1629" t="n">
        <v>705</v>
      </c>
      <c r="B1629" t="n">
        <v>16679.65</v>
      </c>
      <c r="C1629" t="n">
        <v>43648.09</v>
      </c>
      <c r="D1629" t="n">
        <v>7172.6</v>
      </c>
    </row>
    <row r="1630">
      <c r="A1630" t="n">
        <v>649</v>
      </c>
      <c r="B1630" t="n">
        <v>10819.71</v>
      </c>
      <c r="C1630" t="n">
        <v>49407.43</v>
      </c>
      <c r="D1630" t="n">
        <v>23895.88</v>
      </c>
    </row>
    <row r="1631">
      <c r="A1631" t="n">
        <v>695</v>
      </c>
      <c r="B1631" t="n">
        <v>15261.73</v>
      </c>
      <c r="C1631" t="n">
        <v>55304.05</v>
      </c>
      <c r="D1631" t="n">
        <v>15187.7</v>
      </c>
    </row>
    <row r="1632">
      <c r="A1632" t="n">
        <v>798</v>
      </c>
      <c r="B1632" t="n">
        <v>4185.37</v>
      </c>
      <c r="C1632" t="n">
        <v>21920.96</v>
      </c>
      <c r="D1632" t="n">
        <v>8651.67</v>
      </c>
    </row>
    <row r="1633">
      <c r="A1633" t="n">
        <v>788</v>
      </c>
      <c r="B1633" t="n">
        <v>4567.23</v>
      </c>
      <c r="C1633" t="n">
        <v>58202.49</v>
      </c>
      <c r="D1633" t="n">
        <v>5432.1</v>
      </c>
    </row>
    <row r="1634">
      <c r="A1634" t="n">
        <v>683</v>
      </c>
      <c r="B1634" t="n">
        <v>4442.9</v>
      </c>
      <c r="C1634" t="n">
        <v>35948.58</v>
      </c>
      <c r="D1634" t="n">
        <v>7924.83</v>
      </c>
    </row>
    <row r="1635">
      <c r="A1635" t="n">
        <v>792</v>
      </c>
      <c r="B1635" t="n">
        <v>5753.11</v>
      </c>
      <c r="C1635" t="n">
        <v>29221.1</v>
      </c>
      <c r="D1635" t="n">
        <v>13490.01</v>
      </c>
    </row>
    <row r="1636">
      <c r="A1636" t="n">
        <v>706</v>
      </c>
      <c r="B1636" t="n">
        <v>11984.03</v>
      </c>
      <c r="C1636" t="n">
        <v>52527.89</v>
      </c>
      <c r="D1636" t="n">
        <v>7459.49</v>
      </c>
    </row>
    <row r="1637">
      <c r="A1637" t="n">
        <v>686</v>
      </c>
      <c r="B1637" t="n">
        <v>14768.9</v>
      </c>
      <c r="C1637" t="n">
        <v>58093.48</v>
      </c>
      <c r="D1637" t="n">
        <v>10188.44</v>
      </c>
    </row>
    <row r="1638">
      <c r="A1638" t="n">
        <v>692</v>
      </c>
      <c r="B1638" t="n">
        <v>7445.04</v>
      </c>
      <c r="C1638" t="n">
        <v>5988.63</v>
      </c>
      <c r="D1638" t="n">
        <v>13117.92</v>
      </c>
    </row>
    <row r="1639">
      <c r="A1639" t="n">
        <v>768</v>
      </c>
      <c r="B1639" t="n">
        <v>4688.68</v>
      </c>
      <c r="C1639" t="n">
        <v>48095.32</v>
      </c>
      <c r="D1639" t="n">
        <v>18385.33</v>
      </c>
    </row>
    <row r="1640">
      <c r="A1640" t="n">
        <v>611</v>
      </c>
      <c r="B1640" t="n">
        <v>6421</v>
      </c>
      <c r="C1640" t="n">
        <v>52777.69</v>
      </c>
      <c r="D1640" t="n">
        <v>5753.11</v>
      </c>
    </row>
    <row r="1641">
      <c r="A1641" t="n">
        <v>623</v>
      </c>
      <c r="B1641" t="n">
        <v>18140.02</v>
      </c>
      <c r="C1641" t="n">
        <v>38348.95</v>
      </c>
      <c r="D1641" t="n">
        <v>17396.81</v>
      </c>
    </row>
    <row r="1642">
      <c r="A1642" t="n">
        <v>826</v>
      </c>
      <c r="B1642" t="n">
        <v>3344.51</v>
      </c>
      <c r="C1642" t="n">
        <v>9320.120000000001</v>
      </c>
      <c r="D1642" t="n">
        <v>15545.44</v>
      </c>
    </row>
    <row r="1643">
      <c r="A1643" t="n">
        <v>560</v>
      </c>
      <c r="B1643" t="n">
        <v>21597.75</v>
      </c>
      <c r="C1643" t="n">
        <v>13299.39</v>
      </c>
      <c r="D1643" t="n">
        <v>8176.3</v>
      </c>
    </row>
    <row r="1644">
      <c r="A1644" t="n">
        <v>617</v>
      </c>
      <c r="B1644" t="n">
        <v>23402.1</v>
      </c>
      <c r="C1644" t="n">
        <v>52837.66</v>
      </c>
      <c r="D1644" t="n">
        <v>17960.09</v>
      </c>
    </row>
    <row r="1645">
      <c r="A1645" t="n">
        <v>844</v>
      </c>
      <c r="B1645" t="n">
        <v>4448.65</v>
      </c>
      <c r="C1645" t="n">
        <v>26800.2</v>
      </c>
      <c r="D1645" t="n">
        <v>10877.84</v>
      </c>
    </row>
    <row r="1646">
      <c r="A1646" t="n">
        <v>788</v>
      </c>
      <c r="B1646" t="n">
        <v>0</v>
      </c>
      <c r="C1646" t="n">
        <v>40887.62</v>
      </c>
      <c r="D1646" t="n">
        <v>20775.62</v>
      </c>
    </row>
    <row r="1647">
      <c r="A1647" t="n">
        <v>740</v>
      </c>
      <c r="B1647" t="n">
        <v>13972.12</v>
      </c>
      <c r="C1647" t="n">
        <v>40212.86</v>
      </c>
      <c r="D1647" t="n">
        <v>14271.61</v>
      </c>
    </row>
    <row r="1648">
      <c r="A1648" t="n">
        <v>761</v>
      </c>
      <c r="B1648" t="n">
        <v>7957.49</v>
      </c>
      <c r="C1648" t="n">
        <v>8145.28</v>
      </c>
      <c r="D1648" t="n">
        <v>15948.22</v>
      </c>
    </row>
    <row r="1649">
      <c r="A1649" t="n">
        <v>697</v>
      </c>
      <c r="B1649" t="n">
        <v>14152.39</v>
      </c>
      <c r="C1649" t="n">
        <v>56013.6</v>
      </c>
      <c r="D1649" t="n">
        <v>2162.64</v>
      </c>
    </row>
    <row r="1650">
      <c r="A1650" t="n">
        <v>723</v>
      </c>
      <c r="B1650" t="n">
        <v>5408.47</v>
      </c>
      <c r="C1650" t="n">
        <v>5229.96</v>
      </c>
      <c r="D1650" t="n">
        <v>15867.41</v>
      </c>
    </row>
    <row r="1651">
      <c r="A1651" t="n">
        <v>702</v>
      </c>
      <c r="B1651" t="n">
        <v>2162.64</v>
      </c>
      <c r="C1651" t="n">
        <v>41002.04</v>
      </c>
      <c r="D1651" t="n">
        <v>2910.96</v>
      </c>
    </row>
    <row r="1652">
      <c r="A1652" t="n">
        <v>689</v>
      </c>
      <c r="B1652" t="n">
        <v>2127.63</v>
      </c>
      <c r="C1652" t="n">
        <v>25521.6</v>
      </c>
      <c r="D1652" t="n">
        <v>5295.28</v>
      </c>
    </row>
    <row r="1653">
      <c r="A1653" t="n">
        <v>697</v>
      </c>
      <c r="B1653" t="n">
        <v>20478.45</v>
      </c>
      <c r="C1653" t="n">
        <v>47974.27</v>
      </c>
      <c r="D1653" t="n">
        <v>10182.37</v>
      </c>
    </row>
    <row r="1654">
      <c r="A1654" t="n">
        <v>707</v>
      </c>
      <c r="B1654" t="n">
        <v>5295.28</v>
      </c>
      <c r="C1654" t="n">
        <v>8004.47</v>
      </c>
      <c r="D1654" t="n">
        <v>10407.59</v>
      </c>
    </row>
    <row r="1655">
      <c r="A1655" t="n">
        <v>668</v>
      </c>
      <c r="B1655" t="n">
        <v>14511.31</v>
      </c>
      <c r="C1655" t="n">
        <v>51147.41</v>
      </c>
      <c r="D1655" t="n">
        <v>3909.45</v>
      </c>
    </row>
    <row r="1656">
      <c r="A1656" t="n">
        <v>602</v>
      </c>
      <c r="B1656" t="n">
        <v>10407.59</v>
      </c>
      <c r="C1656" t="n">
        <v>15078.36</v>
      </c>
      <c r="D1656" t="n">
        <v>13477.05</v>
      </c>
    </row>
    <row r="1657">
      <c r="A1657" t="n">
        <v>636</v>
      </c>
      <c r="B1657" t="n">
        <v>11980.66</v>
      </c>
      <c r="C1657" t="n">
        <v>38453.96</v>
      </c>
      <c r="D1657" t="n">
        <v>27807.96</v>
      </c>
    </row>
    <row r="1658">
      <c r="A1658" t="n">
        <v>735</v>
      </c>
      <c r="B1658" t="n">
        <v>22134.55</v>
      </c>
      <c r="C1658" t="n">
        <v>33651.51</v>
      </c>
      <c r="D1658" t="n">
        <v>3456.99</v>
      </c>
    </row>
    <row r="1659">
      <c r="A1659" t="n">
        <v>558</v>
      </c>
      <c r="B1659" t="n">
        <v>27807.96</v>
      </c>
      <c r="C1659" t="n">
        <v>43076.95</v>
      </c>
      <c r="D1659" t="n">
        <v>12603.24</v>
      </c>
    </row>
    <row r="1660">
      <c r="A1660" t="n">
        <v>689</v>
      </c>
      <c r="B1660" t="n">
        <v>8141.05</v>
      </c>
      <c r="C1660" t="n">
        <v>57243.24</v>
      </c>
      <c r="D1660" t="n">
        <v>8141.05</v>
      </c>
    </row>
    <row r="1661">
      <c r="A1661" t="n">
        <v>697</v>
      </c>
      <c r="B1661" t="n">
        <v>16398.71</v>
      </c>
      <c r="C1661" t="n">
        <v>33955.6</v>
      </c>
      <c r="D1661" t="n">
        <v>11367.8</v>
      </c>
    </row>
    <row r="1662">
      <c r="A1662" t="n">
        <v>676</v>
      </c>
      <c r="B1662" t="n">
        <v>11316.28</v>
      </c>
      <c r="C1662" t="n">
        <v>10159.51</v>
      </c>
      <c r="D1662" t="n">
        <v>15245.73</v>
      </c>
    </row>
    <row r="1663">
      <c r="A1663" t="n">
        <v>619</v>
      </c>
      <c r="B1663" t="n">
        <v>23487.87</v>
      </c>
      <c r="C1663" t="n">
        <v>14948.75</v>
      </c>
      <c r="D1663" t="n">
        <v>2187.07</v>
      </c>
    </row>
    <row r="1664">
      <c r="A1664" t="n">
        <v>765</v>
      </c>
      <c r="B1664" t="n">
        <v>3497.98</v>
      </c>
      <c r="C1664" t="n">
        <v>54746.95</v>
      </c>
      <c r="D1664" t="n">
        <v>12576.96</v>
      </c>
    </row>
    <row r="1665">
      <c r="A1665" t="n">
        <v>685</v>
      </c>
      <c r="B1665" t="n">
        <v>12527.22</v>
      </c>
      <c r="C1665" t="n">
        <v>55610.72</v>
      </c>
      <c r="D1665" t="n">
        <v>4896.26</v>
      </c>
    </row>
    <row r="1666">
      <c r="A1666" t="n">
        <v>658</v>
      </c>
      <c r="B1666" t="n">
        <v>11477.27</v>
      </c>
      <c r="C1666" t="n">
        <v>37298.99</v>
      </c>
      <c r="D1666" t="n">
        <v>12925.36</v>
      </c>
    </row>
    <row r="1667">
      <c r="A1667" t="n">
        <v>626</v>
      </c>
      <c r="B1667" t="n">
        <v>11461.12</v>
      </c>
      <c r="C1667" t="n">
        <v>16121.25</v>
      </c>
      <c r="D1667" t="n">
        <v>17875.07</v>
      </c>
    </row>
    <row r="1668">
      <c r="A1668" t="n">
        <v>741</v>
      </c>
      <c r="B1668" t="n">
        <v>7486.45</v>
      </c>
      <c r="C1668" t="n">
        <v>28049.18</v>
      </c>
      <c r="D1668" t="n">
        <v>7319.48</v>
      </c>
    </row>
    <row r="1669">
      <c r="A1669" t="n">
        <v>638</v>
      </c>
      <c r="B1669" t="n">
        <v>21567.95</v>
      </c>
      <c r="C1669" t="n">
        <v>31405.58</v>
      </c>
      <c r="D1669" t="n">
        <v>11461.12</v>
      </c>
    </row>
    <row r="1670">
      <c r="A1670" t="n">
        <v>802</v>
      </c>
      <c r="B1670" t="n">
        <v>6819.73</v>
      </c>
      <c r="C1670" t="n">
        <v>22444.99</v>
      </c>
      <c r="D1670" t="n">
        <v>10844.52</v>
      </c>
    </row>
    <row r="1671">
      <c r="A1671" t="n">
        <v>643</v>
      </c>
      <c r="B1671" t="n">
        <v>12658.06</v>
      </c>
      <c r="C1671" t="n">
        <v>10498.73</v>
      </c>
      <c r="D1671" t="n">
        <v>17349.95</v>
      </c>
    </row>
    <row r="1672">
      <c r="A1672" t="n">
        <v>746</v>
      </c>
      <c r="B1672" t="n">
        <v>8205.58</v>
      </c>
      <c r="C1672" t="n">
        <v>19981</v>
      </c>
      <c r="D1672" t="n">
        <v>24881.45</v>
      </c>
    </row>
    <row r="1673">
      <c r="A1673" t="n">
        <v>750</v>
      </c>
      <c r="B1673" t="n">
        <v>7087.18</v>
      </c>
      <c r="C1673" t="n">
        <v>9247.690000000001</v>
      </c>
      <c r="D1673" t="n">
        <v>6803.88</v>
      </c>
    </row>
    <row r="1674">
      <c r="A1674" t="n">
        <v>630</v>
      </c>
      <c r="B1674" t="n">
        <v>6617.29</v>
      </c>
      <c r="C1674" t="n">
        <v>46707.93</v>
      </c>
      <c r="D1674" t="n">
        <v>5070.25</v>
      </c>
    </row>
    <row r="1675">
      <c r="A1675" t="n">
        <v>656</v>
      </c>
      <c r="B1675" t="n">
        <v>21905.63</v>
      </c>
      <c r="C1675" t="n">
        <v>54593.78</v>
      </c>
      <c r="D1675" t="n">
        <v>20577.39</v>
      </c>
    </row>
    <row r="1676">
      <c r="A1676" t="n">
        <v>759</v>
      </c>
      <c r="B1676" t="n">
        <v>11542.6</v>
      </c>
      <c r="C1676" t="n">
        <v>31006.64</v>
      </c>
      <c r="D1676" t="n">
        <v>9300.26</v>
      </c>
    </row>
    <row r="1677">
      <c r="A1677" t="n">
        <v>734</v>
      </c>
      <c r="B1677" t="n">
        <v>12404.51</v>
      </c>
      <c r="C1677" t="n">
        <v>56192.27</v>
      </c>
      <c r="D1677" t="n">
        <v>8276.92</v>
      </c>
    </row>
    <row r="1678">
      <c r="A1678" t="n">
        <v>696</v>
      </c>
      <c r="B1678" t="n">
        <v>4225.01</v>
      </c>
      <c r="C1678" t="n">
        <v>21438.97</v>
      </c>
      <c r="D1678" t="n">
        <v>27632.32</v>
      </c>
    </row>
    <row r="1679">
      <c r="A1679" t="n">
        <v>668</v>
      </c>
      <c r="B1679" t="n">
        <v>20959.4</v>
      </c>
      <c r="C1679" t="n">
        <v>9306.969999999999</v>
      </c>
      <c r="D1679" t="n">
        <v>6195.16</v>
      </c>
    </row>
    <row r="1680">
      <c r="A1680" t="n">
        <v>758</v>
      </c>
      <c r="B1680" t="n">
        <v>4295.21</v>
      </c>
      <c r="C1680" t="n">
        <v>30223.54</v>
      </c>
      <c r="D1680" t="n">
        <v>7850.35</v>
      </c>
    </row>
    <row r="1681">
      <c r="A1681" t="n">
        <v>661</v>
      </c>
      <c r="B1681" t="n">
        <v>7490.85</v>
      </c>
      <c r="C1681" t="n">
        <v>52082.2</v>
      </c>
      <c r="D1681" t="n">
        <v>8205.58</v>
      </c>
    </row>
    <row r="1682">
      <c r="A1682" t="n">
        <v>692</v>
      </c>
      <c r="B1682" t="n">
        <v>19897.08</v>
      </c>
      <c r="C1682" t="n">
        <v>10755.13</v>
      </c>
      <c r="D1682" t="n">
        <v>16803.9</v>
      </c>
    </row>
    <row r="1683">
      <c r="A1683" t="n">
        <v>756</v>
      </c>
      <c r="B1683" t="n">
        <v>864.51</v>
      </c>
      <c r="C1683" t="n">
        <v>23373.92</v>
      </c>
      <c r="D1683" t="n">
        <v>6494.39</v>
      </c>
    </row>
    <row r="1684">
      <c r="A1684" t="n">
        <v>590</v>
      </c>
      <c r="B1684" t="n">
        <v>16900.49</v>
      </c>
      <c r="C1684" t="n">
        <v>49582.24</v>
      </c>
      <c r="D1684" t="n">
        <v>12404.51</v>
      </c>
    </row>
    <row r="1685">
      <c r="A1685" t="n">
        <v>695</v>
      </c>
      <c r="B1685" t="n">
        <v>11436.51</v>
      </c>
      <c r="C1685" t="n">
        <v>55426.2</v>
      </c>
      <c r="D1685" t="n">
        <v>5303.34</v>
      </c>
    </row>
    <row r="1686">
      <c r="A1686" t="n">
        <v>660</v>
      </c>
      <c r="B1686" t="n">
        <v>20372.99</v>
      </c>
      <c r="C1686" t="n">
        <v>37034.67</v>
      </c>
      <c r="D1686" t="n">
        <v>4580.45</v>
      </c>
    </row>
    <row r="1687">
      <c r="A1687" t="n">
        <v>698</v>
      </c>
      <c r="B1687" t="n">
        <v>20570.98</v>
      </c>
      <c r="C1687" t="n">
        <v>9659.799999999999</v>
      </c>
      <c r="D1687" t="n">
        <v>21959.29</v>
      </c>
    </row>
    <row r="1688">
      <c r="A1688" t="n">
        <v>832</v>
      </c>
      <c r="B1688" t="n">
        <v>3203.78</v>
      </c>
      <c r="C1688" t="n">
        <v>41469.21</v>
      </c>
      <c r="D1688" t="n">
        <v>19897.08</v>
      </c>
    </row>
    <row r="1689">
      <c r="A1689" t="n">
        <v>792</v>
      </c>
      <c r="B1689" t="n">
        <v>7827.58</v>
      </c>
      <c r="C1689" t="n">
        <v>18346.37</v>
      </c>
      <c r="D1689" t="n">
        <v>15053.92</v>
      </c>
    </row>
    <row r="1690">
      <c r="A1690" t="n">
        <v>700</v>
      </c>
      <c r="B1690" t="n">
        <v>10885.14</v>
      </c>
      <c r="C1690" t="n">
        <v>11467.49</v>
      </c>
      <c r="D1690" t="n">
        <v>11279.29</v>
      </c>
    </row>
    <row r="1691">
      <c r="A1691" t="n">
        <v>720</v>
      </c>
      <c r="B1691" t="n">
        <v>3309.92</v>
      </c>
      <c r="C1691" t="n">
        <v>48249.86</v>
      </c>
      <c r="D1691" t="n">
        <v>15344.11</v>
      </c>
    </row>
    <row r="1692">
      <c r="A1692" t="n">
        <v>575</v>
      </c>
      <c r="B1692" t="n">
        <v>14932.99</v>
      </c>
      <c r="C1692" t="n">
        <v>18727.97</v>
      </c>
      <c r="D1692" t="n">
        <v>864.51</v>
      </c>
    </row>
    <row r="1693">
      <c r="A1693" t="n">
        <v>633</v>
      </c>
      <c r="B1693" t="n">
        <v>19298.79</v>
      </c>
      <c r="C1693" t="n">
        <v>12112.86</v>
      </c>
      <c r="D1693" t="n">
        <v>19204.07</v>
      </c>
    </row>
    <row r="1694">
      <c r="A1694" t="n">
        <v>717</v>
      </c>
      <c r="B1694" t="n">
        <v>14851.14</v>
      </c>
      <c r="C1694" t="n">
        <v>32971.75</v>
      </c>
      <c r="D1694" t="n">
        <v>9425.25</v>
      </c>
    </row>
    <row r="1695">
      <c r="A1695" t="n">
        <v>753</v>
      </c>
      <c r="B1695" t="n">
        <v>9460.85</v>
      </c>
      <c r="C1695" t="n">
        <v>41782.92</v>
      </c>
      <c r="D1695" t="n">
        <v>17853.11</v>
      </c>
    </row>
    <row r="1696">
      <c r="A1696" t="n">
        <v>760</v>
      </c>
      <c r="B1696" t="n">
        <v>5866.43</v>
      </c>
      <c r="C1696" t="n">
        <v>56360.21</v>
      </c>
      <c r="D1696" t="n">
        <v>19488.1</v>
      </c>
    </row>
    <row r="1697">
      <c r="A1697" t="n">
        <v>695</v>
      </c>
      <c r="B1697" t="n">
        <v>7274.83</v>
      </c>
      <c r="C1697" t="n">
        <v>24152.6</v>
      </c>
      <c r="D1697" t="n">
        <v>14502.29</v>
      </c>
    </row>
    <row r="1698">
      <c r="A1698" t="n">
        <v>665</v>
      </c>
      <c r="B1698" t="n">
        <v>13555.63</v>
      </c>
      <c r="C1698" t="n">
        <v>42065.43</v>
      </c>
      <c r="D1698" t="n">
        <v>15628.99</v>
      </c>
    </row>
    <row r="1699">
      <c r="A1699" t="n">
        <v>661</v>
      </c>
      <c r="B1699" t="n">
        <v>21315.3</v>
      </c>
      <c r="C1699" t="n">
        <v>36388.1</v>
      </c>
      <c r="D1699" t="n">
        <v>21629.37</v>
      </c>
    </row>
    <row r="1700">
      <c r="A1700" t="n">
        <v>743</v>
      </c>
      <c r="B1700" t="n">
        <v>8295.99</v>
      </c>
      <c r="C1700" t="n">
        <v>42803.9</v>
      </c>
      <c r="D1700" t="n">
        <v>20443.19</v>
      </c>
    </row>
    <row r="1701">
      <c r="A1701" t="n">
        <v>633</v>
      </c>
      <c r="B1701" t="n">
        <v>21235.26</v>
      </c>
      <c r="C1701" t="n">
        <v>10976.16</v>
      </c>
      <c r="D1701" t="n">
        <v>19652.63</v>
      </c>
    </row>
    <row r="1702">
      <c r="A1702" t="n">
        <v>786</v>
      </c>
      <c r="B1702" t="n">
        <v>2692.64</v>
      </c>
      <c r="C1702" t="n">
        <v>16803.68</v>
      </c>
      <c r="D1702" t="n">
        <v>6730.69</v>
      </c>
    </row>
    <row r="1703">
      <c r="A1703" t="n">
        <v>753</v>
      </c>
      <c r="B1703" t="n">
        <v>8848.870000000001</v>
      </c>
      <c r="C1703" t="n">
        <v>43789.88</v>
      </c>
      <c r="D1703" t="n">
        <v>9460.85</v>
      </c>
    </row>
    <row r="1704">
      <c r="A1704" t="n">
        <v>837</v>
      </c>
      <c r="B1704" t="n">
        <v>3492.6</v>
      </c>
      <c r="C1704" t="n">
        <v>24354.49</v>
      </c>
      <c r="D1704" t="n">
        <v>13222.19</v>
      </c>
    </row>
    <row r="1705">
      <c r="A1705" t="n">
        <v>692</v>
      </c>
      <c r="B1705" t="n">
        <v>11705.76</v>
      </c>
      <c r="C1705" t="n">
        <v>5972.15</v>
      </c>
      <c r="D1705" t="n">
        <v>16364.7</v>
      </c>
    </row>
    <row r="1706">
      <c r="A1706" t="n">
        <v>759</v>
      </c>
      <c r="B1706" t="n">
        <v>18023.84</v>
      </c>
      <c r="C1706" t="n">
        <v>32670.31</v>
      </c>
      <c r="D1706" t="n">
        <v>5866.43</v>
      </c>
    </row>
    <row r="1707">
      <c r="A1707" t="n">
        <v>652</v>
      </c>
      <c r="B1707" t="n">
        <v>17815.55</v>
      </c>
      <c r="C1707" t="n">
        <v>5722.91</v>
      </c>
      <c r="D1707" t="n">
        <v>7274.83</v>
      </c>
    </row>
    <row r="1708">
      <c r="A1708" t="n">
        <v>775</v>
      </c>
      <c r="B1708" t="n">
        <v>5393.04</v>
      </c>
      <c r="C1708" t="n">
        <v>44108.32</v>
      </c>
      <c r="D1708" t="n">
        <v>14963.01</v>
      </c>
    </row>
    <row r="1709">
      <c r="A1709" t="n">
        <v>727</v>
      </c>
      <c r="B1709" t="n">
        <v>15604.19</v>
      </c>
      <c r="C1709" t="n">
        <v>22140.89</v>
      </c>
      <c r="D1709" t="n">
        <v>13958.36</v>
      </c>
    </row>
    <row r="1710">
      <c r="A1710" t="n">
        <v>714</v>
      </c>
      <c r="B1710" t="n">
        <v>4947.56</v>
      </c>
      <c r="C1710" t="n">
        <v>28515.66</v>
      </c>
      <c r="D1710" t="n">
        <v>11851.59</v>
      </c>
    </row>
    <row r="1711">
      <c r="A1711" t="n">
        <v>741</v>
      </c>
      <c r="B1711" t="n">
        <v>12849.19</v>
      </c>
      <c r="C1711" t="n">
        <v>31370.74</v>
      </c>
      <c r="D1711" t="n">
        <v>16563.54</v>
      </c>
    </row>
    <row r="1712">
      <c r="A1712" t="n">
        <v>644</v>
      </c>
      <c r="B1712" t="n">
        <v>21074.12</v>
      </c>
      <c r="C1712" t="n">
        <v>32297.67</v>
      </c>
      <c r="D1712" t="n">
        <v>2692.64</v>
      </c>
    </row>
    <row r="1713">
      <c r="A1713" t="n">
        <v>686</v>
      </c>
      <c r="B1713" t="n">
        <v>11830.92</v>
      </c>
      <c r="C1713" t="n">
        <v>55141.97</v>
      </c>
      <c r="D1713" t="n">
        <v>11565.01</v>
      </c>
    </row>
    <row r="1714">
      <c r="A1714" t="n">
        <v>789</v>
      </c>
      <c r="B1714" t="n">
        <v>12014.43</v>
      </c>
      <c r="C1714" t="n">
        <v>54116.46</v>
      </c>
      <c r="D1714" t="n">
        <v>18023.84</v>
      </c>
    </row>
    <row r="1715">
      <c r="A1715" t="n">
        <v>648</v>
      </c>
      <c r="B1715" t="n">
        <v>10653.25</v>
      </c>
      <c r="C1715" t="n">
        <v>19929.97</v>
      </c>
      <c r="D1715" t="n">
        <v>17272.62</v>
      </c>
    </row>
    <row r="1716">
      <c r="A1716" t="n">
        <v>756</v>
      </c>
      <c r="B1716" t="n">
        <v>5055.78</v>
      </c>
      <c r="C1716" t="n">
        <v>58505.24</v>
      </c>
      <c r="D1716" t="n">
        <v>28420.93</v>
      </c>
    </row>
    <row r="1717">
      <c r="A1717" t="n">
        <v>680</v>
      </c>
      <c r="B1717" t="n">
        <v>8481.690000000001</v>
      </c>
      <c r="C1717" t="n">
        <v>24496.77</v>
      </c>
      <c r="D1717" t="n">
        <v>12263.52</v>
      </c>
    </row>
    <row r="1718">
      <c r="A1718" t="n">
        <v>764</v>
      </c>
      <c r="B1718" t="n">
        <v>12013.9</v>
      </c>
      <c r="C1718" t="n">
        <v>34985.99</v>
      </c>
      <c r="D1718" t="n">
        <v>17695.82</v>
      </c>
    </row>
    <row r="1719">
      <c r="A1719" t="n">
        <v>708</v>
      </c>
      <c r="B1719" t="n">
        <v>4903</v>
      </c>
      <c r="C1719" t="n">
        <v>53131.14</v>
      </c>
      <c r="D1719" t="n">
        <v>7294.38</v>
      </c>
    </row>
    <row r="1720">
      <c r="A1720" t="n">
        <v>721</v>
      </c>
      <c r="B1720" t="n">
        <v>24323.21</v>
      </c>
      <c r="C1720" t="n">
        <v>16293.64</v>
      </c>
      <c r="D1720" t="n">
        <v>11830.92</v>
      </c>
    </row>
    <row r="1721">
      <c r="A1721" t="n">
        <v>663</v>
      </c>
      <c r="B1721" t="n">
        <v>6323.95</v>
      </c>
      <c r="C1721" t="n">
        <v>42493.33</v>
      </c>
      <c r="D1721" t="n">
        <v>9787.799999999999</v>
      </c>
    </row>
    <row r="1722">
      <c r="A1722" t="n">
        <v>653</v>
      </c>
      <c r="B1722" t="n">
        <v>17337.73</v>
      </c>
      <c r="C1722" t="n">
        <v>38460.42</v>
      </c>
      <c r="D1722" t="n">
        <v>8927.389999999999</v>
      </c>
    </row>
    <row r="1723">
      <c r="A1723" t="n">
        <v>742</v>
      </c>
      <c r="B1723" t="n">
        <v>20663.3</v>
      </c>
      <c r="C1723" t="n">
        <v>13066.63</v>
      </c>
      <c r="D1723" t="n">
        <v>12014.43</v>
      </c>
    </row>
    <row r="1724">
      <c r="A1724" t="n">
        <v>610</v>
      </c>
      <c r="B1724" t="n">
        <v>17031.12</v>
      </c>
      <c r="C1724" t="n">
        <v>50228.3</v>
      </c>
      <c r="D1724" t="n">
        <v>23010.69</v>
      </c>
    </row>
    <row r="1725">
      <c r="A1725" t="n">
        <v>767</v>
      </c>
      <c r="B1725" t="n">
        <v>5260.76</v>
      </c>
      <c r="C1725" t="n">
        <v>41823.58</v>
      </c>
      <c r="D1725" t="n">
        <v>8481.690000000001</v>
      </c>
    </row>
    <row r="1726">
      <c r="A1726" t="n">
        <v>730</v>
      </c>
      <c r="B1726" t="n">
        <v>16835.54</v>
      </c>
      <c r="C1726" t="n">
        <v>16134.74</v>
      </c>
      <c r="D1726" t="n">
        <v>21766.21</v>
      </c>
    </row>
    <row r="1727">
      <c r="A1727" t="n">
        <v>694</v>
      </c>
      <c r="B1727" t="n">
        <v>9521.040000000001</v>
      </c>
      <c r="C1727" t="n">
        <v>52742.3</v>
      </c>
      <c r="D1727" t="n">
        <v>6323.95</v>
      </c>
    </row>
    <row r="1728">
      <c r="A1728" t="n">
        <v>726</v>
      </c>
      <c r="B1728" t="n">
        <v>12701.88</v>
      </c>
      <c r="C1728" t="n">
        <v>49621.32</v>
      </c>
      <c r="D1728" t="n">
        <v>10067.36</v>
      </c>
    </row>
    <row r="1729">
      <c r="A1729" t="n">
        <v>681</v>
      </c>
      <c r="B1729" t="n">
        <v>1107.15</v>
      </c>
      <c r="C1729" t="n">
        <v>39840.82</v>
      </c>
      <c r="D1729" t="n">
        <v>16406.34</v>
      </c>
    </row>
    <row r="1730">
      <c r="A1730" t="n">
        <v>655</v>
      </c>
      <c r="B1730" t="n">
        <v>15609.45</v>
      </c>
      <c r="C1730" t="n">
        <v>38322.14</v>
      </c>
      <c r="D1730" t="n">
        <v>24722.05</v>
      </c>
    </row>
    <row r="1731">
      <c r="A1731" t="n">
        <v>631</v>
      </c>
      <c r="B1731" t="n">
        <v>19403.4</v>
      </c>
      <c r="C1731" t="n">
        <v>18716.18</v>
      </c>
      <c r="D1731" t="n">
        <v>25261.15</v>
      </c>
    </row>
    <row r="1732">
      <c r="A1732" t="n">
        <v>796</v>
      </c>
      <c r="B1732" t="n">
        <v>5662.44</v>
      </c>
      <c r="C1732" t="n">
        <v>8055.87</v>
      </c>
      <c r="D1732" t="n">
        <v>11071.18</v>
      </c>
    </row>
    <row r="1733">
      <c r="A1733" t="n">
        <v>585</v>
      </c>
      <c r="B1733" t="n">
        <v>16391.55</v>
      </c>
      <c r="C1733" t="n">
        <v>33585.34</v>
      </c>
      <c r="D1733" t="n">
        <v>12516.58</v>
      </c>
    </row>
    <row r="1734">
      <c r="A1734" t="n">
        <v>734</v>
      </c>
      <c r="B1734" t="n">
        <v>14454.97</v>
      </c>
      <c r="C1734" t="n">
        <v>33869.94</v>
      </c>
      <c r="D1734" t="n">
        <v>10220.15</v>
      </c>
    </row>
    <row r="1735">
      <c r="A1735" t="n">
        <v>711</v>
      </c>
      <c r="B1735" t="n">
        <v>13199.58</v>
      </c>
      <c r="C1735" t="n">
        <v>59852.06</v>
      </c>
      <c r="D1735" t="n">
        <v>6898.97</v>
      </c>
    </row>
    <row r="1736">
      <c r="A1736" t="n">
        <v>693</v>
      </c>
      <c r="B1736" t="n">
        <v>11426.91</v>
      </c>
      <c r="C1736" t="n">
        <v>19198.46</v>
      </c>
      <c r="D1736" t="n">
        <v>4398.86</v>
      </c>
    </row>
    <row r="1737">
      <c r="A1737" t="n">
        <v>707</v>
      </c>
      <c r="B1737" t="n">
        <v>6142.72</v>
      </c>
      <c r="C1737" t="n">
        <v>9510.67</v>
      </c>
      <c r="D1737" t="n">
        <v>14454.97</v>
      </c>
    </row>
    <row r="1738">
      <c r="A1738" t="n">
        <v>746</v>
      </c>
      <c r="B1738" t="n">
        <v>8321.15</v>
      </c>
      <c r="C1738" t="n">
        <v>29318.69</v>
      </c>
      <c r="D1738" t="n">
        <v>11426.91</v>
      </c>
    </row>
    <row r="1739">
      <c r="A1739" t="n">
        <v>708</v>
      </c>
      <c r="B1739" t="n">
        <v>14704.36</v>
      </c>
      <c r="C1739" t="n">
        <v>20862.28</v>
      </c>
      <c r="D1739" t="n">
        <v>6142.72</v>
      </c>
    </row>
    <row r="1740">
      <c r="A1740" t="n">
        <v>657</v>
      </c>
      <c r="B1740" t="n">
        <v>17270.65</v>
      </c>
      <c r="C1740" t="n">
        <v>16942.42</v>
      </c>
      <c r="D1740" t="n">
        <v>14704.36</v>
      </c>
    </row>
    <row r="1741">
      <c r="A1741" t="n">
        <v>682</v>
      </c>
      <c r="B1741" t="n">
        <v>7571.31</v>
      </c>
      <c r="C1741" t="n">
        <v>23042.77</v>
      </c>
      <c r="D1741" t="n">
        <v>9158.59</v>
      </c>
    </row>
    <row r="1742">
      <c r="A1742" t="n">
        <v>730</v>
      </c>
      <c r="B1742" t="n">
        <v>0</v>
      </c>
      <c r="C1742" t="n">
        <v>42935.62</v>
      </c>
      <c r="D1742" t="n">
        <v>6882.34</v>
      </c>
    </row>
    <row r="1743">
      <c r="A1743" t="n">
        <v>641</v>
      </c>
      <c r="B1743" t="n">
        <v>15195.9</v>
      </c>
      <c r="C1743" t="n">
        <v>29442.32</v>
      </c>
      <c r="D1743" t="n">
        <v>11581.85</v>
      </c>
    </row>
    <row r="1744">
      <c r="A1744" t="n">
        <v>663</v>
      </c>
      <c r="B1744" t="n">
        <v>15640.94</v>
      </c>
      <c r="C1744" t="n">
        <v>57947.74</v>
      </c>
      <c r="D1744" t="n">
        <v>11800.87</v>
      </c>
    </row>
    <row r="1745">
      <c r="A1745" t="n">
        <v>660</v>
      </c>
      <c r="B1745" t="n">
        <v>15081.27</v>
      </c>
      <c r="C1745" t="n">
        <v>11858.72</v>
      </c>
      <c r="D1745" t="n">
        <v>26814.68</v>
      </c>
    </row>
    <row r="1746">
      <c r="A1746" t="n">
        <v>708</v>
      </c>
      <c r="B1746" t="n">
        <v>15489.89</v>
      </c>
      <c r="C1746" t="n">
        <v>16108.7</v>
      </c>
      <c r="D1746" t="n">
        <v>15081.27</v>
      </c>
    </row>
    <row r="1747">
      <c r="A1747" t="n">
        <v>625</v>
      </c>
      <c r="B1747" t="n">
        <v>18289.76</v>
      </c>
      <c r="C1747" t="n">
        <v>32602.42</v>
      </c>
      <c r="D1747" t="n">
        <v>11329.62</v>
      </c>
    </row>
    <row r="1748">
      <c r="A1748" t="n">
        <v>734</v>
      </c>
      <c r="B1748" t="n">
        <v>6534.36</v>
      </c>
      <c r="C1748" t="n">
        <v>5108.85</v>
      </c>
      <c r="D1748" t="n">
        <v>23642.46</v>
      </c>
    </row>
    <row r="1749">
      <c r="A1749" t="n">
        <v>675</v>
      </c>
      <c r="B1749" t="n">
        <v>18840.7</v>
      </c>
      <c r="C1749" t="n">
        <v>28474.42</v>
      </c>
      <c r="D1749" t="n">
        <v>9327.530000000001</v>
      </c>
    </row>
    <row r="1750">
      <c r="A1750" t="n">
        <v>718</v>
      </c>
      <c r="B1750" t="n">
        <v>14325.17</v>
      </c>
      <c r="C1750" t="n">
        <v>49462.75</v>
      </c>
      <c r="D1750" t="n">
        <v>6534.36</v>
      </c>
    </row>
    <row r="1751">
      <c r="A1751" t="n">
        <v>622</v>
      </c>
      <c r="B1751" t="n">
        <v>24083.8</v>
      </c>
      <c r="C1751" t="n">
        <v>41062.73</v>
      </c>
      <c r="D1751" t="n">
        <v>22453.18</v>
      </c>
    </row>
    <row r="1752">
      <c r="A1752" t="n">
        <v>701</v>
      </c>
      <c r="B1752" t="n">
        <v>13921.03</v>
      </c>
      <c r="C1752" t="n">
        <v>8958.42</v>
      </c>
      <c r="D1752" t="n">
        <v>23479.39</v>
      </c>
    </row>
    <row r="1753">
      <c r="A1753" t="n">
        <v>676</v>
      </c>
      <c r="B1753" t="n">
        <v>22453.18</v>
      </c>
      <c r="C1753" t="n">
        <v>54305.09</v>
      </c>
      <c r="D1753" t="n">
        <v>7791.42</v>
      </c>
    </row>
    <row r="1754">
      <c r="A1754" t="n">
        <v>621</v>
      </c>
      <c r="B1754" t="n">
        <v>26034.89</v>
      </c>
      <c r="C1754" t="n">
        <v>56852.39</v>
      </c>
      <c r="D1754" t="n">
        <v>9441.57</v>
      </c>
    </row>
    <row r="1755">
      <c r="A1755" t="n">
        <v>743</v>
      </c>
      <c r="B1755" t="n">
        <v>12206.49</v>
      </c>
      <c r="C1755" t="n">
        <v>40225.54</v>
      </c>
      <c r="D1755" t="n">
        <v>14767.63</v>
      </c>
    </row>
    <row r="1756">
      <c r="A1756" t="n">
        <v>616</v>
      </c>
      <c r="B1756" t="n">
        <v>9048.59</v>
      </c>
      <c r="C1756" t="n">
        <v>6475.75</v>
      </c>
      <c r="D1756" t="n">
        <v>7245.83</v>
      </c>
    </row>
    <row r="1757">
      <c r="A1757" t="n">
        <v>698</v>
      </c>
      <c r="B1757" t="n">
        <v>5983.23</v>
      </c>
      <c r="C1757" t="n">
        <v>59162.32</v>
      </c>
      <c r="D1757" t="n">
        <v>4710.02</v>
      </c>
    </row>
    <row r="1758">
      <c r="A1758" t="n">
        <v>741</v>
      </c>
      <c r="B1758" t="n">
        <v>6459.78</v>
      </c>
      <c r="C1758" t="n">
        <v>12074.84</v>
      </c>
      <c r="D1758" t="n">
        <v>18290.62</v>
      </c>
    </row>
    <row r="1759">
      <c r="A1759" t="n">
        <v>711</v>
      </c>
      <c r="B1759" t="n">
        <v>13527.97</v>
      </c>
      <c r="C1759" t="n">
        <v>24133.34</v>
      </c>
      <c r="D1759" t="n">
        <v>10959.23</v>
      </c>
    </row>
    <row r="1760">
      <c r="A1760" t="n">
        <v>701</v>
      </c>
      <c r="B1760" t="n">
        <v>3933.68</v>
      </c>
      <c r="C1760" t="n">
        <v>11011.85</v>
      </c>
      <c r="D1760" t="n">
        <v>10700.43</v>
      </c>
    </row>
    <row r="1761">
      <c r="A1761" t="n">
        <v>706</v>
      </c>
      <c r="B1761" t="n">
        <v>4543</v>
      </c>
      <c r="C1761" t="n">
        <v>7069.72</v>
      </c>
      <c r="D1761" t="n">
        <v>6239.89</v>
      </c>
    </row>
    <row r="1762">
      <c r="A1762" t="n">
        <v>736</v>
      </c>
      <c r="B1762" t="n">
        <v>11412.95</v>
      </c>
      <c r="C1762" t="n">
        <v>25768.52</v>
      </c>
      <c r="D1762" t="n">
        <v>19130.03</v>
      </c>
    </row>
    <row r="1763">
      <c r="A1763" t="n">
        <v>740</v>
      </c>
      <c r="B1763" t="n">
        <v>12504.27</v>
      </c>
      <c r="C1763" t="n">
        <v>6639.54</v>
      </c>
      <c r="D1763" t="n">
        <v>15217.7</v>
      </c>
    </row>
    <row r="1764">
      <c r="A1764" t="n">
        <v>638</v>
      </c>
      <c r="B1764" t="n">
        <v>10700.43</v>
      </c>
      <c r="C1764" t="n">
        <v>21583.06</v>
      </c>
      <c r="D1764" t="n">
        <v>12074.28</v>
      </c>
    </row>
    <row r="1765">
      <c r="A1765" t="n">
        <v>751</v>
      </c>
      <c r="B1765" t="n">
        <v>3165.58</v>
      </c>
      <c r="C1765" t="n">
        <v>23871.2</v>
      </c>
      <c r="D1765" t="n">
        <v>20433.92</v>
      </c>
    </row>
    <row r="1766">
      <c r="A1766" t="n">
        <v>780</v>
      </c>
      <c r="B1766" t="n">
        <v>7251.87</v>
      </c>
      <c r="C1766" t="n">
        <v>7004.27</v>
      </c>
      <c r="D1766" t="n">
        <v>7682.62</v>
      </c>
    </row>
    <row r="1767">
      <c r="A1767" t="n">
        <v>777</v>
      </c>
      <c r="B1767" t="n">
        <v>7574.68</v>
      </c>
      <c r="C1767" t="n">
        <v>10028.74</v>
      </c>
      <c r="D1767" t="n">
        <v>15037.89</v>
      </c>
    </row>
    <row r="1768">
      <c r="A1768" t="n">
        <v>697</v>
      </c>
      <c r="B1768" t="n">
        <v>18856.76</v>
      </c>
      <c r="C1768" t="n">
        <v>5596.77</v>
      </c>
      <c r="D1768" t="n">
        <v>18216.17</v>
      </c>
    </row>
    <row r="1769">
      <c r="A1769" t="n">
        <v>662</v>
      </c>
      <c r="B1769" t="n">
        <v>15217.7</v>
      </c>
      <c r="C1769" t="n">
        <v>33958.59</v>
      </c>
      <c r="D1769" t="n">
        <v>16812.07</v>
      </c>
    </row>
    <row r="1770">
      <c r="A1770" t="n">
        <v>810</v>
      </c>
      <c r="B1770" t="n">
        <v>4832.01</v>
      </c>
      <c r="C1770" t="n">
        <v>26714.01</v>
      </c>
      <c r="D1770" t="n">
        <v>9299.76</v>
      </c>
    </row>
    <row r="1771">
      <c r="A1771" t="n">
        <v>663</v>
      </c>
      <c r="B1771" t="n">
        <v>15037.89</v>
      </c>
      <c r="C1771" t="n">
        <v>38892.45</v>
      </c>
      <c r="D1771" t="n">
        <v>9623.049999999999</v>
      </c>
    </row>
    <row r="1772">
      <c r="A1772" t="n">
        <v>694</v>
      </c>
      <c r="B1772" t="n">
        <v>15072.23</v>
      </c>
      <c r="C1772" t="n">
        <v>8628.6</v>
      </c>
      <c r="D1772" t="n">
        <v>8558.42</v>
      </c>
    </row>
    <row r="1773">
      <c r="A1773" t="n">
        <v>677</v>
      </c>
      <c r="B1773" t="n">
        <v>16675.92</v>
      </c>
      <c r="C1773" t="n">
        <v>29785.28</v>
      </c>
      <c r="D1773" t="n">
        <v>9877.200000000001</v>
      </c>
    </row>
    <row r="1774">
      <c r="A1774" t="n">
        <v>641</v>
      </c>
      <c r="B1774" t="n">
        <v>14738.29</v>
      </c>
      <c r="C1774" t="n">
        <v>55842.93</v>
      </c>
      <c r="D1774" t="n">
        <v>12936.04</v>
      </c>
    </row>
    <row r="1775">
      <c r="A1775" t="n">
        <v>653</v>
      </c>
      <c r="B1775" t="n">
        <v>22454.71</v>
      </c>
      <c r="C1775" t="n">
        <v>21903.07</v>
      </c>
      <c r="D1775" t="n">
        <v>12957.32</v>
      </c>
    </row>
    <row r="1776">
      <c r="A1776" t="n">
        <v>670</v>
      </c>
      <c r="B1776" t="n">
        <v>17407.3</v>
      </c>
      <c r="C1776" t="n">
        <v>45271.87</v>
      </c>
      <c r="D1776" t="n">
        <v>6938.8</v>
      </c>
    </row>
    <row r="1777">
      <c r="A1777" t="n">
        <v>718</v>
      </c>
      <c r="B1777" t="n">
        <v>10131.71</v>
      </c>
      <c r="C1777" t="n">
        <v>25872.69</v>
      </c>
      <c r="D1777" t="n">
        <v>4583.16</v>
      </c>
    </row>
    <row r="1778">
      <c r="A1778" t="n">
        <v>662</v>
      </c>
      <c r="B1778" t="n">
        <v>16867.36</v>
      </c>
      <c r="C1778" t="n">
        <v>31690.67</v>
      </c>
      <c r="D1778" t="n">
        <v>0</v>
      </c>
    </row>
    <row r="1779">
      <c r="A1779" t="n">
        <v>643</v>
      </c>
      <c r="B1779" t="n">
        <v>8203.799999999999</v>
      </c>
      <c r="C1779" t="n">
        <v>11306.92</v>
      </c>
      <c r="D1779" t="n">
        <v>9578.719999999999</v>
      </c>
    </row>
    <row r="1780">
      <c r="A1780" t="n">
        <v>756</v>
      </c>
      <c r="B1780" t="n">
        <v>5850.42</v>
      </c>
      <c r="C1780" t="n">
        <v>28280.41</v>
      </c>
      <c r="D1780" t="n">
        <v>8197.379999999999</v>
      </c>
    </row>
    <row r="1781">
      <c r="A1781" t="n">
        <v>713</v>
      </c>
      <c r="B1781" t="n">
        <v>7595.15</v>
      </c>
      <c r="C1781" t="n">
        <v>20755.74</v>
      </c>
      <c r="D1781" t="n">
        <v>10483.17</v>
      </c>
    </row>
    <row r="1782">
      <c r="A1782" t="n">
        <v>718</v>
      </c>
      <c r="B1782" t="n">
        <v>5223.73</v>
      </c>
      <c r="C1782" t="n">
        <v>47100.11</v>
      </c>
      <c r="D1782" t="n">
        <v>11799.06</v>
      </c>
    </row>
    <row r="1783">
      <c r="A1783" t="n">
        <v>637</v>
      </c>
      <c r="B1783" t="n">
        <v>5899.74</v>
      </c>
      <c r="C1783" t="n">
        <v>48466.13</v>
      </c>
      <c r="D1783" t="n">
        <v>10328.57</v>
      </c>
    </row>
    <row r="1784">
      <c r="A1784" t="n">
        <v>703</v>
      </c>
      <c r="B1784" t="n">
        <v>12751.5</v>
      </c>
      <c r="C1784" t="n">
        <v>5255.78</v>
      </c>
      <c r="D1784" t="n">
        <v>16289.63</v>
      </c>
    </row>
    <row r="1785">
      <c r="A1785" t="n">
        <v>659</v>
      </c>
      <c r="B1785" t="n">
        <v>8419.24</v>
      </c>
      <c r="C1785" t="n">
        <v>26556.91</v>
      </c>
      <c r="D1785" t="n">
        <v>16470.5</v>
      </c>
    </row>
    <row r="1786">
      <c r="A1786" t="n">
        <v>610</v>
      </c>
      <c r="B1786" t="n">
        <v>8197.379999999999</v>
      </c>
      <c r="C1786" t="n">
        <v>59839.93</v>
      </c>
      <c r="D1786" t="n">
        <v>7420.76</v>
      </c>
    </row>
    <row r="1787">
      <c r="A1787" t="n">
        <v>771</v>
      </c>
      <c r="B1787" t="n">
        <v>11313.24</v>
      </c>
      <c r="C1787" t="n">
        <v>19132.41</v>
      </c>
      <c r="D1787" t="n">
        <v>7943.3</v>
      </c>
    </row>
    <row r="1788">
      <c r="A1788" t="n">
        <v>730</v>
      </c>
      <c r="B1788" t="n">
        <v>14595.85</v>
      </c>
      <c r="C1788" t="n">
        <v>7635.36</v>
      </c>
      <c r="D1788" t="n">
        <v>5293.52</v>
      </c>
    </row>
    <row r="1789">
      <c r="A1789" t="n">
        <v>648</v>
      </c>
      <c r="B1789" t="n">
        <v>16470.5</v>
      </c>
      <c r="C1789" t="n">
        <v>46765.67</v>
      </c>
      <c r="D1789" t="n">
        <v>10707.51</v>
      </c>
    </row>
    <row r="1790">
      <c r="A1790" t="n">
        <v>696</v>
      </c>
      <c r="B1790" t="n">
        <v>7420.76</v>
      </c>
      <c r="C1790" t="n">
        <v>10395.67</v>
      </c>
      <c r="D1790" t="n">
        <v>23603.99</v>
      </c>
    </row>
    <row r="1791">
      <c r="A1791" t="n">
        <v>606</v>
      </c>
      <c r="B1791" t="n">
        <v>31656.84</v>
      </c>
      <c r="C1791" t="n">
        <v>8719.17</v>
      </c>
      <c r="D1791" t="n">
        <v>8869.08</v>
      </c>
    </row>
    <row r="1792">
      <c r="A1792" t="n">
        <v>680</v>
      </c>
      <c r="B1792" t="n">
        <v>8869.08</v>
      </c>
      <c r="C1792" t="n">
        <v>50824.53</v>
      </c>
      <c r="D1792" t="n">
        <v>34868.74</v>
      </c>
    </row>
    <row r="1793">
      <c r="A1793" t="n">
        <v>662</v>
      </c>
      <c r="B1793" t="n">
        <v>14491.51</v>
      </c>
      <c r="C1793" t="n">
        <v>56184.79</v>
      </c>
      <c r="D1793" t="n">
        <v>12803.2</v>
      </c>
    </row>
    <row r="1794">
      <c r="A1794" t="n">
        <v>561</v>
      </c>
      <c r="B1794" t="n">
        <v>34868.74</v>
      </c>
      <c r="C1794" t="n">
        <v>48901.29</v>
      </c>
      <c r="D1794" t="n">
        <v>17593.64</v>
      </c>
    </row>
    <row r="1795">
      <c r="A1795" t="n">
        <v>638</v>
      </c>
      <c r="B1795" t="n">
        <v>25977.02</v>
      </c>
      <c r="C1795" t="n">
        <v>55260.15</v>
      </c>
      <c r="D1795" t="n">
        <v>13395.53</v>
      </c>
    </row>
    <row r="1796">
      <c r="A1796" t="n">
        <v>661</v>
      </c>
      <c r="B1796" t="n">
        <v>21308.2</v>
      </c>
      <c r="C1796" t="n">
        <v>41170.68</v>
      </c>
      <c r="D1796" t="n">
        <v>5642.85</v>
      </c>
    </row>
    <row r="1797">
      <c r="A1797" t="n">
        <v>769</v>
      </c>
      <c r="B1797" t="n">
        <v>6953.71</v>
      </c>
      <c r="C1797" t="n">
        <v>16637.01</v>
      </c>
      <c r="D1797" t="n">
        <v>6953.71</v>
      </c>
    </row>
    <row r="1798">
      <c r="A1798" t="n">
        <v>647</v>
      </c>
      <c r="B1798" t="n">
        <v>5301.91</v>
      </c>
      <c r="C1798" t="n">
        <v>6210.14</v>
      </c>
      <c r="D1798" t="n">
        <v>12265.2</v>
      </c>
    </row>
    <row r="1799">
      <c r="A1799" t="n">
        <v>630</v>
      </c>
      <c r="B1799" t="n">
        <v>23151.55</v>
      </c>
      <c r="C1799" t="n">
        <v>46198.7</v>
      </c>
      <c r="D1799" t="n">
        <v>7943.14</v>
      </c>
    </row>
    <row r="1800">
      <c r="A1800" t="n">
        <v>702</v>
      </c>
      <c r="B1800" t="n">
        <v>14284.14</v>
      </c>
      <c r="C1800" t="n">
        <v>26169.98</v>
      </c>
      <c r="D1800" t="n">
        <v>23151.55</v>
      </c>
    </row>
    <row r="1801">
      <c r="A1801" t="n">
        <v>673</v>
      </c>
      <c r="B1801" t="n">
        <v>22467.18</v>
      </c>
      <c r="C1801" t="n">
        <v>25226.9</v>
      </c>
      <c r="D1801" t="n">
        <v>12169.46</v>
      </c>
    </row>
    <row r="1802">
      <c r="A1802" t="n">
        <v>639</v>
      </c>
      <c r="B1802" t="n">
        <v>4472.36</v>
      </c>
      <c r="C1802" t="n">
        <v>38862.88</v>
      </c>
      <c r="D1802" t="n">
        <v>14284.14</v>
      </c>
    </row>
    <row r="1803">
      <c r="A1803" t="n">
        <v>602</v>
      </c>
      <c r="B1803" t="n">
        <v>8363.25</v>
      </c>
      <c r="C1803" t="n">
        <v>29357.41</v>
      </c>
      <c r="D1803" t="n">
        <v>15718.76</v>
      </c>
    </row>
    <row r="1804">
      <c r="A1804" t="n">
        <v>640</v>
      </c>
      <c r="B1804" t="n">
        <v>16223.58</v>
      </c>
      <c r="C1804" t="n">
        <v>11352.92</v>
      </c>
      <c r="D1804" t="n">
        <v>16223.58</v>
      </c>
    </row>
    <row r="1805">
      <c r="A1805" t="n">
        <v>708</v>
      </c>
      <c r="B1805" t="n">
        <v>6721.86</v>
      </c>
      <c r="C1805" t="n">
        <v>6388.71</v>
      </c>
      <c r="D1805" t="n">
        <v>6721.86</v>
      </c>
    </row>
    <row r="1806">
      <c r="A1806" t="n">
        <v>708</v>
      </c>
      <c r="B1806" t="n">
        <v>7020.64</v>
      </c>
      <c r="C1806" t="n">
        <v>45829.52</v>
      </c>
      <c r="D1806" t="n">
        <v>14012.51</v>
      </c>
    </row>
    <row r="1807">
      <c r="A1807" t="n">
        <v>759</v>
      </c>
      <c r="B1807" t="n">
        <v>9966.73</v>
      </c>
      <c r="C1807" t="n">
        <v>53944.2</v>
      </c>
      <c r="D1807" t="n">
        <v>14932.99</v>
      </c>
    </row>
    <row r="1808">
      <c r="A1808" t="n">
        <v>720</v>
      </c>
      <c r="B1808" t="n">
        <v>10881.38</v>
      </c>
      <c r="C1808" t="n">
        <v>20761.59</v>
      </c>
      <c r="D1808" t="n">
        <v>19175.21</v>
      </c>
    </row>
    <row r="1809">
      <c r="A1809" t="n">
        <v>596</v>
      </c>
      <c r="B1809" t="n">
        <v>16857.82</v>
      </c>
      <c r="C1809" t="n">
        <v>16711.65</v>
      </c>
      <c r="D1809" t="n">
        <v>10881.38</v>
      </c>
    </row>
    <row r="1810">
      <c r="A1810" t="n">
        <v>588</v>
      </c>
      <c r="B1810" t="n">
        <v>13865.76</v>
      </c>
      <c r="C1810" t="n">
        <v>26876.21</v>
      </c>
      <c r="D1810" t="n">
        <v>16857.82</v>
      </c>
    </row>
    <row r="1811">
      <c r="A1811" t="n">
        <v>678</v>
      </c>
      <c r="B1811" t="n">
        <v>12122.86</v>
      </c>
      <c r="C1811" t="n">
        <v>23510.7</v>
      </c>
      <c r="D1811" t="n">
        <v>13865.76</v>
      </c>
    </row>
    <row r="1812">
      <c r="A1812" t="n">
        <v>748</v>
      </c>
      <c r="B1812" t="n">
        <v>14047.87</v>
      </c>
      <c r="C1812" t="n">
        <v>31384.03</v>
      </c>
      <c r="D1812" t="n">
        <v>12122.86</v>
      </c>
    </row>
    <row r="1813">
      <c r="A1813" t="n">
        <v>723</v>
      </c>
      <c r="B1813" t="n">
        <v>11417.35</v>
      </c>
      <c r="C1813" t="n">
        <v>7772.61</v>
      </c>
      <c r="D1813" t="n">
        <v>33785.67</v>
      </c>
    </row>
    <row r="1814">
      <c r="A1814" t="n">
        <v>673</v>
      </c>
      <c r="B1814" t="n">
        <v>13462.41</v>
      </c>
      <c r="C1814" t="n">
        <v>51597.87</v>
      </c>
      <c r="D1814" t="n">
        <v>31148.62</v>
      </c>
    </row>
    <row r="1815">
      <c r="A1815" t="n">
        <v>750</v>
      </c>
      <c r="B1815" t="n">
        <v>6017.84</v>
      </c>
      <c r="C1815" t="n">
        <v>22686.03</v>
      </c>
      <c r="D1815" t="n">
        <v>14180.34</v>
      </c>
    </row>
    <row r="1816">
      <c r="A1816" t="n">
        <v>635</v>
      </c>
      <c r="B1816" t="n">
        <v>21434.46</v>
      </c>
      <c r="C1816" t="n">
        <v>57223.83</v>
      </c>
      <c r="D1816" t="n">
        <v>11417.35</v>
      </c>
    </row>
    <row r="1817">
      <c r="A1817" t="n">
        <v>674</v>
      </c>
      <c r="B1817" t="n">
        <v>9529.299999999999</v>
      </c>
      <c r="C1817" t="n">
        <v>54219.01</v>
      </c>
      <c r="D1817" t="n">
        <v>13462.41</v>
      </c>
    </row>
    <row r="1818">
      <c r="A1818" t="n">
        <v>657</v>
      </c>
      <c r="B1818" t="n">
        <v>10261.96</v>
      </c>
      <c r="C1818" t="n">
        <v>55875.33</v>
      </c>
      <c r="D1818" t="n">
        <v>1479.36</v>
      </c>
    </row>
    <row r="1819">
      <c r="A1819" t="n">
        <v>635</v>
      </c>
      <c r="B1819" t="n">
        <v>18208.64</v>
      </c>
      <c r="C1819" t="n">
        <v>53775.86</v>
      </c>
      <c r="D1819" t="n">
        <v>23375.53</v>
      </c>
    </row>
    <row r="1820">
      <c r="A1820" t="n">
        <v>621</v>
      </c>
      <c r="B1820" t="n">
        <v>24810.85</v>
      </c>
      <c r="C1820" t="n">
        <v>33552.73</v>
      </c>
      <c r="D1820" t="n">
        <v>21434.46</v>
      </c>
    </row>
    <row r="1821">
      <c r="A1821" t="n">
        <v>705</v>
      </c>
      <c r="B1821" t="n">
        <v>0</v>
      </c>
      <c r="C1821" t="n">
        <v>8025.76</v>
      </c>
      <c r="D1821" t="n">
        <v>9529.299999999999</v>
      </c>
    </row>
    <row r="1822">
      <c r="A1822" t="n">
        <v>726</v>
      </c>
      <c r="B1822" t="n">
        <v>7037.25</v>
      </c>
      <c r="C1822" t="n">
        <v>48468.02</v>
      </c>
      <c r="D1822" t="n">
        <v>10261.96</v>
      </c>
    </row>
    <row r="1823">
      <c r="A1823" t="n">
        <v>738</v>
      </c>
      <c r="B1823" t="n">
        <v>7973.14</v>
      </c>
      <c r="C1823" t="n">
        <v>9241.68</v>
      </c>
      <c r="D1823" t="n">
        <v>5687.52</v>
      </c>
    </row>
    <row r="1824">
      <c r="A1824" t="n">
        <v>629</v>
      </c>
      <c r="B1824" t="n">
        <v>28274.03</v>
      </c>
      <c r="C1824" t="n">
        <v>46184.56</v>
      </c>
      <c r="D1824" t="n">
        <v>24810.85</v>
      </c>
    </row>
    <row r="1825">
      <c r="A1825" t="n">
        <v>700</v>
      </c>
      <c r="B1825" t="n">
        <v>21833.75</v>
      </c>
      <c r="C1825" t="n">
        <v>32254.46</v>
      </c>
      <c r="D1825" t="n">
        <v>7181.13</v>
      </c>
    </row>
    <row r="1826">
      <c r="A1826" t="n">
        <v>709</v>
      </c>
      <c r="B1826" t="n">
        <v>1655.56</v>
      </c>
      <c r="C1826" t="n">
        <v>52808.7</v>
      </c>
      <c r="D1826" t="n">
        <v>10079.69</v>
      </c>
    </row>
    <row r="1827">
      <c r="A1827" t="n">
        <v>628</v>
      </c>
      <c r="B1827" t="n">
        <v>18590.7</v>
      </c>
      <c r="C1827" t="n">
        <v>24930.25</v>
      </c>
      <c r="D1827" t="n">
        <v>7973.14</v>
      </c>
    </row>
    <row r="1828">
      <c r="A1828" t="n">
        <v>786</v>
      </c>
      <c r="B1828" t="n">
        <v>10803.33</v>
      </c>
      <c r="C1828" t="n">
        <v>16433.15</v>
      </c>
      <c r="D1828" t="n">
        <v>13548.41</v>
      </c>
    </row>
    <row r="1829">
      <c r="A1829" t="n">
        <v>697</v>
      </c>
      <c r="B1829" t="n">
        <v>18534.8</v>
      </c>
      <c r="C1829" t="n">
        <v>56382.76</v>
      </c>
      <c r="D1829" t="n">
        <v>13927.8</v>
      </c>
    </row>
    <row r="1830">
      <c r="A1830" t="n">
        <v>706</v>
      </c>
      <c r="B1830" t="n">
        <v>5055.29</v>
      </c>
      <c r="C1830" t="n">
        <v>53682.99</v>
      </c>
      <c r="D1830" t="n">
        <v>8207.459999999999</v>
      </c>
    </row>
    <row r="1831">
      <c r="A1831" t="n">
        <v>640</v>
      </c>
      <c r="B1831" t="n">
        <v>10067.12</v>
      </c>
      <c r="C1831" t="n">
        <v>55339.93</v>
      </c>
      <c r="D1831" t="n">
        <v>15083.92</v>
      </c>
    </row>
    <row r="1832">
      <c r="A1832" t="n">
        <v>739</v>
      </c>
      <c r="B1832" t="n">
        <v>8102.14</v>
      </c>
      <c r="C1832" t="n">
        <v>24872.91</v>
      </c>
      <c r="D1832" t="n">
        <v>21015.26</v>
      </c>
    </row>
    <row r="1833">
      <c r="A1833" t="n">
        <v>752</v>
      </c>
      <c r="B1833" t="n">
        <v>11582.76</v>
      </c>
      <c r="C1833" t="n">
        <v>56047.84</v>
      </c>
      <c r="D1833" t="n">
        <v>34538.44</v>
      </c>
    </row>
    <row r="1834">
      <c r="A1834" t="n">
        <v>866</v>
      </c>
      <c r="B1834" t="n">
        <v>1272.19</v>
      </c>
      <c r="C1834" t="n">
        <v>59398.52</v>
      </c>
      <c r="D1834" t="n">
        <v>4437.41</v>
      </c>
    </row>
    <row r="1835">
      <c r="A1835" t="n">
        <v>591</v>
      </c>
      <c r="B1835" t="n">
        <v>34538.44</v>
      </c>
      <c r="C1835" t="n">
        <v>12343.52</v>
      </c>
      <c r="D1835" t="n">
        <v>5879.17</v>
      </c>
    </row>
    <row r="1836">
      <c r="A1836" t="n">
        <v>657</v>
      </c>
      <c r="B1836" t="n">
        <v>14017.39</v>
      </c>
      <c r="C1836" t="n">
        <v>31538.61</v>
      </c>
      <c r="D1836" t="n">
        <v>7931.68</v>
      </c>
    </row>
    <row r="1837">
      <c r="A1837" t="n">
        <v>646</v>
      </c>
      <c r="B1837" t="n">
        <v>4627.34</v>
      </c>
      <c r="C1837" t="n">
        <v>56026.21</v>
      </c>
      <c r="D1837" t="n">
        <v>6850.16</v>
      </c>
    </row>
    <row r="1838">
      <c r="A1838" t="n">
        <v>692</v>
      </c>
      <c r="B1838" t="n">
        <v>7022.45</v>
      </c>
      <c r="C1838" t="n">
        <v>26553.11</v>
      </c>
      <c r="D1838" t="n">
        <v>12646.19</v>
      </c>
    </row>
    <row r="1839">
      <c r="A1839" t="n">
        <v>696</v>
      </c>
      <c r="B1839" t="n">
        <v>6850.16</v>
      </c>
      <c r="C1839" t="n">
        <v>43840.78</v>
      </c>
      <c r="D1839" t="n">
        <v>14134.58</v>
      </c>
    </row>
    <row r="1840">
      <c r="A1840" t="n">
        <v>727</v>
      </c>
      <c r="B1840" t="n">
        <v>11647.29</v>
      </c>
      <c r="C1840" t="n">
        <v>20297.61</v>
      </c>
      <c r="D1840" t="n">
        <v>20493.33</v>
      </c>
    </row>
    <row r="1841">
      <c r="A1841" t="n">
        <v>708</v>
      </c>
      <c r="B1841" t="n">
        <v>11094.72</v>
      </c>
      <c r="C1841" t="n">
        <v>50521.3</v>
      </c>
      <c r="D1841" t="n">
        <v>15965.78</v>
      </c>
    </row>
    <row r="1842">
      <c r="A1842" t="n">
        <v>680</v>
      </c>
      <c r="B1842" t="n">
        <v>17772.22</v>
      </c>
      <c r="C1842" t="n">
        <v>59355.76</v>
      </c>
      <c r="D1842" t="n">
        <v>13406.65</v>
      </c>
    </row>
    <row r="1843">
      <c r="A1843" t="n">
        <v>680</v>
      </c>
      <c r="B1843" t="n">
        <v>7107.69</v>
      </c>
      <c r="C1843" t="n">
        <v>43392.62</v>
      </c>
      <c r="D1843" t="n">
        <v>17422.77</v>
      </c>
    </row>
    <row r="1844">
      <c r="A1844" t="n">
        <v>685</v>
      </c>
      <c r="B1844" t="n">
        <v>14152.67</v>
      </c>
      <c r="C1844" t="n">
        <v>19983.53</v>
      </c>
      <c r="D1844" t="n">
        <v>16429.8</v>
      </c>
    </row>
    <row r="1845">
      <c r="A1845" t="n">
        <v>624</v>
      </c>
      <c r="B1845" t="n">
        <v>11539.17</v>
      </c>
      <c r="C1845" t="n">
        <v>7458.88</v>
      </c>
      <c r="D1845" t="n">
        <v>8869.18</v>
      </c>
    </row>
    <row r="1846">
      <c r="A1846" t="n">
        <v>669</v>
      </c>
      <c r="B1846" t="n">
        <v>16507.28</v>
      </c>
      <c r="C1846" t="n">
        <v>29419.14</v>
      </c>
      <c r="D1846" t="n">
        <v>7016.1</v>
      </c>
    </row>
    <row r="1847">
      <c r="A1847" t="n">
        <v>722</v>
      </c>
      <c r="B1847" t="n">
        <v>4396.43</v>
      </c>
      <c r="C1847" t="n">
        <v>25203.92</v>
      </c>
      <c r="D1847" t="n">
        <v>11218.49</v>
      </c>
    </row>
    <row r="1848">
      <c r="A1848" t="n">
        <v>634</v>
      </c>
      <c r="B1848" t="n">
        <v>10845.07</v>
      </c>
      <c r="C1848" t="n">
        <v>41718.04</v>
      </c>
      <c r="D1848" t="n">
        <v>10634.97</v>
      </c>
    </row>
    <row r="1849">
      <c r="A1849" t="n">
        <v>717</v>
      </c>
      <c r="B1849" t="n">
        <v>11218.49</v>
      </c>
      <c r="C1849" t="n">
        <v>50206.37</v>
      </c>
      <c r="D1849" t="n">
        <v>25242.82</v>
      </c>
    </row>
    <row r="1850">
      <c r="A1850" t="n">
        <v>635</v>
      </c>
      <c r="B1850" t="n">
        <v>20082.31</v>
      </c>
      <c r="C1850" t="n">
        <v>39172.36</v>
      </c>
      <c r="D1850" t="n">
        <v>16369.72</v>
      </c>
    </row>
    <row r="1851">
      <c r="A1851" t="n">
        <v>738</v>
      </c>
      <c r="B1851" t="n">
        <v>4103.37</v>
      </c>
      <c r="C1851" t="n">
        <v>43099.19</v>
      </c>
      <c r="D1851" t="n">
        <v>18547.47</v>
      </c>
    </row>
    <row r="1852">
      <c r="A1852" t="n">
        <v>672</v>
      </c>
      <c r="B1852" t="n">
        <v>16621.25</v>
      </c>
      <c r="C1852" t="n">
        <v>48306.33</v>
      </c>
      <c r="D1852" t="n">
        <v>12800.74</v>
      </c>
    </row>
    <row r="1853">
      <c r="A1853" t="n">
        <v>694</v>
      </c>
      <c r="B1853" t="n">
        <v>12800.74</v>
      </c>
      <c r="C1853" t="n">
        <v>45397.95</v>
      </c>
      <c r="D1853" t="n">
        <v>4125.25</v>
      </c>
    </row>
    <row r="1854">
      <c r="A1854" t="n">
        <v>804</v>
      </c>
      <c r="B1854" t="n">
        <v>7131.88</v>
      </c>
      <c r="C1854" t="n">
        <v>51229.7</v>
      </c>
      <c r="D1854" t="n">
        <v>11992.15</v>
      </c>
    </row>
    <row r="1855">
      <c r="A1855" t="n">
        <v>622</v>
      </c>
      <c r="B1855" t="n">
        <v>11992.15</v>
      </c>
      <c r="C1855" t="n">
        <v>11119.23</v>
      </c>
      <c r="D1855" t="n">
        <v>14846.84</v>
      </c>
    </row>
    <row r="1856">
      <c r="A1856" t="n">
        <v>716</v>
      </c>
      <c r="B1856" t="n">
        <v>12708.54</v>
      </c>
      <c r="C1856" t="n">
        <v>41395.01</v>
      </c>
      <c r="D1856" t="n">
        <v>12277.55</v>
      </c>
    </row>
    <row r="1857">
      <c r="A1857" t="n">
        <v>679</v>
      </c>
      <c r="B1857" t="n">
        <v>13781.2</v>
      </c>
      <c r="C1857" t="n">
        <v>44133.67</v>
      </c>
      <c r="D1857" t="n">
        <v>12721.56</v>
      </c>
    </row>
    <row r="1858">
      <c r="A1858" t="n">
        <v>629</v>
      </c>
      <c r="B1858" t="n">
        <v>14440.46</v>
      </c>
      <c r="C1858" t="n">
        <v>21293.84</v>
      </c>
      <c r="D1858" t="n">
        <v>24266.47</v>
      </c>
    </row>
    <row r="1859">
      <c r="A1859" t="n">
        <v>753</v>
      </c>
      <c r="B1859" t="n">
        <v>6673.49</v>
      </c>
      <c r="C1859" t="n">
        <v>39597.88</v>
      </c>
      <c r="D1859" t="n">
        <v>23118.93</v>
      </c>
    </row>
    <row r="1860">
      <c r="A1860" t="n">
        <v>641</v>
      </c>
      <c r="B1860" t="n">
        <v>18066.17</v>
      </c>
      <c r="C1860" t="n">
        <v>55342.26</v>
      </c>
      <c r="D1860" t="n">
        <v>9775.98</v>
      </c>
    </row>
    <row r="1861">
      <c r="A1861" t="n">
        <v>704</v>
      </c>
      <c r="B1861" t="n">
        <v>15798.63</v>
      </c>
      <c r="C1861" t="n">
        <v>30630.3</v>
      </c>
      <c r="D1861" t="n">
        <v>6188.73</v>
      </c>
    </row>
    <row r="1862">
      <c r="A1862" t="n">
        <v>657</v>
      </c>
      <c r="B1862" t="n">
        <v>23118.93</v>
      </c>
      <c r="C1862" t="n">
        <v>43788.51</v>
      </c>
      <c r="D1862" t="n">
        <v>11651.09</v>
      </c>
    </row>
    <row r="1863">
      <c r="A1863" t="n">
        <v>742</v>
      </c>
      <c r="B1863" t="n">
        <v>8783.66</v>
      </c>
      <c r="C1863" t="n">
        <v>7834.57</v>
      </c>
      <c r="D1863" t="n">
        <v>22815.44</v>
      </c>
    </row>
    <row r="1864">
      <c r="A1864" t="n">
        <v>655</v>
      </c>
      <c r="B1864" t="n">
        <v>16833.52</v>
      </c>
      <c r="C1864" t="n">
        <v>34455.52</v>
      </c>
      <c r="D1864" t="n">
        <v>15278.72</v>
      </c>
    </row>
    <row r="1865">
      <c r="A1865" t="n">
        <v>628</v>
      </c>
      <c r="B1865" t="n">
        <v>23765.54</v>
      </c>
      <c r="C1865" t="n">
        <v>44356.71</v>
      </c>
      <c r="D1865" t="n">
        <v>2384.09</v>
      </c>
    </row>
    <row r="1866">
      <c r="A1866" t="n">
        <v>654</v>
      </c>
      <c r="B1866" t="n">
        <v>9040.23</v>
      </c>
      <c r="C1866" t="n">
        <v>48046.36</v>
      </c>
      <c r="D1866" t="n">
        <v>22303.76</v>
      </c>
    </row>
    <row r="1867">
      <c r="A1867" t="n">
        <v>756</v>
      </c>
      <c r="B1867" t="n">
        <v>2712.89</v>
      </c>
      <c r="C1867" t="n">
        <v>21179.41</v>
      </c>
      <c r="D1867" t="n">
        <v>18137.51</v>
      </c>
    </row>
    <row r="1868">
      <c r="A1868" t="n">
        <v>719</v>
      </c>
      <c r="B1868" t="n">
        <v>13435.69</v>
      </c>
      <c r="C1868" t="n">
        <v>16410.29</v>
      </c>
      <c r="D1868" t="n">
        <v>10271.78</v>
      </c>
    </row>
    <row r="1869">
      <c r="A1869" t="n">
        <v>701</v>
      </c>
      <c r="B1869" t="n">
        <v>9011.469999999999</v>
      </c>
      <c r="C1869" t="n">
        <v>41561.86</v>
      </c>
      <c r="D1869" t="n">
        <v>13435.69</v>
      </c>
    </row>
    <row r="1870">
      <c r="A1870" t="n">
        <v>699</v>
      </c>
      <c r="B1870" t="n">
        <v>16988.74</v>
      </c>
      <c r="C1870" t="n">
        <v>32779.92</v>
      </c>
      <c r="D1870" t="n">
        <v>6350.71</v>
      </c>
    </row>
    <row r="1871">
      <c r="A1871" t="n">
        <v>723</v>
      </c>
      <c r="B1871" t="n">
        <v>5495.21</v>
      </c>
      <c r="C1871" t="n">
        <v>54634.14</v>
      </c>
      <c r="D1871" t="n">
        <v>8964.01</v>
      </c>
    </row>
    <row r="1872">
      <c r="A1872" t="n">
        <v>707</v>
      </c>
      <c r="B1872" t="n">
        <v>7456.33</v>
      </c>
      <c r="C1872" t="n">
        <v>49102.12</v>
      </c>
      <c r="D1872" t="n">
        <v>13913.54</v>
      </c>
    </row>
    <row r="1873">
      <c r="A1873" t="n">
        <v>627</v>
      </c>
      <c r="B1873" t="n">
        <v>24323.05</v>
      </c>
      <c r="C1873" t="n">
        <v>46929.39</v>
      </c>
      <c r="D1873" t="n">
        <v>7871.55</v>
      </c>
    </row>
    <row r="1874">
      <c r="A1874" t="n">
        <v>685</v>
      </c>
      <c r="B1874" t="n">
        <v>16789.11</v>
      </c>
      <c r="C1874" t="n">
        <v>54244.93</v>
      </c>
      <c r="D1874" t="n">
        <v>21866.08</v>
      </c>
    </row>
    <row r="1875">
      <c r="A1875" t="n">
        <v>692</v>
      </c>
      <c r="B1875" t="n">
        <v>9211.299999999999</v>
      </c>
      <c r="C1875" t="n">
        <v>58700.82</v>
      </c>
      <c r="D1875" t="n">
        <v>24323.05</v>
      </c>
    </row>
    <row r="1876">
      <c r="A1876" t="n">
        <v>702</v>
      </c>
      <c r="B1876" t="n">
        <v>8560.1</v>
      </c>
      <c r="C1876" t="n">
        <v>49585.66</v>
      </c>
      <c r="D1876" t="n">
        <v>16789.11</v>
      </c>
    </row>
    <row r="1877">
      <c r="A1877" t="n">
        <v>671</v>
      </c>
      <c r="B1877" t="n">
        <v>20754.6</v>
      </c>
      <c r="C1877" t="n">
        <v>22161.63</v>
      </c>
      <c r="D1877" t="n">
        <v>12996.44</v>
      </c>
    </row>
    <row r="1878">
      <c r="A1878" t="n">
        <v>696</v>
      </c>
      <c r="B1878" t="n">
        <v>10507.44</v>
      </c>
      <c r="C1878" t="n">
        <v>50694.53</v>
      </c>
      <c r="D1878" t="n">
        <v>17244.67</v>
      </c>
    </row>
    <row r="1879">
      <c r="A1879" t="n">
        <v>712</v>
      </c>
      <c r="B1879" t="n">
        <v>12078.51</v>
      </c>
      <c r="C1879" t="n">
        <v>14960.25</v>
      </c>
      <c r="D1879" t="n">
        <v>9031.389999999999</v>
      </c>
    </row>
    <row r="1880">
      <c r="A1880" t="n">
        <v>763</v>
      </c>
      <c r="B1880" t="n">
        <v>8554.610000000001</v>
      </c>
      <c r="C1880" t="n">
        <v>47698.78</v>
      </c>
      <c r="D1880" t="n">
        <v>10289.28</v>
      </c>
    </row>
    <row r="1881">
      <c r="A1881" t="n">
        <v>780</v>
      </c>
      <c r="B1881" t="n">
        <v>3705.7</v>
      </c>
      <c r="C1881" t="n">
        <v>13477.13</v>
      </c>
      <c r="D1881" t="n">
        <v>11029.03</v>
      </c>
    </row>
    <row r="1882">
      <c r="A1882" t="n">
        <v>576</v>
      </c>
      <c r="B1882" t="n">
        <v>23409.96</v>
      </c>
      <c r="C1882" t="n">
        <v>23673.1</v>
      </c>
      <c r="D1882" t="n">
        <v>1200.38</v>
      </c>
    </row>
    <row r="1883">
      <c r="A1883" t="n">
        <v>714</v>
      </c>
      <c r="B1883" t="n">
        <v>9106.65</v>
      </c>
      <c r="C1883" t="n">
        <v>54885.86</v>
      </c>
      <c r="D1883" t="n">
        <v>829.49</v>
      </c>
    </row>
    <row r="1884">
      <c r="A1884" t="n">
        <v>676</v>
      </c>
      <c r="B1884" t="n">
        <v>5136.39</v>
      </c>
      <c r="C1884" t="n">
        <v>47067.97</v>
      </c>
      <c r="D1884" t="n">
        <v>4637.06</v>
      </c>
    </row>
    <row r="1885">
      <c r="A1885" t="n">
        <v>730</v>
      </c>
      <c r="B1885" t="n">
        <v>117.09</v>
      </c>
      <c r="C1885" t="n">
        <v>16881.51</v>
      </c>
      <c r="D1885" t="n">
        <v>6557.52</v>
      </c>
    </row>
    <row r="1886">
      <c r="A1886" t="n">
        <v>664</v>
      </c>
      <c r="B1886" t="n">
        <v>13089.06</v>
      </c>
      <c r="C1886" t="n">
        <v>28200.49</v>
      </c>
      <c r="D1886" t="n">
        <v>3705.7</v>
      </c>
    </row>
    <row r="1887">
      <c r="A1887" t="n">
        <v>671</v>
      </c>
      <c r="B1887" t="n">
        <v>12222.29</v>
      </c>
      <c r="C1887" t="n">
        <v>8687.639999999999</v>
      </c>
      <c r="D1887" t="n">
        <v>12929.56</v>
      </c>
    </row>
    <row r="1888">
      <c r="A1888" t="n">
        <v>722</v>
      </c>
      <c r="B1888" t="n">
        <v>11100.42</v>
      </c>
      <c r="C1888" t="n">
        <v>35062.63</v>
      </c>
      <c r="D1888" t="n">
        <v>12407.71</v>
      </c>
    </row>
    <row r="1889">
      <c r="A1889" t="n">
        <v>718</v>
      </c>
      <c r="B1889" t="n">
        <v>9877.959999999999</v>
      </c>
      <c r="C1889" t="n">
        <v>31160.03</v>
      </c>
      <c r="D1889" t="n">
        <v>14709.56</v>
      </c>
    </row>
    <row r="1890">
      <c r="A1890" t="n">
        <v>762</v>
      </c>
      <c r="B1890" t="n">
        <v>2869.59</v>
      </c>
      <c r="C1890" t="n">
        <v>41559.99</v>
      </c>
      <c r="D1890" t="n">
        <v>12766.94</v>
      </c>
    </row>
    <row r="1891">
      <c r="A1891" t="n">
        <v>734</v>
      </c>
      <c r="B1891" t="n">
        <v>8148.58</v>
      </c>
      <c r="C1891" t="n">
        <v>14261.72</v>
      </c>
      <c r="D1891" t="n">
        <v>13000.16</v>
      </c>
    </row>
    <row r="1892">
      <c r="A1892" t="n">
        <v>752</v>
      </c>
      <c r="B1892" t="n">
        <v>16418.06</v>
      </c>
      <c r="C1892" t="n">
        <v>45592.29</v>
      </c>
      <c r="D1892" t="n">
        <v>4628.79</v>
      </c>
    </row>
    <row r="1893">
      <c r="A1893" t="n">
        <v>604</v>
      </c>
      <c r="B1893" t="n">
        <v>6900.4</v>
      </c>
      <c r="C1893" t="n">
        <v>25740.03</v>
      </c>
      <c r="D1893" t="n">
        <v>2869.59</v>
      </c>
    </row>
    <row r="1894">
      <c r="A1894" t="n">
        <v>674</v>
      </c>
      <c r="B1894" t="n">
        <v>2117.38</v>
      </c>
      <c r="C1894" t="n">
        <v>40233.06</v>
      </c>
      <c r="D1894" t="n">
        <v>15549.9</v>
      </c>
    </row>
    <row r="1895">
      <c r="A1895" t="n">
        <v>706</v>
      </c>
      <c r="B1895" t="n">
        <v>13011.45</v>
      </c>
      <c r="C1895" t="n">
        <v>51346.28</v>
      </c>
      <c r="D1895" t="n">
        <v>1556.82</v>
      </c>
    </row>
    <row r="1896">
      <c r="A1896" t="n">
        <v>702</v>
      </c>
      <c r="B1896" t="n">
        <v>14130.98</v>
      </c>
      <c r="C1896" t="n">
        <v>15073.02</v>
      </c>
      <c r="D1896" t="n">
        <v>8710.459999999999</v>
      </c>
    </row>
    <row r="1897">
      <c r="A1897" t="n">
        <v>705</v>
      </c>
      <c r="B1897" t="n">
        <v>14483.63</v>
      </c>
      <c r="C1897" t="n">
        <v>43139.09</v>
      </c>
      <c r="D1897" t="n">
        <v>17472.24</v>
      </c>
    </row>
    <row r="1898">
      <c r="A1898" t="n">
        <v>587</v>
      </c>
      <c r="B1898" t="n">
        <v>12476.77</v>
      </c>
      <c r="C1898" t="n">
        <v>13367.55</v>
      </c>
      <c r="D1898" t="n">
        <v>2117.38</v>
      </c>
    </row>
    <row r="1899">
      <c r="A1899" t="n">
        <v>703</v>
      </c>
      <c r="B1899" t="n">
        <v>13772.74</v>
      </c>
      <c r="C1899" t="n">
        <v>26213.87</v>
      </c>
      <c r="D1899" t="n">
        <v>25535.68</v>
      </c>
    </row>
    <row r="1900">
      <c r="A1900" t="n">
        <v>714</v>
      </c>
      <c r="B1900" t="n">
        <v>15411.16</v>
      </c>
      <c r="C1900" t="n">
        <v>45852.21</v>
      </c>
      <c r="D1900" t="n">
        <v>16919.58</v>
      </c>
    </row>
    <row r="1901">
      <c r="A1901" t="n">
        <v>793</v>
      </c>
      <c r="B1901" t="n">
        <v>9134.719999999999</v>
      </c>
      <c r="C1901" t="n">
        <v>10006.34</v>
      </c>
      <c r="D1901" t="n">
        <v>7485.23</v>
      </c>
    </row>
    <row r="1902">
      <c r="A1902" t="n">
        <v>691</v>
      </c>
      <c r="B1902" t="n">
        <v>18811.49</v>
      </c>
      <c r="C1902" t="n">
        <v>41304.36</v>
      </c>
      <c r="D1902" t="n">
        <v>15411.16</v>
      </c>
    </row>
    <row r="1903">
      <c r="A1903" t="n">
        <v>657</v>
      </c>
      <c r="B1903" t="n">
        <v>15762.91</v>
      </c>
      <c r="C1903" t="n">
        <v>37501.5</v>
      </c>
      <c r="D1903" t="n">
        <v>9134.719999999999</v>
      </c>
    </row>
    <row r="1904">
      <c r="A1904" t="n">
        <v>640</v>
      </c>
      <c r="B1904" t="n">
        <v>25724.4</v>
      </c>
      <c r="C1904" t="n">
        <v>22761.6</v>
      </c>
      <c r="D1904" t="n">
        <v>15762.91</v>
      </c>
    </row>
    <row r="1905">
      <c r="A1905" t="n">
        <v>666</v>
      </c>
      <c r="B1905" t="n">
        <v>10577.52</v>
      </c>
      <c r="C1905" t="n">
        <v>17179.27</v>
      </c>
      <c r="D1905" t="n">
        <v>25724.4</v>
      </c>
    </row>
    <row r="1906">
      <c r="A1906" t="n">
        <v>702</v>
      </c>
      <c r="B1906" t="n">
        <v>14073.8</v>
      </c>
      <c r="C1906" t="n">
        <v>54561.98</v>
      </c>
      <c r="D1906" t="n">
        <v>12576.19</v>
      </c>
    </row>
    <row r="1907">
      <c r="A1907" t="n">
        <v>652</v>
      </c>
      <c r="B1907" t="n">
        <v>21128.5</v>
      </c>
      <c r="C1907" t="n">
        <v>10514.38</v>
      </c>
      <c r="D1907" t="n">
        <v>12641.8</v>
      </c>
    </row>
    <row r="1908">
      <c r="A1908" t="n">
        <v>775</v>
      </c>
      <c r="B1908" t="n">
        <v>11286.45</v>
      </c>
      <c r="C1908" t="n">
        <v>25970.12</v>
      </c>
      <c r="D1908" t="n">
        <v>28496.84</v>
      </c>
    </row>
    <row r="1909">
      <c r="A1909" t="n">
        <v>713</v>
      </c>
      <c r="B1909" t="n">
        <v>3649.49</v>
      </c>
      <c r="C1909" t="n">
        <v>20218.02</v>
      </c>
      <c r="D1909" t="n">
        <v>16381.35</v>
      </c>
    </row>
    <row r="1910">
      <c r="A1910" t="n">
        <v>758</v>
      </c>
      <c r="B1910" t="n">
        <v>4794.5</v>
      </c>
      <c r="C1910" t="n">
        <v>58261.69</v>
      </c>
      <c r="D1910" t="n">
        <v>11286.45</v>
      </c>
    </row>
    <row r="1911">
      <c r="A1911" t="n">
        <v>760</v>
      </c>
      <c r="B1911" t="n">
        <v>6282.58</v>
      </c>
      <c r="C1911" t="n">
        <v>49557.26</v>
      </c>
      <c r="D1911" t="n">
        <v>15470.42</v>
      </c>
    </row>
    <row r="1912">
      <c r="A1912" t="n">
        <v>647</v>
      </c>
      <c r="B1912" t="n">
        <v>14161.14</v>
      </c>
      <c r="C1912" t="n">
        <v>48429.37</v>
      </c>
      <c r="D1912" t="n">
        <v>10135.22</v>
      </c>
    </row>
    <row r="1913">
      <c r="A1913" t="n">
        <v>702</v>
      </c>
      <c r="B1913" t="n">
        <v>19508.6</v>
      </c>
      <c r="C1913" t="n">
        <v>58298.76</v>
      </c>
      <c r="D1913" t="n">
        <v>14525.66</v>
      </c>
    </row>
    <row r="1914">
      <c r="A1914" t="n">
        <v>593</v>
      </c>
      <c r="B1914" t="n">
        <v>23979.53</v>
      </c>
      <c r="C1914" t="n">
        <v>46400.58</v>
      </c>
      <c r="D1914" t="n">
        <v>11029.86</v>
      </c>
    </row>
    <row r="1915">
      <c r="A1915" t="n">
        <v>808</v>
      </c>
      <c r="B1915" t="n">
        <v>3408.43</v>
      </c>
      <c r="C1915" t="n">
        <v>32566.29</v>
      </c>
      <c r="D1915" t="n">
        <v>7693.91</v>
      </c>
    </row>
    <row r="1916">
      <c r="A1916" t="n">
        <v>632</v>
      </c>
      <c r="B1916" t="n">
        <v>13569.38</v>
      </c>
      <c r="C1916" t="n">
        <v>24079.94</v>
      </c>
      <c r="D1916" t="n">
        <v>3317.95</v>
      </c>
    </row>
    <row r="1917">
      <c r="A1917" t="n">
        <v>672</v>
      </c>
      <c r="B1917" t="n">
        <v>11747.66</v>
      </c>
      <c r="C1917" t="n">
        <v>39176.39</v>
      </c>
      <c r="D1917" t="n">
        <v>15661.96</v>
      </c>
    </row>
    <row r="1918">
      <c r="A1918" t="n">
        <v>670</v>
      </c>
      <c r="B1918" t="n">
        <v>13645.97</v>
      </c>
      <c r="C1918" t="n">
        <v>10020.74</v>
      </c>
      <c r="D1918" t="n">
        <v>0</v>
      </c>
    </row>
    <row r="1919">
      <c r="A1919" t="n">
        <v>689</v>
      </c>
      <c r="B1919" t="n">
        <v>7159.53</v>
      </c>
      <c r="C1919" t="n">
        <v>6225.54</v>
      </c>
      <c r="D1919" t="n">
        <v>14639.32</v>
      </c>
    </row>
    <row r="1920">
      <c r="A1920" t="n">
        <v>719</v>
      </c>
      <c r="B1920" t="n">
        <v>9117.35</v>
      </c>
      <c r="C1920" t="n">
        <v>41317.24</v>
      </c>
      <c r="D1920" t="n">
        <v>19262.46</v>
      </c>
    </row>
    <row r="1921">
      <c r="A1921" t="n">
        <v>699</v>
      </c>
      <c r="B1921" t="n">
        <v>10528.31</v>
      </c>
      <c r="C1921" t="n">
        <v>8776.58</v>
      </c>
      <c r="D1921" t="n">
        <v>15276.89</v>
      </c>
    </row>
    <row r="1922">
      <c r="A1922" t="n">
        <v>682</v>
      </c>
      <c r="B1922" t="n">
        <v>20781.32</v>
      </c>
      <c r="C1922" t="n">
        <v>9583.35</v>
      </c>
      <c r="D1922" t="n">
        <v>11292.39</v>
      </c>
    </row>
    <row r="1923">
      <c r="A1923" t="n">
        <v>657</v>
      </c>
      <c r="B1923" t="n">
        <v>12509.95</v>
      </c>
      <c r="C1923" t="n">
        <v>6429.36</v>
      </c>
      <c r="D1923" t="n">
        <v>10321.56</v>
      </c>
    </row>
    <row r="1924">
      <c r="A1924" t="n">
        <v>631</v>
      </c>
      <c r="B1924" t="n">
        <v>19200.95</v>
      </c>
      <c r="C1924" t="n">
        <v>20392.63</v>
      </c>
      <c r="D1924" t="n">
        <v>21025.76</v>
      </c>
    </row>
    <row r="1925">
      <c r="A1925" t="n">
        <v>779</v>
      </c>
      <c r="B1925" t="n">
        <v>6389.08</v>
      </c>
      <c r="C1925" t="n">
        <v>15538.2</v>
      </c>
      <c r="D1925" t="n">
        <v>19200.95</v>
      </c>
    </row>
    <row r="1926">
      <c r="A1926" t="n">
        <v>700</v>
      </c>
      <c r="B1926" t="n">
        <v>13238.3</v>
      </c>
      <c r="C1926" t="n">
        <v>18521.37</v>
      </c>
      <c r="D1926" t="n">
        <v>20543.37</v>
      </c>
    </row>
    <row r="1927">
      <c r="A1927" t="n">
        <v>632</v>
      </c>
      <c r="B1927" t="n">
        <v>17670.56</v>
      </c>
      <c r="C1927" t="n">
        <v>30643.61</v>
      </c>
      <c r="D1927" t="n">
        <v>2638.76</v>
      </c>
    </row>
    <row r="1928">
      <c r="A1928" t="n">
        <v>668</v>
      </c>
      <c r="B1928" t="n">
        <v>10559.84</v>
      </c>
      <c r="C1928" t="n">
        <v>52277.03</v>
      </c>
      <c r="D1928" t="n">
        <v>7636.21</v>
      </c>
    </row>
    <row r="1929">
      <c r="A1929" t="n">
        <v>756</v>
      </c>
      <c r="B1929" t="n">
        <v>3994.78</v>
      </c>
      <c r="C1929" t="n">
        <v>23173.9</v>
      </c>
      <c r="D1929" t="n">
        <v>21592.62</v>
      </c>
    </row>
    <row r="1930">
      <c r="A1930" t="n">
        <v>604</v>
      </c>
      <c r="B1930" t="n">
        <v>5135.94</v>
      </c>
      <c r="C1930" t="n">
        <v>17402.49</v>
      </c>
      <c r="D1930" t="n">
        <v>9417.290000000001</v>
      </c>
    </row>
    <row r="1931">
      <c r="A1931" t="n">
        <v>703</v>
      </c>
      <c r="B1931" t="n">
        <v>6399.9</v>
      </c>
      <c r="C1931" t="n">
        <v>11616.47</v>
      </c>
      <c r="D1931" t="n">
        <v>10486.79</v>
      </c>
    </row>
    <row r="1932">
      <c r="A1932" t="n">
        <v>736</v>
      </c>
      <c r="B1932" t="n">
        <v>11991.1</v>
      </c>
      <c r="C1932" t="n">
        <v>53023.89</v>
      </c>
      <c r="D1932" t="n">
        <v>24512.76</v>
      </c>
    </row>
    <row r="1933">
      <c r="A1933" t="n">
        <v>656</v>
      </c>
      <c r="B1933" t="n">
        <v>17047.66</v>
      </c>
      <c r="C1933" t="n">
        <v>47655.09</v>
      </c>
      <c r="D1933" t="n">
        <v>11991.1</v>
      </c>
    </row>
    <row r="1934">
      <c r="A1934" t="n">
        <v>782</v>
      </c>
      <c r="B1934" t="n">
        <v>6669.49</v>
      </c>
      <c r="C1934" t="n">
        <v>11645.21</v>
      </c>
      <c r="D1934" t="n">
        <v>17047.66</v>
      </c>
    </row>
    <row r="1935">
      <c r="A1935" t="n">
        <v>740</v>
      </c>
      <c r="B1935" t="n">
        <v>0</v>
      </c>
      <c r="C1935" t="n">
        <v>43854.91</v>
      </c>
      <c r="D1935" t="n">
        <v>6669.49</v>
      </c>
    </row>
    <row r="1936">
      <c r="A1936" t="n">
        <v>620</v>
      </c>
      <c r="B1936" t="n">
        <v>23522.6</v>
      </c>
      <c r="C1936" t="n">
        <v>38934.74</v>
      </c>
      <c r="D1936" t="n">
        <v>0</v>
      </c>
    </row>
    <row r="1937">
      <c r="A1937" t="n">
        <v>700</v>
      </c>
      <c r="B1937" t="n">
        <v>9370.15</v>
      </c>
      <c r="C1937" t="n">
        <v>11729.91</v>
      </c>
      <c r="D1937" t="n">
        <v>14906.65</v>
      </c>
    </row>
    <row r="1938">
      <c r="A1938" t="n">
        <v>606</v>
      </c>
      <c r="B1938" t="n">
        <v>25698.06</v>
      </c>
      <c r="C1938" t="n">
        <v>35688.68</v>
      </c>
      <c r="D1938" t="n">
        <v>16853.95</v>
      </c>
    </row>
    <row r="1939">
      <c r="A1939" t="n">
        <v>712</v>
      </c>
      <c r="B1939" t="n">
        <v>5772.82</v>
      </c>
      <c r="C1939" t="n">
        <v>15754.86</v>
      </c>
      <c r="D1939" t="n">
        <v>10856.1</v>
      </c>
    </row>
    <row r="1940">
      <c r="A1940" t="n">
        <v>598</v>
      </c>
      <c r="B1940" t="n">
        <v>6244.46</v>
      </c>
      <c r="C1940" t="n">
        <v>23568.15</v>
      </c>
      <c r="D1940" t="n">
        <v>4436.99</v>
      </c>
    </row>
    <row r="1941">
      <c r="A1941" t="n">
        <v>686</v>
      </c>
      <c r="B1941" t="n">
        <v>16231.26</v>
      </c>
      <c r="C1941" t="n">
        <v>14379.44</v>
      </c>
      <c r="D1941" t="n">
        <v>5722.79</v>
      </c>
    </row>
    <row r="1942">
      <c r="A1942" t="n">
        <v>838</v>
      </c>
      <c r="B1942" t="n">
        <v>6433.44</v>
      </c>
      <c r="C1942" t="n">
        <v>54298.49</v>
      </c>
      <c r="D1942" t="n">
        <v>13982.93</v>
      </c>
    </row>
    <row r="1943">
      <c r="A1943" t="n">
        <v>707</v>
      </c>
      <c r="B1943" t="n">
        <v>13662.86</v>
      </c>
      <c r="C1943" t="n">
        <v>8838.950000000001</v>
      </c>
      <c r="D1943" t="n">
        <v>8947.23</v>
      </c>
    </row>
    <row r="1944">
      <c r="A1944" t="n">
        <v>702</v>
      </c>
      <c r="B1944" t="n">
        <v>12474.99</v>
      </c>
      <c r="C1944" t="n">
        <v>9802.42</v>
      </c>
      <c r="D1944" t="n">
        <v>25985.89</v>
      </c>
    </row>
    <row r="1945">
      <c r="A1945" t="n">
        <v>662</v>
      </c>
      <c r="B1945" t="n">
        <v>10076.72</v>
      </c>
      <c r="C1945" t="n">
        <v>52485.79</v>
      </c>
      <c r="D1945" t="n">
        <v>4852.9</v>
      </c>
    </row>
    <row r="1946">
      <c r="A1946" t="n">
        <v>717</v>
      </c>
      <c r="B1946" t="n">
        <v>11477.18</v>
      </c>
      <c r="C1946" t="n">
        <v>5005.32</v>
      </c>
      <c r="D1946" t="n">
        <v>3640.94</v>
      </c>
    </row>
    <row r="1947">
      <c r="A1947" t="n">
        <v>706</v>
      </c>
      <c r="B1947" t="n">
        <v>15174.86</v>
      </c>
      <c r="C1947" t="n">
        <v>39252.57</v>
      </c>
      <c r="D1947" t="n">
        <v>6940.12</v>
      </c>
    </row>
    <row r="1948">
      <c r="A1948" t="n">
        <v>814</v>
      </c>
      <c r="B1948" t="n">
        <v>1931.43</v>
      </c>
      <c r="C1948" t="n">
        <v>37930.26</v>
      </c>
      <c r="D1948" t="n">
        <v>10453.32</v>
      </c>
    </row>
    <row r="1949">
      <c r="A1949" t="n">
        <v>752</v>
      </c>
      <c r="B1949" t="n">
        <v>11765.87</v>
      </c>
      <c r="C1949" t="n">
        <v>29755.38</v>
      </c>
      <c r="D1949" t="n">
        <v>12605.49</v>
      </c>
    </row>
    <row r="1950">
      <c r="A1950" t="n">
        <v>702</v>
      </c>
      <c r="B1950" t="n">
        <v>0</v>
      </c>
      <c r="C1950" t="n">
        <v>20298.22</v>
      </c>
      <c r="D1950" t="n">
        <v>7955.52</v>
      </c>
    </row>
    <row r="1951">
      <c r="A1951" t="n">
        <v>666</v>
      </c>
      <c r="B1951" t="n">
        <v>16878.69</v>
      </c>
      <c r="C1951" t="n">
        <v>15408.64</v>
      </c>
      <c r="D1951" t="n">
        <v>11477.18</v>
      </c>
    </row>
    <row r="1952">
      <c r="A1952" t="n">
        <v>702</v>
      </c>
      <c r="B1952" t="n">
        <v>20990.48</v>
      </c>
      <c r="C1952" t="n">
        <v>27437.63</v>
      </c>
      <c r="D1952" t="n">
        <v>15174.86</v>
      </c>
    </row>
    <row r="1953">
      <c r="A1953" t="n">
        <v>672</v>
      </c>
      <c r="B1953" t="n">
        <v>226.61</v>
      </c>
      <c r="C1953" t="n">
        <v>50782.65</v>
      </c>
      <c r="D1953" t="n">
        <v>11765.87</v>
      </c>
    </row>
    <row r="1954">
      <c r="A1954" t="n">
        <v>642</v>
      </c>
      <c r="B1954" t="n">
        <v>14520.27</v>
      </c>
      <c r="C1954" t="n">
        <v>29522.32</v>
      </c>
      <c r="D1954" t="n">
        <v>0</v>
      </c>
    </row>
    <row r="1955">
      <c r="A1955" t="n">
        <v>723</v>
      </c>
      <c r="B1955" t="n">
        <v>8255.17</v>
      </c>
      <c r="C1955" t="n">
        <v>42913.64</v>
      </c>
      <c r="D1955" t="n">
        <v>16878.69</v>
      </c>
    </row>
    <row r="1956">
      <c r="A1956" t="n">
        <v>832</v>
      </c>
      <c r="B1956" t="n">
        <v>8967.879999999999</v>
      </c>
      <c r="C1956" t="n">
        <v>9973.889999999999</v>
      </c>
      <c r="D1956" t="n">
        <v>20990.48</v>
      </c>
    </row>
    <row r="1957">
      <c r="A1957" t="n">
        <v>529</v>
      </c>
      <c r="B1957" t="n">
        <v>28375.01</v>
      </c>
      <c r="C1957" t="n">
        <v>5324.17</v>
      </c>
      <c r="D1957" t="n">
        <v>226.61</v>
      </c>
    </row>
    <row r="1958">
      <c r="A1958" t="n">
        <v>779</v>
      </c>
      <c r="B1958" t="n">
        <v>5638.52</v>
      </c>
      <c r="C1958" t="n">
        <v>8126.5</v>
      </c>
      <c r="D1958" t="n">
        <v>14520.27</v>
      </c>
    </row>
    <row r="1959">
      <c r="A1959" t="n">
        <v>748</v>
      </c>
      <c r="B1959" t="n">
        <v>2413.18</v>
      </c>
      <c r="C1959" t="n">
        <v>41348.71</v>
      </c>
      <c r="D1959" t="n">
        <v>8255.17</v>
      </c>
    </row>
    <row r="1960">
      <c r="A1960" t="n">
        <v>648</v>
      </c>
      <c r="B1960" t="n">
        <v>3448.02</v>
      </c>
      <c r="C1960" t="n">
        <v>11658.22</v>
      </c>
      <c r="D1960" t="n">
        <v>28375.01</v>
      </c>
    </row>
    <row r="1961">
      <c r="A1961" t="n">
        <v>741</v>
      </c>
      <c r="B1961" t="n">
        <v>18889.39</v>
      </c>
      <c r="C1961" t="n">
        <v>10755.93</v>
      </c>
      <c r="D1961" t="n">
        <v>5638.52</v>
      </c>
    </row>
    <row r="1962">
      <c r="A1962" t="n">
        <v>711</v>
      </c>
      <c r="B1962" t="n">
        <v>10874.93</v>
      </c>
      <c r="C1962" t="n">
        <v>43535.27</v>
      </c>
      <c r="D1962" t="n">
        <v>7073.55</v>
      </c>
    </row>
    <row r="1963">
      <c r="A1963" t="n">
        <v>798</v>
      </c>
      <c r="B1963" t="n">
        <v>7205.29</v>
      </c>
      <c r="C1963" t="n">
        <v>8701.98</v>
      </c>
      <c r="D1963" t="n">
        <v>3448.02</v>
      </c>
    </row>
    <row r="1964">
      <c r="A1964" t="n">
        <v>675</v>
      </c>
      <c r="B1964" t="n">
        <v>30299.18</v>
      </c>
      <c r="C1964" t="n">
        <v>26213.67</v>
      </c>
      <c r="D1964" t="n">
        <v>18889.39</v>
      </c>
    </row>
    <row r="1965">
      <c r="A1965" t="n">
        <v>677</v>
      </c>
      <c r="B1965" t="n">
        <v>14532.18</v>
      </c>
      <c r="C1965" t="n">
        <v>48409.29</v>
      </c>
      <c r="D1965" t="n">
        <v>10874.93</v>
      </c>
    </row>
    <row r="1966">
      <c r="A1966" t="n">
        <v>654</v>
      </c>
      <c r="B1966" t="n">
        <v>27083.49</v>
      </c>
      <c r="C1966" t="n">
        <v>37169.56</v>
      </c>
      <c r="D1966" t="n">
        <v>21443.4</v>
      </c>
    </row>
    <row r="1967">
      <c r="A1967" t="n">
        <v>645</v>
      </c>
      <c r="B1967" t="n">
        <v>26391.62</v>
      </c>
      <c r="C1967" t="n">
        <v>46378.69</v>
      </c>
      <c r="D1967" t="n">
        <v>27083.49</v>
      </c>
    </row>
    <row r="1968">
      <c r="A1968" t="n">
        <v>607</v>
      </c>
      <c r="B1968" t="n">
        <v>19736.96</v>
      </c>
      <c r="C1968" t="n">
        <v>26166.61</v>
      </c>
      <c r="D1968" t="n">
        <v>11912.62</v>
      </c>
    </row>
    <row r="1969">
      <c r="A1969" t="n">
        <v>712</v>
      </c>
      <c r="B1969" t="n">
        <v>18606.84</v>
      </c>
      <c r="C1969" t="n">
        <v>41820.19</v>
      </c>
      <c r="D1969" t="n">
        <v>26391.62</v>
      </c>
    </row>
    <row r="1970">
      <c r="A1970" t="n">
        <v>677</v>
      </c>
      <c r="B1970" t="n">
        <v>11475.59</v>
      </c>
      <c r="C1970" t="n">
        <v>48906.28</v>
      </c>
      <c r="D1970" t="n">
        <v>8315.700000000001</v>
      </c>
    </row>
    <row r="1971">
      <c r="A1971" t="n">
        <v>707</v>
      </c>
      <c r="B1971" t="n">
        <v>8709.09</v>
      </c>
      <c r="C1971" t="n">
        <v>41075.53</v>
      </c>
      <c r="D1971" t="n">
        <v>8702.18</v>
      </c>
    </row>
    <row r="1972">
      <c r="A1972" t="n">
        <v>681</v>
      </c>
      <c r="B1972" t="n">
        <v>13895.14</v>
      </c>
      <c r="C1972" t="n">
        <v>23873.94</v>
      </c>
      <c r="D1972" t="n">
        <v>8709.09</v>
      </c>
    </row>
    <row r="1973">
      <c r="A1973" t="n">
        <v>771</v>
      </c>
      <c r="B1973" t="n">
        <v>12883.85</v>
      </c>
      <c r="C1973" t="n">
        <v>25610.39</v>
      </c>
      <c r="D1973" t="n">
        <v>14174.69</v>
      </c>
    </row>
    <row r="1974">
      <c r="A1974" t="n">
        <v>729</v>
      </c>
      <c r="B1974" t="n">
        <v>16918.23</v>
      </c>
      <c r="C1974" t="n">
        <v>40852</v>
      </c>
      <c r="D1974" t="n">
        <v>18944.21</v>
      </c>
    </row>
    <row r="1975">
      <c r="A1975" t="n">
        <v>642</v>
      </c>
      <c r="B1975" t="n">
        <v>16017.85</v>
      </c>
      <c r="C1975" t="n">
        <v>19737.77</v>
      </c>
      <c r="D1975" t="n">
        <v>14285.85</v>
      </c>
    </row>
    <row r="1976">
      <c r="A1976" t="n">
        <v>676</v>
      </c>
      <c r="B1976" t="n">
        <v>16159.18</v>
      </c>
      <c r="C1976" t="n">
        <v>7929.42</v>
      </c>
      <c r="D1976" t="n">
        <v>19625.82</v>
      </c>
    </row>
    <row r="1977">
      <c r="A1977" t="n">
        <v>593</v>
      </c>
      <c r="B1977" t="n">
        <v>23352.1</v>
      </c>
      <c r="C1977" t="n">
        <v>17371.48</v>
      </c>
      <c r="D1977" t="n">
        <v>9263.42</v>
      </c>
    </row>
    <row r="1978">
      <c r="A1978" t="n">
        <v>717</v>
      </c>
      <c r="B1978" t="n">
        <v>11450.7</v>
      </c>
      <c r="C1978" t="n">
        <v>24758.35</v>
      </c>
      <c r="D1978" t="n">
        <v>8614.4</v>
      </c>
    </row>
    <row r="1979">
      <c r="A1979" t="n">
        <v>757</v>
      </c>
      <c r="B1979" t="n">
        <v>5931.19</v>
      </c>
      <c r="C1979" t="n">
        <v>34616.92</v>
      </c>
      <c r="D1979" t="n">
        <v>5931.19</v>
      </c>
    </row>
    <row r="1980">
      <c r="A1980" t="n">
        <v>754</v>
      </c>
      <c r="B1980" t="n">
        <v>6455.54</v>
      </c>
      <c r="C1980" t="n">
        <v>14486.12</v>
      </c>
      <c r="D1980" t="n">
        <v>6078.18</v>
      </c>
    </row>
    <row r="1981">
      <c r="A1981" t="n">
        <v>640</v>
      </c>
      <c r="B1981" t="n">
        <v>17789.16</v>
      </c>
      <c r="C1981" t="n">
        <v>30402.21</v>
      </c>
      <c r="D1981" t="n">
        <v>0</v>
      </c>
    </row>
    <row r="1982">
      <c r="A1982" t="n">
        <v>708</v>
      </c>
      <c r="B1982" t="n">
        <v>3553.19</v>
      </c>
      <c r="C1982" t="n">
        <v>17000.35</v>
      </c>
      <c r="D1982" t="n">
        <v>15367.71</v>
      </c>
    </row>
    <row r="1983">
      <c r="A1983" t="n">
        <v>615</v>
      </c>
      <c r="B1983" t="n">
        <v>26744.79</v>
      </c>
      <c r="C1983" t="n">
        <v>18704.49</v>
      </c>
      <c r="D1983" t="n">
        <v>0</v>
      </c>
    </row>
    <row r="1984">
      <c r="A1984" t="n">
        <v>701</v>
      </c>
      <c r="B1984" t="n">
        <v>13436.82</v>
      </c>
      <c r="C1984" t="n">
        <v>56455.05</v>
      </c>
      <c r="D1984" t="n">
        <v>13436.82</v>
      </c>
    </row>
    <row r="1985">
      <c r="A1985" t="n">
        <v>803</v>
      </c>
      <c r="B1985" t="n">
        <v>3166.11</v>
      </c>
      <c r="C1985" t="n">
        <v>20868.99</v>
      </c>
      <c r="D1985" t="n">
        <v>3166.11</v>
      </c>
    </row>
    <row r="1986">
      <c r="A1986" t="n">
        <v>606</v>
      </c>
      <c r="B1986" t="n">
        <v>9771.1</v>
      </c>
      <c r="C1986" t="n">
        <v>26919.21</v>
      </c>
      <c r="D1986" t="n">
        <v>9771.1</v>
      </c>
    </row>
    <row r="1987">
      <c r="A1987" t="n">
        <v>647</v>
      </c>
      <c r="B1987" t="n">
        <v>26404.29</v>
      </c>
      <c r="C1987" t="n">
        <v>27692.42</v>
      </c>
      <c r="D1987" t="n">
        <v>26404.29</v>
      </c>
    </row>
    <row r="1988">
      <c r="A1988" t="n">
        <v>642</v>
      </c>
      <c r="B1988" t="n">
        <v>19735.44</v>
      </c>
      <c r="C1988" t="n">
        <v>55735.62</v>
      </c>
      <c r="D1988" t="n">
        <v>19735.44</v>
      </c>
    </row>
    <row r="1989">
      <c r="A1989" t="n">
        <v>725</v>
      </c>
      <c r="B1989" t="n">
        <v>5011.93</v>
      </c>
      <c r="C1989" t="n">
        <v>6635.71</v>
      </c>
      <c r="D1989" t="n">
        <v>5011.93</v>
      </c>
    </row>
    <row r="1990">
      <c r="A1990" t="n">
        <v>703</v>
      </c>
      <c r="B1990" t="n">
        <v>10400.65</v>
      </c>
      <c r="C1990" t="n">
        <v>12985.45</v>
      </c>
      <c r="D1990" t="n">
        <v>10400.65</v>
      </c>
    </row>
    <row r="1991">
      <c r="A1991" t="n">
        <v>744</v>
      </c>
      <c r="B1991" t="n">
        <v>5829.87</v>
      </c>
      <c r="C1991" t="n">
        <v>22215.7</v>
      </c>
      <c r="D1991" t="n">
        <v>5829.87</v>
      </c>
    </row>
    <row r="1992">
      <c r="A1992" t="n">
        <v>755</v>
      </c>
      <c r="B1992" t="n">
        <v>8750.719999999999</v>
      </c>
      <c r="C1992" t="n">
        <v>19647.65</v>
      </c>
      <c r="D1992" t="n">
        <v>8750.719999999999</v>
      </c>
    </row>
    <row r="1993">
      <c r="A1993" t="n">
        <v>780</v>
      </c>
      <c r="B1993" t="n">
        <v>3583.71</v>
      </c>
      <c r="C1993" t="n">
        <v>30347.73</v>
      </c>
      <c r="D1993" t="n">
        <v>3583.71</v>
      </c>
    </row>
    <row r="1994">
      <c r="A1994" t="n">
        <v>730</v>
      </c>
      <c r="B1994" t="n">
        <v>6221.24</v>
      </c>
      <c r="C1994" t="n">
        <v>22455.98</v>
      </c>
      <c r="D1994" t="n">
        <v>6221.24</v>
      </c>
    </row>
    <row r="1995">
      <c r="A1995" t="n">
        <v>788</v>
      </c>
      <c r="B1995" t="n">
        <v>3226.2</v>
      </c>
      <c r="C1995" t="n">
        <v>49759.08</v>
      </c>
      <c r="D1995" t="n">
        <v>3226.2</v>
      </c>
    </row>
    <row r="1996">
      <c r="A1996" t="n">
        <v>704</v>
      </c>
      <c r="B1996" t="n">
        <v>19902.64</v>
      </c>
      <c r="C1996" t="n">
        <v>55600.75</v>
      </c>
      <c r="D1996" t="n">
        <v>19902.64</v>
      </c>
    </row>
    <row r="1997">
      <c r="A1997" t="n">
        <v>792</v>
      </c>
      <c r="B1997" t="n">
        <v>5399.33</v>
      </c>
      <c r="C1997" t="n">
        <v>46605.96</v>
      </c>
      <c r="D1997" t="n">
        <v>5399.33</v>
      </c>
    </row>
    <row r="1998">
      <c r="A1998" t="n">
        <v>729</v>
      </c>
      <c r="B1998" t="n">
        <v>5170.54</v>
      </c>
      <c r="C1998" t="n">
        <v>50764.94</v>
      </c>
      <c r="D1998" t="n">
        <v>5170.54</v>
      </c>
    </row>
    <row r="1999">
      <c r="A1999" t="n">
        <v>717</v>
      </c>
      <c r="B1999" t="n">
        <v>10695.02</v>
      </c>
      <c r="C1999" t="n">
        <v>24657.06</v>
      </c>
      <c r="D1999" t="n">
        <v>10695.02</v>
      </c>
    </row>
    <row r="2000">
      <c r="A2000" t="n">
        <v>649</v>
      </c>
      <c r="B2000" t="n">
        <v>26700.69</v>
      </c>
      <c r="C2000" t="n">
        <v>8720.93</v>
      </c>
      <c r="D2000" t="n">
        <v>26700.69</v>
      </c>
    </row>
    <row r="2001">
      <c r="A2001" t="n">
        <v>669</v>
      </c>
      <c r="B2001" t="n">
        <v>18225.52</v>
      </c>
      <c r="C2001" t="n">
        <v>23321.26</v>
      </c>
      <c r="D2001" t="n">
        <v>18225.52</v>
      </c>
    </row>
    <row r="2002">
      <c r="A2002" t="n">
        <v>719</v>
      </c>
      <c r="B2002" t="n">
        <v>11898.76</v>
      </c>
      <c r="C2002" t="n">
        <v>5935.02</v>
      </c>
      <c r="D2002" t="n">
        <v>11898.76</v>
      </c>
    </row>
    <row r="2003">
      <c r="A2003" t="n">
        <v>687</v>
      </c>
      <c r="B2003" t="n">
        <v>689.53</v>
      </c>
      <c r="C2003" t="n">
        <v>35901.64</v>
      </c>
      <c r="D2003" t="n">
        <v>689.53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2026-09-29T21:04:14Z</dcterms:created>
  <dcterms:modified xsi:type="dcterms:W3CDTF">2026-09-29T21:04:25Z</dcterms:modified>
</cp:coreProperties>
</file>